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s\Desktop\Economía agrícola\Trabajo final\"/>
    </mc:Choice>
  </mc:AlternateContent>
  <xr:revisionPtr revIDLastSave="0" documentId="13_ncr:1_{47A91A07-D8E3-4A6E-9F3F-C2FC82F38568}" xr6:coauthVersionLast="47" xr6:coauthVersionMax="47" xr10:uidLastSave="{00000000-0000-0000-0000-000000000000}"/>
  <bookViews>
    <workbookView xWindow="-90" yWindow="0" windowWidth="9780" windowHeight="10170" xr2:uid="{18C1AFE9-1C7D-41B4-BF46-866EDCD24CEF}"/>
  </bookViews>
  <sheets>
    <sheet name="Hoja1" sheetId="2" r:id="rId1"/>
    <sheet name="Hoja3" sheetId="3" r:id="rId2"/>
    <sheet name="Hoja2" sheetId="1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03" i="2" l="1"/>
  <c r="K3304" i="2"/>
  <c r="K3305" i="2"/>
  <c r="K3306" i="2"/>
  <c r="K3307" i="2"/>
  <c r="K3308" i="2"/>
  <c r="K3309" i="2"/>
  <c r="K3310" i="2"/>
  <c r="K3311" i="2"/>
  <c r="K3312" i="2"/>
  <c r="K3313" i="2"/>
  <c r="K3302" i="2"/>
  <c r="K3291" i="2"/>
  <c r="K3292" i="2"/>
  <c r="K3293" i="2"/>
  <c r="K3294" i="2"/>
  <c r="K3295" i="2"/>
  <c r="K3296" i="2"/>
  <c r="K3297" i="2"/>
  <c r="K3298" i="2"/>
  <c r="K3299" i="2"/>
  <c r="K3300" i="2"/>
  <c r="K3301" i="2"/>
  <c r="K3290" i="2"/>
  <c r="K3159" i="2"/>
  <c r="K3160" i="2"/>
  <c r="K3161" i="2"/>
  <c r="K3162" i="2"/>
  <c r="K3163" i="2"/>
  <c r="K3164" i="2"/>
  <c r="K3165" i="2"/>
  <c r="K3166" i="2"/>
  <c r="K3167" i="2"/>
  <c r="K3168" i="2"/>
  <c r="K3169" i="2"/>
  <c r="K3158" i="2"/>
  <c r="K3147" i="2"/>
  <c r="K3148" i="2"/>
  <c r="K3149" i="2"/>
  <c r="K3150" i="2"/>
  <c r="K3151" i="2"/>
  <c r="K3152" i="2"/>
  <c r="K3153" i="2"/>
  <c r="K3154" i="2"/>
  <c r="K3155" i="2"/>
  <c r="K3156" i="2"/>
  <c r="K3157" i="2"/>
  <c r="K3146" i="2"/>
  <c r="K3015" i="2"/>
  <c r="K3016" i="2"/>
  <c r="K3017" i="2"/>
  <c r="K3018" i="2"/>
  <c r="K3019" i="2"/>
  <c r="K3020" i="2"/>
  <c r="K3021" i="2"/>
  <c r="K3022" i="2"/>
  <c r="K3023" i="2"/>
  <c r="K3024" i="2"/>
  <c r="K3025" i="2"/>
  <c r="K3014" i="2"/>
  <c r="K3003" i="2"/>
  <c r="K3004" i="2"/>
  <c r="K3005" i="2"/>
  <c r="K3006" i="2"/>
  <c r="K3007" i="2"/>
  <c r="K3008" i="2"/>
  <c r="K3009" i="2"/>
  <c r="K3010" i="2"/>
  <c r="K3011" i="2"/>
  <c r="K3012" i="2"/>
  <c r="K3013" i="2"/>
  <c r="K3002" i="2"/>
  <c r="K2871" i="2"/>
  <c r="K2872" i="2"/>
  <c r="K2873" i="2"/>
  <c r="K2874" i="2"/>
  <c r="K2875" i="2"/>
  <c r="K2876" i="2"/>
  <c r="K2877" i="2"/>
  <c r="K2878" i="2"/>
  <c r="K2879" i="2"/>
  <c r="K2880" i="2"/>
  <c r="K2881" i="2"/>
  <c r="K2870" i="2"/>
  <c r="K2859" i="2"/>
  <c r="K2860" i="2"/>
  <c r="K2861" i="2"/>
  <c r="K2862" i="2"/>
  <c r="K2863" i="2"/>
  <c r="K2864" i="2"/>
  <c r="K2865" i="2"/>
  <c r="K2866" i="2"/>
  <c r="K2867" i="2"/>
  <c r="K2868" i="2"/>
  <c r="K2869" i="2"/>
  <c r="K2858" i="2"/>
  <c r="K2727" i="2"/>
  <c r="K2728" i="2"/>
  <c r="K2729" i="2"/>
  <c r="K2730" i="2"/>
  <c r="K2731" i="2"/>
  <c r="K2732" i="2"/>
  <c r="K2733" i="2"/>
  <c r="K2734" i="2"/>
  <c r="K2735" i="2"/>
  <c r="K2736" i="2"/>
  <c r="K2737" i="2"/>
  <c r="K2726" i="2"/>
  <c r="K2715" i="2"/>
  <c r="K2716" i="2"/>
  <c r="K2717" i="2"/>
  <c r="K2718" i="2"/>
  <c r="K2719" i="2"/>
  <c r="K2720" i="2"/>
  <c r="K2721" i="2"/>
  <c r="K2722" i="2"/>
  <c r="K2723" i="2"/>
  <c r="K2724" i="2"/>
  <c r="K2725" i="2"/>
  <c r="K2714" i="2"/>
  <c r="K2583" i="2"/>
  <c r="K2584" i="2"/>
  <c r="K2585" i="2"/>
  <c r="K2586" i="2"/>
  <c r="K2587" i="2"/>
  <c r="K2588" i="2"/>
  <c r="K2589" i="2"/>
  <c r="K2590" i="2"/>
  <c r="K2591" i="2"/>
  <c r="K2592" i="2"/>
  <c r="K2593" i="2"/>
  <c r="K2582" i="2"/>
  <c r="K2571" i="2"/>
  <c r="K2572" i="2"/>
  <c r="K2573" i="2"/>
  <c r="K2574" i="2"/>
  <c r="K2575" i="2"/>
  <c r="K2576" i="2"/>
  <c r="K2577" i="2"/>
  <c r="K2578" i="2"/>
  <c r="K2579" i="2"/>
  <c r="K2580" i="2"/>
  <c r="K2581" i="2"/>
  <c r="K2570" i="2"/>
  <c r="K2439" i="2"/>
  <c r="K2440" i="2"/>
  <c r="K2441" i="2"/>
  <c r="K2442" i="2"/>
  <c r="K2443" i="2"/>
  <c r="K2444" i="2"/>
  <c r="K2445" i="2"/>
  <c r="K2446" i="2"/>
  <c r="K2447" i="2"/>
  <c r="K2448" i="2"/>
  <c r="K2449" i="2"/>
  <c r="K2438" i="2"/>
  <c r="K2427" i="2"/>
  <c r="K2428" i="2"/>
  <c r="K2429" i="2"/>
  <c r="K2430" i="2"/>
  <c r="K2431" i="2"/>
  <c r="K2432" i="2"/>
  <c r="K2433" i="2"/>
  <c r="K2434" i="2"/>
  <c r="K2435" i="2"/>
  <c r="K2436" i="2"/>
  <c r="K2437" i="2"/>
  <c r="K2426" i="2"/>
  <c r="K2295" i="2"/>
  <c r="K2296" i="2"/>
  <c r="K2297" i="2"/>
  <c r="K2298" i="2"/>
  <c r="K2299" i="2"/>
  <c r="K2300" i="2"/>
  <c r="K2301" i="2"/>
  <c r="K2302" i="2"/>
  <c r="K2303" i="2"/>
  <c r="K2304" i="2"/>
  <c r="K2305" i="2"/>
  <c r="K2294" i="2"/>
  <c r="K2283" i="2"/>
  <c r="K2284" i="2"/>
  <c r="K2285" i="2"/>
  <c r="K2286" i="2"/>
  <c r="K2287" i="2"/>
  <c r="K2288" i="2"/>
  <c r="K2289" i="2"/>
  <c r="K2290" i="2"/>
  <c r="K2291" i="2"/>
  <c r="K2292" i="2"/>
  <c r="K2293" i="2"/>
  <c r="K2282" i="2"/>
  <c r="K2151" i="2"/>
  <c r="K2152" i="2"/>
  <c r="K2153" i="2"/>
  <c r="K2154" i="2"/>
  <c r="K2155" i="2"/>
  <c r="K2156" i="2"/>
  <c r="K2157" i="2"/>
  <c r="K2158" i="2"/>
  <c r="K2159" i="2"/>
  <c r="K2160" i="2"/>
  <c r="K2161" i="2"/>
  <c r="K2150" i="2"/>
  <c r="K2139" i="2"/>
  <c r="K2140" i="2"/>
  <c r="K2141" i="2"/>
  <c r="K2142" i="2"/>
  <c r="K2143" i="2"/>
  <c r="K2144" i="2"/>
  <c r="K2145" i="2"/>
  <c r="K2146" i="2"/>
  <c r="K2147" i="2"/>
  <c r="K2148" i="2"/>
  <c r="K2149" i="2"/>
  <c r="K2138" i="2"/>
  <c r="L2139" i="2"/>
  <c r="L2138" i="2"/>
  <c r="K2007" i="2"/>
  <c r="K2008" i="2"/>
  <c r="K2009" i="2"/>
  <c r="K2010" i="2"/>
  <c r="K2011" i="2"/>
  <c r="K2012" i="2"/>
  <c r="K2013" i="2"/>
  <c r="K2014" i="2"/>
  <c r="K2015" i="2"/>
  <c r="K2016" i="2"/>
  <c r="K2017" i="2"/>
  <c r="K2006" i="2"/>
  <c r="L2007" i="2"/>
  <c r="K1995" i="2"/>
  <c r="K1996" i="2"/>
  <c r="K1997" i="2"/>
  <c r="K1998" i="2"/>
  <c r="K1999" i="2"/>
  <c r="K2000" i="2"/>
  <c r="K2001" i="2"/>
  <c r="K2002" i="2"/>
  <c r="K2003" i="2"/>
  <c r="K2004" i="2"/>
  <c r="K2005" i="2"/>
  <c r="K1994" i="2"/>
  <c r="K1863" i="2"/>
  <c r="K1864" i="2"/>
  <c r="K1865" i="2"/>
  <c r="K1866" i="2"/>
  <c r="K1867" i="2"/>
  <c r="K1868" i="2"/>
  <c r="K1869" i="2"/>
  <c r="K1870" i="2"/>
  <c r="K1871" i="2"/>
  <c r="K1872" i="2"/>
  <c r="K1873" i="2"/>
  <c r="K1862" i="2"/>
  <c r="K1851" i="2"/>
  <c r="K1852" i="2"/>
  <c r="K1853" i="2"/>
  <c r="K1854" i="2"/>
  <c r="K1855" i="2"/>
  <c r="K1856" i="2"/>
  <c r="K1857" i="2"/>
  <c r="K1858" i="2"/>
  <c r="K1859" i="2"/>
  <c r="K1860" i="2"/>
  <c r="K1861" i="2"/>
  <c r="K1850" i="2"/>
  <c r="K1719" i="2"/>
  <c r="K1720" i="2"/>
  <c r="K1721" i="2"/>
  <c r="K1722" i="2"/>
  <c r="K1723" i="2"/>
  <c r="K1724" i="2"/>
  <c r="K1725" i="2"/>
  <c r="K1726" i="2"/>
  <c r="K1727" i="2"/>
  <c r="K1728" i="2"/>
  <c r="K1729" i="2"/>
  <c r="K1718" i="2"/>
  <c r="K1707" i="2"/>
  <c r="K1708" i="2"/>
  <c r="K1709" i="2"/>
  <c r="K1710" i="2"/>
  <c r="K1711" i="2"/>
  <c r="K1712" i="2"/>
  <c r="K1713" i="2"/>
  <c r="K1714" i="2"/>
  <c r="K1715" i="2"/>
  <c r="K1716" i="2"/>
  <c r="K1717" i="2"/>
  <c r="K1706" i="2"/>
  <c r="K1575" i="2"/>
  <c r="K1576" i="2"/>
  <c r="K1577" i="2"/>
  <c r="K1578" i="2"/>
  <c r="K1579" i="2"/>
  <c r="K1580" i="2"/>
  <c r="K1581" i="2"/>
  <c r="K1582" i="2"/>
  <c r="K1583" i="2"/>
  <c r="K1584" i="2"/>
  <c r="K1585" i="2"/>
  <c r="K1574" i="2"/>
  <c r="K1563" i="2"/>
  <c r="K1564" i="2"/>
  <c r="K1565" i="2"/>
  <c r="K1566" i="2"/>
  <c r="K1567" i="2"/>
  <c r="K1568" i="2"/>
  <c r="K1569" i="2"/>
  <c r="K1570" i="2"/>
  <c r="K1571" i="2"/>
  <c r="K1572" i="2"/>
  <c r="K1573" i="2"/>
  <c r="K1562" i="2"/>
  <c r="K1431" i="2"/>
  <c r="K1432" i="2"/>
  <c r="K1433" i="2"/>
  <c r="K1434" i="2"/>
  <c r="K1435" i="2"/>
  <c r="K1436" i="2"/>
  <c r="K1437" i="2"/>
  <c r="K1438" i="2"/>
  <c r="K1439" i="2"/>
  <c r="K1440" i="2"/>
  <c r="K1441" i="2"/>
  <c r="K1430" i="2"/>
  <c r="K1419" i="2"/>
  <c r="K1420" i="2"/>
  <c r="K1421" i="2"/>
  <c r="K1422" i="2"/>
  <c r="K1423" i="2"/>
  <c r="K1424" i="2"/>
  <c r="K1425" i="2"/>
  <c r="K1426" i="2"/>
  <c r="K1427" i="2"/>
  <c r="K1428" i="2"/>
  <c r="K1429" i="2"/>
  <c r="K1418" i="2"/>
  <c r="K1287" i="2"/>
  <c r="K1288" i="2"/>
  <c r="K1289" i="2"/>
  <c r="K1290" i="2"/>
  <c r="K1291" i="2"/>
  <c r="K1292" i="2"/>
  <c r="K1293" i="2"/>
  <c r="K1294" i="2"/>
  <c r="K1295" i="2"/>
  <c r="K1296" i="2"/>
  <c r="K1297" i="2"/>
  <c r="K1286" i="2"/>
  <c r="K1285" i="2"/>
  <c r="K1275" i="2"/>
  <c r="K1276" i="2"/>
  <c r="K1277" i="2"/>
  <c r="K1278" i="2"/>
  <c r="K1279" i="2"/>
  <c r="K1280" i="2"/>
  <c r="K1281" i="2"/>
  <c r="K1282" i="2"/>
  <c r="K1283" i="2"/>
  <c r="K1284" i="2"/>
  <c r="K1274" i="2"/>
  <c r="K1143" i="2"/>
  <c r="K1144" i="2"/>
  <c r="K1145" i="2"/>
  <c r="K1146" i="2"/>
  <c r="K1147" i="2"/>
  <c r="K1148" i="2"/>
  <c r="K1149" i="2"/>
  <c r="K1150" i="2"/>
  <c r="K1151" i="2"/>
  <c r="K1152" i="2"/>
  <c r="K1153" i="2"/>
  <c r="K1142" i="2"/>
  <c r="K1131" i="2"/>
  <c r="K1132" i="2"/>
  <c r="K1133" i="2"/>
  <c r="K1134" i="2"/>
  <c r="K1135" i="2"/>
  <c r="K1136" i="2"/>
  <c r="K1137" i="2"/>
  <c r="K1138" i="2"/>
  <c r="K1139" i="2"/>
  <c r="K1140" i="2"/>
  <c r="K1141" i="2"/>
  <c r="K1130" i="2"/>
  <c r="K999" i="2"/>
  <c r="K1000" i="2"/>
  <c r="K1001" i="2"/>
  <c r="K1002" i="2"/>
  <c r="K1003" i="2"/>
  <c r="K1004" i="2"/>
  <c r="K1005" i="2"/>
  <c r="K1006" i="2"/>
  <c r="K1007" i="2"/>
  <c r="K1008" i="2"/>
  <c r="K1009" i="2"/>
  <c r="K998" i="2"/>
  <c r="K987" i="2"/>
  <c r="K988" i="2"/>
  <c r="K989" i="2"/>
  <c r="K990" i="2"/>
  <c r="K991" i="2"/>
  <c r="K992" i="2"/>
  <c r="K993" i="2"/>
  <c r="K994" i="2"/>
  <c r="K995" i="2"/>
  <c r="K996" i="2"/>
  <c r="K997" i="2"/>
  <c r="K986" i="2"/>
  <c r="K855" i="2"/>
  <c r="K856" i="2"/>
  <c r="K857" i="2"/>
  <c r="K858" i="2"/>
  <c r="K859" i="2"/>
  <c r="K860" i="2"/>
  <c r="K861" i="2"/>
  <c r="K862" i="2"/>
  <c r="K863" i="2"/>
  <c r="K864" i="2"/>
  <c r="K865" i="2"/>
  <c r="K854" i="2"/>
  <c r="K843" i="2"/>
  <c r="K844" i="2"/>
  <c r="K845" i="2"/>
  <c r="K846" i="2"/>
  <c r="K847" i="2"/>
  <c r="K848" i="2"/>
  <c r="K849" i="2"/>
  <c r="K850" i="2"/>
  <c r="K851" i="2"/>
  <c r="K852" i="2"/>
  <c r="K853" i="2"/>
  <c r="K842" i="2"/>
  <c r="K711" i="2"/>
  <c r="K712" i="2"/>
  <c r="K713" i="2"/>
  <c r="K714" i="2"/>
  <c r="K715" i="2"/>
  <c r="K716" i="2"/>
  <c r="K717" i="2"/>
  <c r="K718" i="2"/>
  <c r="K719" i="2"/>
  <c r="K720" i="2"/>
  <c r="K721" i="2"/>
  <c r="K710" i="2"/>
  <c r="K699" i="2"/>
  <c r="K700" i="2"/>
  <c r="K701" i="2"/>
  <c r="K702" i="2"/>
  <c r="K703" i="2"/>
  <c r="K704" i="2"/>
  <c r="K705" i="2"/>
  <c r="K706" i="2"/>
  <c r="K707" i="2"/>
  <c r="K708" i="2"/>
  <c r="K709" i="2"/>
  <c r="K698" i="2"/>
  <c r="K567" i="2"/>
  <c r="K568" i="2"/>
  <c r="K569" i="2"/>
  <c r="K570" i="2"/>
  <c r="K571" i="2"/>
  <c r="K572" i="2"/>
  <c r="K573" i="2"/>
  <c r="K574" i="2"/>
  <c r="K575" i="2"/>
  <c r="K576" i="2"/>
  <c r="K577" i="2"/>
  <c r="K566" i="2"/>
  <c r="K555" i="2"/>
  <c r="K556" i="2"/>
  <c r="K557" i="2"/>
  <c r="K558" i="2"/>
  <c r="K559" i="2"/>
  <c r="K560" i="2"/>
  <c r="K561" i="2"/>
  <c r="K562" i="2"/>
  <c r="K563" i="2"/>
  <c r="K564" i="2"/>
  <c r="K565" i="2"/>
  <c r="K554" i="2"/>
  <c r="K423" i="2"/>
  <c r="K424" i="2"/>
  <c r="K425" i="2"/>
  <c r="K426" i="2"/>
  <c r="K427" i="2"/>
  <c r="K428" i="2"/>
  <c r="K429" i="2"/>
  <c r="K430" i="2"/>
  <c r="K431" i="2"/>
  <c r="K432" i="2"/>
  <c r="K433" i="2"/>
  <c r="K422" i="2"/>
  <c r="K411" i="2"/>
  <c r="K412" i="2"/>
  <c r="K413" i="2"/>
  <c r="K414" i="2"/>
  <c r="K415" i="2"/>
  <c r="K416" i="2"/>
  <c r="K417" i="2"/>
  <c r="K418" i="2"/>
  <c r="K419" i="2"/>
  <c r="K420" i="2"/>
  <c r="K421" i="2"/>
  <c r="K410" i="2"/>
  <c r="J3303" i="2" l="1"/>
  <c r="J3304" i="2"/>
  <c r="J3305" i="2"/>
  <c r="J3306" i="2"/>
  <c r="J3307" i="2"/>
  <c r="J3308" i="2"/>
  <c r="J3309" i="2"/>
  <c r="J3310" i="2"/>
  <c r="J3311" i="2"/>
  <c r="J3312" i="2"/>
  <c r="J3313" i="2"/>
  <c r="J3302" i="2"/>
  <c r="J3291" i="2"/>
  <c r="J3292" i="2"/>
  <c r="J3293" i="2"/>
  <c r="J3294" i="2"/>
  <c r="J3295" i="2"/>
  <c r="J3296" i="2"/>
  <c r="J3297" i="2"/>
  <c r="J3298" i="2"/>
  <c r="J3299" i="2"/>
  <c r="J3300" i="2"/>
  <c r="J3301" i="2"/>
  <c r="J3290" i="2"/>
  <c r="J3279" i="2"/>
  <c r="J3280" i="2"/>
  <c r="J3281" i="2"/>
  <c r="J3282" i="2"/>
  <c r="J3283" i="2"/>
  <c r="J3284" i="2"/>
  <c r="J3285" i="2"/>
  <c r="J3286" i="2"/>
  <c r="J3287" i="2"/>
  <c r="J3288" i="2"/>
  <c r="J3289" i="2"/>
  <c r="J3278" i="2"/>
  <c r="J3277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182" i="2"/>
  <c r="J3171" i="2"/>
  <c r="J3172" i="2"/>
  <c r="J3173" i="2"/>
  <c r="J3174" i="2"/>
  <c r="J3175" i="2"/>
  <c r="J3176" i="2"/>
  <c r="J3177" i="2"/>
  <c r="J3178" i="2"/>
  <c r="J3179" i="2"/>
  <c r="J3180" i="2"/>
  <c r="J3181" i="2"/>
  <c r="J3170" i="2"/>
  <c r="J3159" i="2"/>
  <c r="J3160" i="2"/>
  <c r="J3161" i="2"/>
  <c r="J3162" i="2"/>
  <c r="J3163" i="2"/>
  <c r="J3164" i="2"/>
  <c r="J3165" i="2"/>
  <c r="J3166" i="2"/>
  <c r="J3167" i="2"/>
  <c r="J3168" i="2"/>
  <c r="J3169" i="2"/>
  <c r="J3158" i="2"/>
  <c r="J3157" i="2"/>
  <c r="J3147" i="2"/>
  <c r="J3148" i="2"/>
  <c r="J3149" i="2"/>
  <c r="J3150" i="2"/>
  <c r="J3151" i="2"/>
  <c r="J3152" i="2"/>
  <c r="J3153" i="2"/>
  <c r="J3154" i="2"/>
  <c r="J3155" i="2"/>
  <c r="J3156" i="2"/>
  <c r="J3146" i="2"/>
  <c r="J3135" i="2"/>
  <c r="J3136" i="2"/>
  <c r="J3137" i="2"/>
  <c r="J3138" i="2"/>
  <c r="J3139" i="2"/>
  <c r="J3140" i="2"/>
  <c r="J3141" i="2"/>
  <c r="J3142" i="2"/>
  <c r="J3143" i="2"/>
  <c r="J3144" i="2"/>
  <c r="J3145" i="2"/>
  <c r="J3134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038" i="2"/>
  <c r="J3027" i="2"/>
  <c r="J3028" i="2"/>
  <c r="J3029" i="2"/>
  <c r="J3030" i="2"/>
  <c r="J3031" i="2"/>
  <c r="J3032" i="2"/>
  <c r="J3033" i="2"/>
  <c r="J3034" i="2"/>
  <c r="J3035" i="2"/>
  <c r="J3036" i="2"/>
  <c r="J3037" i="2"/>
  <c r="J3026" i="2"/>
  <c r="J3015" i="2"/>
  <c r="J3016" i="2"/>
  <c r="J3017" i="2"/>
  <c r="J3018" i="2"/>
  <c r="J3019" i="2"/>
  <c r="J3020" i="2"/>
  <c r="J3021" i="2"/>
  <c r="J3022" i="2"/>
  <c r="J3023" i="2"/>
  <c r="J3024" i="2"/>
  <c r="J3025" i="2"/>
  <c r="J3014" i="2"/>
  <c r="J3003" i="2"/>
  <c r="J3004" i="2"/>
  <c r="J3005" i="2"/>
  <c r="J3006" i="2"/>
  <c r="J3007" i="2"/>
  <c r="J3008" i="2"/>
  <c r="J3009" i="2"/>
  <c r="J3010" i="2"/>
  <c r="J3011" i="2"/>
  <c r="J3012" i="2"/>
  <c r="J3013" i="2"/>
  <c r="J3002" i="2"/>
  <c r="J2991" i="2"/>
  <c r="J2992" i="2"/>
  <c r="J2993" i="2"/>
  <c r="J2994" i="2"/>
  <c r="J2995" i="2"/>
  <c r="J2996" i="2"/>
  <c r="J2997" i="2"/>
  <c r="J2998" i="2"/>
  <c r="J2999" i="2"/>
  <c r="J3000" i="2"/>
  <c r="J3001" i="2"/>
  <c r="J2990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894" i="2"/>
  <c r="J2893" i="2"/>
  <c r="J2883" i="2"/>
  <c r="J2884" i="2"/>
  <c r="J2885" i="2"/>
  <c r="J2886" i="2"/>
  <c r="J2887" i="2"/>
  <c r="J2888" i="2"/>
  <c r="J2889" i="2"/>
  <c r="J2890" i="2"/>
  <c r="J2891" i="2"/>
  <c r="J2892" i="2"/>
  <c r="J2882" i="2"/>
  <c r="J2871" i="2"/>
  <c r="J2872" i="2"/>
  <c r="J2873" i="2"/>
  <c r="J2874" i="2"/>
  <c r="J2875" i="2"/>
  <c r="J2876" i="2"/>
  <c r="J2877" i="2"/>
  <c r="J2878" i="2"/>
  <c r="J2879" i="2"/>
  <c r="J2880" i="2"/>
  <c r="J2881" i="2"/>
  <c r="J2870" i="2"/>
  <c r="J2859" i="2"/>
  <c r="J2860" i="2"/>
  <c r="J2861" i="2"/>
  <c r="J2862" i="2"/>
  <c r="J2863" i="2"/>
  <c r="J2864" i="2"/>
  <c r="J2865" i="2"/>
  <c r="J2866" i="2"/>
  <c r="J2867" i="2"/>
  <c r="J2868" i="2"/>
  <c r="J2869" i="2"/>
  <c r="J2858" i="2"/>
  <c r="J2847" i="2"/>
  <c r="J2848" i="2"/>
  <c r="J2849" i="2"/>
  <c r="J2850" i="2"/>
  <c r="J2851" i="2"/>
  <c r="J2852" i="2"/>
  <c r="J2853" i="2"/>
  <c r="J2854" i="2"/>
  <c r="J2855" i="2"/>
  <c r="J2856" i="2"/>
  <c r="J2857" i="2"/>
  <c r="J2846" i="2"/>
  <c r="J2845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750" i="2"/>
  <c r="J2739" i="2"/>
  <c r="J2740" i="2"/>
  <c r="J2741" i="2"/>
  <c r="J2742" i="2"/>
  <c r="J2743" i="2"/>
  <c r="J2744" i="2"/>
  <c r="J2745" i="2"/>
  <c r="J2746" i="2"/>
  <c r="J2747" i="2"/>
  <c r="J2748" i="2"/>
  <c r="J2749" i="2"/>
  <c r="J2738" i="2"/>
  <c r="J2737" i="2"/>
  <c r="J2727" i="2"/>
  <c r="J2728" i="2"/>
  <c r="J2729" i="2"/>
  <c r="J2730" i="2"/>
  <c r="J2731" i="2"/>
  <c r="J2732" i="2"/>
  <c r="J2733" i="2"/>
  <c r="J2734" i="2"/>
  <c r="J2735" i="2"/>
  <c r="J2736" i="2"/>
  <c r="J2726" i="2"/>
  <c r="J2715" i="2"/>
  <c r="J2716" i="2"/>
  <c r="J2717" i="2"/>
  <c r="J2718" i="2"/>
  <c r="J2719" i="2"/>
  <c r="J2720" i="2"/>
  <c r="J2721" i="2"/>
  <c r="J2722" i="2"/>
  <c r="J2723" i="2"/>
  <c r="J2724" i="2"/>
  <c r="J2725" i="2"/>
  <c r="J2714" i="2"/>
  <c r="J2703" i="2"/>
  <c r="J2704" i="2"/>
  <c r="J2705" i="2"/>
  <c r="J2706" i="2"/>
  <c r="J2707" i="2"/>
  <c r="J2708" i="2"/>
  <c r="J2709" i="2"/>
  <c r="J2710" i="2"/>
  <c r="J2711" i="2"/>
  <c r="J2712" i="2"/>
  <c r="J2713" i="2"/>
  <c r="J2702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606" i="2"/>
  <c r="J2595" i="2"/>
  <c r="J2596" i="2"/>
  <c r="J2597" i="2"/>
  <c r="J2598" i="2"/>
  <c r="J2599" i="2"/>
  <c r="J2600" i="2"/>
  <c r="J2601" i="2"/>
  <c r="J2602" i="2"/>
  <c r="J2603" i="2"/>
  <c r="J2604" i="2"/>
  <c r="J2605" i="2"/>
  <c r="J2594" i="2"/>
  <c r="J2583" i="2"/>
  <c r="J2584" i="2"/>
  <c r="J2585" i="2"/>
  <c r="J2586" i="2"/>
  <c r="J2587" i="2"/>
  <c r="J2588" i="2"/>
  <c r="J2589" i="2"/>
  <c r="J2590" i="2"/>
  <c r="J2591" i="2"/>
  <c r="J2592" i="2"/>
  <c r="J2593" i="2"/>
  <c r="J2582" i="2"/>
  <c r="J2581" i="2"/>
  <c r="J2571" i="2"/>
  <c r="J2572" i="2"/>
  <c r="J2573" i="2"/>
  <c r="J2574" i="2"/>
  <c r="J2575" i="2"/>
  <c r="J2576" i="2"/>
  <c r="J2577" i="2"/>
  <c r="J2578" i="2"/>
  <c r="J2579" i="2"/>
  <c r="J2580" i="2"/>
  <c r="J2570" i="2"/>
  <c r="J2559" i="2"/>
  <c r="J2560" i="2"/>
  <c r="J2561" i="2"/>
  <c r="J2562" i="2"/>
  <c r="J2563" i="2"/>
  <c r="J2564" i="2"/>
  <c r="J2565" i="2"/>
  <c r="J2566" i="2"/>
  <c r="J2567" i="2"/>
  <c r="J2568" i="2"/>
  <c r="J2569" i="2"/>
  <c r="J2558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462" i="2"/>
  <c r="J2451" i="2"/>
  <c r="J2452" i="2"/>
  <c r="J2453" i="2"/>
  <c r="J2454" i="2"/>
  <c r="J2455" i="2"/>
  <c r="J2456" i="2"/>
  <c r="J2457" i="2"/>
  <c r="J2458" i="2"/>
  <c r="J2459" i="2"/>
  <c r="J2460" i="2"/>
  <c r="J2461" i="2"/>
  <c r="J2450" i="2"/>
  <c r="J2439" i="2"/>
  <c r="J2440" i="2"/>
  <c r="J2441" i="2"/>
  <c r="J2442" i="2"/>
  <c r="J2443" i="2"/>
  <c r="J2444" i="2"/>
  <c r="J2445" i="2"/>
  <c r="J2446" i="2"/>
  <c r="J2447" i="2"/>
  <c r="J2448" i="2"/>
  <c r="J2449" i="2"/>
  <c r="J2438" i="2"/>
  <c r="J2427" i="2"/>
  <c r="J2428" i="2"/>
  <c r="J2429" i="2"/>
  <c r="J2430" i="2"/>
  <c r="J2431" i="2"/>
  <c r="J2432" i="2"/>
  <c r="J2433" i="2"/>
  <c r="J2434" i="2"/>
  <c r="J2435" i="2"/>
  <c r="J2436" i="2"/>
  <c r="J2437" i="2"/>
  <c r="J2426" i="2"/>
  <c r="J2415" i="2"/>
  <c r="J2416" i="2"/>
  <c r="J2417" i="2"/>
  <c r="J2418" i="2"/>
  <c r="J2419" i="2"/>
  <c r="J2420" i="2"/>
  <c r="J2421" i="2"/>
  <c r="J2422" i="2"/>
  <c r="J2423" i="2"/>
  <c r="J2424" i="2"/>
  <c r="J2425" i="2"/>
  <c r="J2414" i="2"/>
  <c r="J2403" i="2"/>
  <c r="J2404" i="2"/>
  <c r="J2405" i="2"/>
  <c r="J2406" i="2"/>
  <c r="J2407" i="2"/>
  <c r="J2408" i="2"/>
  <c r="J2409" i="2"/>
  <c r="J2410" i="2"/>
  <c r="J2411" i="2"/>
  <c r="J2412" i="2"/>
  <c r="J2413" i="2"/>
  <c r="J2402" i="2"/>
  <c r="J2401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318" i="2"/>
  <c r="J2317" i="2"/>
  <c r="J2307" i="2"/>
  <c r="J2308" i="2"/>
  <c r="J2309" i="2"/>
  <c r="J2310" i="2"/>
  <c r="J2311" i="2"/>
  <c r="J2312" i="2"/>
  <c r="J2313" i="2"/>
  <c r="J2314" i="2"/>
  <c r="J2315" i="2"/>
  <c r="J2316" i="2"/>
  <c r="J2306" i="2"/>
  <c r="J2295" i="2"/>
  <c r="J2296" i="2"/>
  <c r="J2297" i="2"/>
  <c r="J2298" i="2"/>
  <c r="J2299" i="2"/>
  <c r="J2300" i="2"/>
  <c r="J2301" i="2"/>
  <c r="J2302" i="2"/>
  <c r="J2303" i="2"/>
  <c r="J2304" i="2"/>
  <c r="J2305" i="2"/>
  <c r="J2294" i="2"/>
  <c r="J2283" i="2"/>
  <c r="J2284" i="2"/>
  <c r="J2285" i="2"/>
  <c r="J2286" i="2"/>
  <c r="J2287" i="2"/>
  <c r="J2288" i="2"/>
  <c r="J2289" i="2"/>
  <c r="J2290" i="2"/>
  <c r="J2291" i="2"/>
  <c r="J2292" i="2"/>
  <c r="J2293" i="2"/>
  <c r="J2282" i="2"/>
  <c r="J2271" i="2"/>
  <c r="J2272" i="2"/>
  <c r="J2273" i="2"/>
  <c r="J2274" i="2"/>
  <c r="J2275" i="2"/>
  <c r="J2276" i="2"/>
  <c r="J2277" i="2"/>
  <c r="J2278" i="2"/>
  <c r="J2279" i="2"/>
  <c r="J2280" i="2"/>
  <c r="J2281" i="2"/>
  <c r="J2270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174" i="2"/>
  <c r="J2163" i="2"/>
  <c r="J2164" i="2"/>
  <c r="J2165" i="2"/>
  <c r="J2166" i="2"/>
  <c r="J2167" i="2"/>
  <c r="J2168" i="2"/>
  <c r="J2169" i="2"/>
  <c r="J2170" i="2"/>
  <c r="J2171" i="2"/>
  <c r="J2172" i="2"/>
  <c r="J2173" i="2"/>
  <c r="J2162" i="2"/>
  <c r="J2151" i="2"/>
  <c r="J2152" i="2"/>
  <c r="J2153" i="2"/>
  <c r="J2154" i="2"/>
  <c r="J2155" i="2"/>
  <c r="J2156" i="2"/>
  <c r="J2157" i="2"/>
  <c r="J2158" i="2"/>
  <c r="J2159" i="2"/>
  <c r="J2160" i="2"/>
  <c r="J2161" i="2"/>
  <c r="J2150" i="2"/>
  <c r="J2139" i="2"/>
  <c r="J2140" i="2"/>
  <c r="J2141" i="2"/>
  <c r="J2142" i="2"/>
  <c r="J2143" i="2"/>
  <c r="J2144" i="2"/>
  <c r="J2145" i="2"/>
  <c r="J2146" i="2"/>
  <c r="J2147" i="2"/>
  <c r="J2148" i="2"/>
  <c r="J2149" i="2"/>
  <c r="J2138" i="2"/>
  <c r="J2127" i="2"/>
  <c r="J2128" i="2"/>
  <c r="J2129" i="2"/>
  <c r="J2130" i="2"/>
  <c r="J2131" i="2"/>
  <c r="J2132" i="2"/>
  <c r="J2133" i="2"/>
  <c r="J2134" i="2"/>
  <c r="J2135" i="2"/>
  <c r="J2136" i="2"/>
  <c r="J2137" i="2"/>
  <c r="J2126" i="2"/>
  <c r="J2125" i="2"/>
  <c r="J2115" i="2"/>
  <c r="J2116" i="2"/>
  <c r="J2117" i="2"/>
  <c r="J2118" i="2"/>
  <c r="J2119" i="2"/>
  <c r="J2120" i="2"/>
  <c r="J2121" i="2"/>
  <c r="J2122" i="2"/>
  <c r="J2123" i="2"/>
  <c r="J2124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031" i="2"/>
  <c r="J2032" i="2"/>
  <c r="J2033" i="2"/>
  <c r="J2034" i="2"/>
  <c r="J2035" i="2"/>
  <c r="J2036" i="2"/>
  <c r="J2037" i="2"/>
  <c r="J2038" i="2"/>
  <c r="J2039" i="2"/>
  <c r="J2040" i="2"/>
  <c r="J2041" i="2"/>
  <c r="J2030" i="2"/>
  <c r="J2019" i="2"/>
  <c r="J2020" i="2"/>
  <c r="J2021" i="2"/>
  <c r="J2022" i="2"/>
  <c r="J2023" i="2"/>
  <c r="J2024" i="2"/>
  <c r="J2025" i="2"/>
  <c r="J2026" i="2"/>
  <c r="J2027" i="2"/>
  <c r="J2028" i="2"/>
  <c r="J2029" i="2"/>
  <c r="J2018" i="2"/>
  <c r="J2007" i="2"/>
  <c r="J2008" i="2"/>
  <c r="J2009" i="2"/>
  <c r="J2010" i="2"/>
  <c r="J2011" i="2"/>
  <c r="J2012" i="2"/>
  <c r="J2013" i="2"/>
  <c r="J2014" i="2"/>
  <c r="J2015" i="2"/>
  <c r="J2016" i="2"/>
  <c r="J2017" i="2"/>
  <c r="J2006" i="2"/>
  <c r="J1995" i="2"/>
  <c r="J1996" i="2"/>
  <c r="J1997" i="2"/>
  <c r="J1998" i="2"/>
  <c r="J1999" i="2"/>
  <c r="J2000" i="2"/>
  <c r="J2001" i="2"/>
  <c r="J2002" i="2"/>
  <c r="J2003" i="2"/>
  <c r="J2004" i="2"/>
  <c r="J2005" i="2"/>
  <c r="J1994" i="2"/>
  <c r="J1983" i="2"/>
  <c r="J1984" i="2"/>
  <c r="J1985" i="2"/>
  <c r="J1986" i="2"/>
  <c r="J1987" i="2"/>
  <c r="J1988" i="2"/>
  <c r="J1989" i="2"/>
  <c r="J1990" i="2"/>
  <c r="J1991" i="2"/>
  <c r="J1992" i="2"/>
  <c r="J1993" i="2"/>
  <c r="J1982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886" i="2"/>
  <c r="J1885" i="2"/>
  <c r="J1875" i="2"/>
  <c r="J1876" i="2"/>
  <c r="J1877" i="2"/>
  <c r="J1878" i="2"/>
  <c r="J1879" i="2"/>
  <c r="J1880" i="2"/>
  <c r="J1881" i="2"/>
  <c r="J1882" i="2"/>
  <c r="J1883" i="2"/>
  <c r="J1884" i="2"/>
  <c r="J1874" i="2"/>
  <c r="J1863" i="2"/>
  <c r="J1864" i="2"/>
  <c r="J1865" i="2"/>
  <c r="J1866" i="2"/>
  <c r="J1867" i="2"/>
  <c r="J1868" i="2"/>
  <c r="J1869" i="2"/>
  <c r="J1870" i="2"/>
  <c r="J1871" i="2"/>
  <c r="J1872" i="2"/>
  <c r="J1873" i="2"/>
  <c r="J1862" i="2"/>
  <c r="J1851" i="2"/>
  <c r="J1852" i="2"/>
  <c r="J1853" i="2"/>
  <c r="J1854" i="2"/>
  <c r="J1855" i="2"/>
  <c r="J1856" i="2"/>
  <c r="J1857" i="2"/>
  <c r="J1858" i="2"/>
  <c r="J1859" i="2"/>
  <c r="J1860" i="2"/>
  <c r="J1861" i="2"/>
  <c r="J1850" i="2"/>
  <c r="J1849" i="2"/>
  <c r="J1839" i="2"/>
  <c r="J1840" i="2"/>
  <c r="J1841" i="2"/>
  <c r="J1842" i="2"/>
  <c r="J1843" i="2"/>
  <c r="J1844" i="2"/>
  <c r="J1845" i="2"/>
  <c r="J1846" i="2"/>
  <c r="J1847" i="2"/>
  <c r="J1848" i="2"/>
  <c r="J1838" i="2"/>
  <c r="J1837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742" i="2"/>
  <c r="J1731" i="2"/>
  <c r="J1732" i="2"/>
  <c r="J1733" i="2"/>
  <c r="J1734" i="2"/>
  <c r="J1735" i="2"/>
  <c r="J1736" i="2"/>
  <c r="J1737" i="2"/>
  <c r="J1738" i="2"/>
  <c r="J1739" i="2"/>
  <c r="J1740" i="2"/>
  <c r="J1741" i="2"/>
  <c r="J1730" i="2"/>
  <c r="J1719" i="2"/>
  <c r="J1720" i="2"/>
  <c r="J1721" i="2"/>
  <c r="J1722" i="2"/>
  <c r="J1723" i="2"/>
  <c r="J1724" i="2"/>
  <c r="J1725" i="2"/>
  <c r="J1726" i="2"/>
  <c r="J1727" i="2"/>
  <c r="J1728" i="2"/>
  <c r="J1729" i="2"/>
  <c r="J1718" i="2"/>
  <c r="J1707" i="2"/>
  <c r="J1708" i="2"/>
  <c r="J1709" i="2"/>
  <c r="J1710" i="2"/>
  <c r="J1711" i="2"/>
  <c r="J1712" i="2"/>
  <c r="J1713" i="2"/>
  <c r="J1714" i="2"/>
  <c r="J1715" i="2"/>
  <c r="J1716" i="2"/>
  <c r="J1717" i="2"/>
  <c r="J1706" i="2"/>
  <c r="J1695" i="2"/>
  <c r="J1696" i="2"/>
  <c r="J1697" i="2"/>
  <c r="J1698" i="2"/>
  <c r="J1699" i="2"/>
  <c r="J1700" i="2"/>
  <c r="J1701" i="2"/>
  <c r="J1702" i="2"/>
  <c r="J1703" i="2"/>
  <c r="J1704" i="2"/>
  <c r="J1705" i="2"/>
  <c r="J1694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598" i="2"/>
  <c r="J1587" i="2"/>
  <c r="J1588" i="2"/>
  <c r="J1589" i="2"/>
  <c r="J1590" i="2"/>
  <c r="J1591" i="2"/>
  <c r="J1592" i="2"/>
  <c r="J1593" i="2"/>
  <c r="J1594" i="2"/>
  <c r="J1595" i="2"/>
  <c r="J1596" i="2"/>
  <c r="J1597" i="2"/>
  <c r="J1586" i="2"/>
  <c r="J1575" i="2"/>
  <c r="J1576" i="2"/>
  <c r="J1577" i="2"/>
  <c r="J1578" i="2"/>
  <c r="J1579" i="2"/>
  <c r="J1580" i="2"/>
  <c r="J1581" i="2"/>
  <c r="J1582" i="2"/>
  <c r="J1583" i="2"/>
  <c r="J1584" i="2"/>
  <c r="J1585" i="2"/>
  <c r="J1574" i="2"/>
  <c r="J1563" i="2"/>
  <c r="J1564" i="2"/>
  <c r="J1565" i="2"/>
  <c r="J1566" i="2"/>
  <c r="J1567" i="2"/>
  <c r="J1568" i="2"/>
  <c r="J1569" i="2"/>
  <c r="J1570" i="2"/>
  <c r="J1571" i="2"/>
  <c r="J1572" i="2"/>
  <c r="J1573" i="2"/>
  <c r="J1562" i="2"/>
  <c r="J1561" i="2"/>
  <c r="J1551" i="2"/>
  <c r="J1552" i="2"/>
  <c r="J1553" i="2"/>
  <c r="J1554" i="2"/>
  <c r="J1555" i="2"/>
  <c r="J1556" i="2"/>
  <c r="J1557" i="2"/>
  <c r="J1558" i="2"/>
  <c r="J1559" i="2"/>
  <c r="J1560" i="2"/>
  <c r="J1550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454" i="2"/>
  <c r="J1443" i="2"/>
  <c r="J1444" i="2"/>
  <c r="J1445" i="2"/>
  <c r="J1446" i="2"/>
  <c r="J1447" i="2"/>
  <c r="J1448" i="2"/>
  <c r="J1449" i="2"/>
  <c r="J1450" i="2"/>
  <c r="J1451" i="2"/>
  <c r="J1452" i="2"/>
  <c r="J1453" i="2"/>
  <c r="J1442" i="2"/>
  <c r="J1431" i="2"/>
  <c r="J1432" i="2"/>
  <c r="J1433" i="2"/>
  <c r="J1434" i="2"/>
  <c r="J1435" i="2"/>
  <c r="J1436" i="2"/>
  <c r="J1437" i="2"/>
  <c r="J1438" i="2"/>
  <c r="J1439" i="2"/>
  <c r="J1440" i="2"/>
  <c r="J1441" i="2"/>
  <c r="J1430" i="2"/>
  <c r="J1419" i="2"/>
  <c r="J1420" i="2"/>
  <c r="J1421" i="2"/>
  <c r="J1422" i="2"/>
  <c r="J1423" i="2"/>
  <c r="J1424" i="2"/>
  <c r="J1425" i="2"/>
  <c r="J1426" i="2"/>
  <c r="J1427" i="2"/>
  <c r="J1428" i="2"/>
  <c r="J1429" i="2"/>
  <c r="J1418" i="2"/>
  <c r="J1407" i="2"/>
  <c r="J1408" i="2"/>
  <c r="J1409" i="2"/>
  <c r="J1410" i="2"/>
  <c r="J1411" i="2"/>
  <c r="J1412" i="2"/>
  <c r="J1413" i="2"/>
  <c r="J1414" i="2"/>
  <c r="J1415" i="2"/>
  <c r="J1416" i="2"/>
  <c r="J1417" i="2"/>
  <c r="J1406" i="2"/>
  <c r="J1405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310" i="2"/>
  <c r="J1299" i="2"/>
  <c r="J1300" i="2"/>
  <c r="J1301" i="2"/>
  <c r="J1302" i="2"/>
  <c r="J1303" i="2"/>
  <c r="J1304" i="2"/>
  <c r="J1305" i="2"/>
  <c r="J1306" i="2"/>
  <c r="J1307" i="2"/>
  <c r="J1308" i="2"/>
  <c r="J1309" i="2"/>
  <c r="J1298" i="2"/>
  <c r="J1287" i="2"/>
  <c r="J1288" i="2"/>
  <c r="J1289" i="2"/>
  <c r="J1290" i="2"/>
  <c r="J1291" i="2"/>
  <c r="J1292" i="2"/>
  <c r="J1293" i="2"/>
  <c r="J1294" i="2"/>
  <c r="J1295" i="2"/>
  <c r="J1296" i="2"/>
  <c r="J1297" i="2"/>
  <c r="J1286" i="2"/>
  <c r="J1275" i="2"/>
  <c r="J1276" i="2"/>
  <c r="J1277" i="2"/>
  <c r="J1278" i="2"/>
  <c r="J1279" i="2"/>
  <c r="J1280" i="2"/>
  <c r="J1281" i="2"/>
  <c r="J1282" i="2"/>
  <c r="J1283" i="2"/>
  <c r="J1284" i="2"/>
  <c r="J1285" i="2"/>
  <c r="J1274" i="2"/>
  <c r="J1263" i="2"/>
  <c r="J1264" i="2"/>
  <c r="J1265" i="2"/>
  <c r="J1266" i="2"/>
  <c r="J1267" i="2"/>
  <c r="J1268" i="2"/>
  <c r="J1269" i="2"/>
  <c r="J1270" i="2"/>
  <c r="J1271" i="2"/>
  <c r="J1272" i="2"/>
  <c r="J1273" i="2"/>
  <c r="J1262" i="2"/>
  <c r="J126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167" i="2"/>
  <c r="J1168" i="2"/>
  <c r="J1169" i="2"/>
  <c r="J1170" i="2"/>
  <c r="J1171" i="2"/>
  <c r="J1172" i="2"/>
  <c r="J1173" i="2"/>
  <c r="J1174" i="2"/>
  <c r="J1175" i="2"/>
  <c r="J1176" i="2"/>
  <c r="J1177" i="2"/>
  <c r="J1166" i="2"/>
  <c r="J1155" i="2"/>
  <c r="J1156" i="2"/>
  <c r="J1157" i="2"/>
  <c r="J1158" i="2"/>
  <c r="J1159" i="2"/>
  <c r="J1160" i="2"/>
  <c r="J1161" i="2"/>
  <c r="J1162" i="2"/>
  <c r="J1163" i="2"/>
  <c r="J1164" i="2"/>
  <c r="J1165" i="2"/>
  <c r="J1154" i="2"/>
  <c r="J1143" i="2"/>
  <c r="J1144" i="2"/>
  <c r="J1145" i="2"/>
  <c r="J1146" i="2"/>
  <c r="J1147" i="2"/>
  <c r="J1148" i="2"/>
  <c r="J1149" i="2"/>
  <c r="J1150" i="2"/>
  <c r="J1151" i="2"/>
  <c r="J1152" i="2"/>
  <c r="J1153" i="2"/>
  <c r="J1142" i="2"/>
  <c r="J1131" i="2"/>
  <c r="J1132" i="2"/>
  <c r="J1133" i="2"/>
  <c r="J1134" i="2"/>
  <c r="J1135" i="2"/>
  <c r="J1136" i="2"/>
  <c r="J1137" i="2"/>
  <c r="J1138" i="2"/>
  <c r="J1139" i="2"/>
  <c r="J1140" i="2"/>
  <c r="J1141" i="2"/>
  <c r="J1130" i="2"/>
  <c r="J1119" i="2"/>
  <c r="J1120" i="2"/>
  <c r="J1121" i="2"/>
  <c r="J1122" i="2"/>
  <c r="J1123" i="2"/>
  <c r="J1124" i="2"/>
  <c r="J1125" i="2"/>
  <c r="J1126" i="2"/>
  <c r="J1127" i="2"/>
  <c r="J1128" i="2"/>
  <c r="J1129" i="2"/>
  <c r="J1118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022" i="2"/>
  <c r="J1011" i="2"/>
  <c r="J1012" i="2"/>
  <c r="J1013" i="2"/>
  <c r="J1014" i="2"/>
  <c r="J1015" i="2"/>
  <c r="J1016" i="2"/>
  <c r="J1017" i="2"/>
  <c r="J1018" i="2"/>
  <c r="J1019" i="2"/>
  <c r="J1020" i="2"/>
  <c r="J1021" i="2"/>
  <c r="J1010" i="2"/>
  <c r="J999" i="2"/>
  <c r="J1000" i="2"/>
  <c r="J1001" i="2"/>
  <c r="J1002" i="2"/>
  <c r="J1003" i="2"/>
  <c r="J1004" i="2"/>
  <c r="J1005" i="2"/>
  <c r="J1006" i="2"/>
  <c r="J1007" i="2"/>
  <c r="J1008" i="2"/>
  <c r="J1009" i="2"/>
  <c r="J998" i="2"/>
  <c r="J987" i="2"/>
  <c r="J988" i="2"/>
  <c r="J989" i="2"/>
  <c r="J990" i="2"/>
  <c r="J991" i="2"/>
  <c r="J992" i="2"/>
  <c r="J993" i="2"/>
  <c r="J994" i="2"/>
  <c r="J995" i="2"/>
  <c r="J996" i="2"/>
  <c r="J997" i="2"/>
  <c r="J986" i="2"/>
  <c r="J975" i="2"/>
  <c r="J976" i="2"/>
  <c r="J977" i="2"/>
  <c r="J978" i="2"/>
  <c r="J979" i="2"/>
  <c r="J980" i="2"/>
  <c r="J981" i="2"/>
  <c r="J982" i="2"/>
  <c r="J983" i="2"/>
  <c r="J984" i="2"/>
  <c r="J985" i="2"/>
  <c r="J974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878" i="2"/>
  <c r="J867" i="2"/>
  <c r="J868" i="2"/>
  <c r="J869" i="2"/>
  <c r="J870" i="2"/>
  <c r="J871" i="2"/>
  <c r="J872" i="2"/>
  <c r="J873" i="2"/>
  <c r="J874" i="2"/>
  <c r="J875" i="2"/>
  <c r="J876" i="2"/>
  <c r="J877" i="2"/>
  <c r="J866" i="2"/>
  <c r="J402" i="2"/>
  <c r="J398" i="2"/>
  <c r="J687" i="2"/>
  <c r="J688" i="2"/>
  <c r="J689" i="2"/>
  <c r="J690" i="2"/>
  <c r="J691" i="2"/>
  <c r="J692" i="2"/>
  <c r="J693" i="2"/>
  <c r="J694" i="2"/>
  <c r="J695" i="2"/>
  <c r="J696" i="2"/>
  <c r="J697" i="2"/>
  <c r="J686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734" i="2"/>
  <c r="J855" i="2"/>
  <c r="J856" i="2"/>
  <c r="J857" i="2"/>
  <c r="J858" i="2"/>
  <c r="J859" i="2"/>
  <c r="J860" i="2"/>
  <c r="J861" i="2"/>
  <c r="J862" i="2"/>
  <c r="J863" i="2"/>
  <c r="J864" i="2"/>
  <c r="J865" i="2"/>
  <c r="J854" i="2"/>
  <c r="J843" i="2"/>
  <c r="J844" i="2"/>
  <c r="J845" i="2"/>
  <c r="J846" i="2"/>
  <c r="J847" i="2"/>
  <c r="J848" i="2"/>
  <c r="J849" i="2"/>
  <c r="J850" i="2"/>
  <c r="J851" i="2"/>
  <c r="J852" i="2"/>
  <c r="J853" i="2"/>
  <c r="J842" i="2"/>
  <c r="J831" i="2"/>
  <c r="J832" i="2"/>
  <c r="J833" i="2"/>
  <c r="J834" i="2"/>
  <c r="J835" i="2"/>
  <c r="J836" i="2"/>
  <c r="J837" i="2"/>
  <c r="J838" i="2"/>
  <c r="J839" i="2"/>
  <c r="J840" i="2"/>
  <c r="J841" i="2"/>
  <c r="J830" i="2"/>
  <c r="J723" i="2"/>
  <c r="J724" i="2"/>
  <c r="J725" i="2"/>
  <c r="J726" i="2"/>
  <c r="J727" i="2"/>
  <c r="J728" i="2"/>
  <c r="J729" i="2"/>
  <c r="J730" i="2"/>
  <c r="J731" i="2"/>
  <c r="J732" i="2"/>
  <c r="J733" i="2"/>
  <c r="J722" i="2"/>
  <c r="J721" i="2"/>
  <c r="J711" i="2"/>
  <c r="J712" i="2"/>
  <c r="J713" i="2"/>
  <c r="J714" i="2"/>
  <c r="J715" i="2"/>
  <c r="J716" i="2"/>
  <c r="J717" i="2"/>
  <c r="J718" i="2"/>
  <c r="J719" i="2"/>
  <c r="J720" i="2"/>
  <c r="J710" i="2"/>
  <c r="J699" i="2"/>
  <c r="J700" i="2"/>
  <c r="J701" i="2"/>
  <c r="J702" i="2"/>
  <c r="J703" i="2"/>
  <c r="J704" i="2"/>
  <c r="J705" i="2"/>
  <c r="J706" i="2"/>
  <c r="J707" i="2"/>
  <c r="J708" i="2"/>
  <c r="J709" i="2"/>
  <c r="J698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590" i="2"/>
  <c r="J579" i="2"/>
  <c r="J580" i="2"/>
  <c r="J581" i="2"/>
  <c r="J582" i="2"/>
  <c r="J583" i="2"/>
  <c r="J584" i="2"/>
  <c r="J585" i="2"/>
  <c r="J586" i="2"/>
  <c r="J587" i="2"/>
  <c r="J588" i="2"/>
  <c r="J589" i="2"/>
  <c r="J578" i="2"/>
  <c r="J577" i="2"/>
  <c r="J567" i="2"/>
  <c r="J568" i="2"/>
  <c r="J569" i="2"/>
  <c r="J570" i="2"/>
  <c r="J571" i="2"/>
  <c r="J572" i="2"/>
  <c r="J573" i="2"/>
  <c r="J574" i="2"/>
  <c r="J575" i="2"/>
  <c r="J576" i="2"/>
  <c r="J566" i="2"/>
  <c r="J555" i="2"/>
  <c r="J556" i="2"/>
  <c r="J557" i="2"/>
  <c r="J558" i="2"/>
  <c r="J559" i="2"/>
  <c r="J560" i="2"/>
  <c r="J561" i="2"/>
  <c r="J562" i="2"/>
  <c r="J563" i="2"/>
  <c r="J564" i="2"/>
  <c r="J565" i="2"/>
  <c r="J554" i="2"/>
  <c r="J543" i="2"/>
  <c r="J544" i="2"/>
  <c r="J545" i="2"/>
  <c r="J546" i="2"/>
  <c r="J547" i="2"/>
  <c r="J548" i="2"/>
  <c r="J549" i="2"/>
  <c r="J550" i="2"/>
  <c r="J551" i="2"/>
  <c r="J552" i="2"/>
  <c r="J553" i="2"/>
  <c r="J542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29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446" i="2"/>
  <c r="J435" i="2"/>
  <c r="J436" i="2"/>
  <c r="J437" i="2"/>
  <c r="J438" i="2"/>
  <c r="J439" i="2"/>
  <c r="J440" i="2"/>
  <c r="J441" i="2"/>
  <c r="J442" i="2"/>
  <c r="J443" i="2"/>
  <c r="J444" i="2"/>
  <c r="J445" i="2"/>
  <c r="J434" i="2"/>
  <c r="J135" i="2"/>
  <c r="J136" i="2"/>
  <c r="J137" i="2"/>
  <c r="J138" i="2"/>
  <c r="J139" i="2"/>
  <c r="J140" i="2"/>
  <c r="J141" i="2"/>
  <c r="J142" i="2"/>
  <c r="J143" i="2"/>
  <c r="J144" i="2"/>
  <c r="J145" i="2"/>
  <c r="J134" i="2"/>
  <c r="J279" i="2"/>
  <c r="J280" i="2"/>
  <c r="J281" i="2"/>
  <c r="J282" i="2"/>
  <c r="J283" i="2"/>
  <c r="J284" i="2"/>
  <c r="J285" i="2"/>
  <c r="J286" i="2"/>
  <c r="J287" i="2"/>
  <c r="J288" i="2"/>
  <c r="J289" i="2"/>
  <c r="J278" i="2"/>
  <c r="J423" i="2"/>
  <c r="J424" i="2"/>
  <c r="J425" i="2"/>
  <c r="J426" i="2"/>
  <c r="J427" i="2"/>
  <c r="J428" i="2"/>
  <c r="J429" i="2"/>
  <c r="J430" i="2"/>
  <c r="J431" i="2"/>
  <c r="J432" i="2"/>
  <c r="J433" i="2"/>
  <c r="J422" i="2"/>
  <c r="J411" i="2"/>
  <c r="J412" i="2"/>
  <c r="J413" i="2"/>
  <c r="J414" i="2"/>
  <c r="J415" i="2"/>
  <c r="J416" i="2"/>
  <c r="J417" i="2"/>
  <c r="J418" i="2"/>
  <c r="J419" i="2"/>
  <c r="J420" i="2"/>
  <c r="J421" i="2"/>
  <c r="J410" i="2"/>
  <c r="J399" i="2"/>
  <c r="J400" i="2"/>
  <c r="J401" i="2"/>
  <c r="J403" i="2"/>
  <c r="J404" i="2"/>
  <c r="J405" i="2"/>
  <c r="J406" i="2"/>
  <c r="J407" i="2"/>
  <c r="J408" i="2"/>
  <c r="J409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02" i="2"/>
  <c r="J291" i="2"/>
  <c r="J292" i="2"/>
  <c r="J293" i="2"/>
  <c r="J294" i="2"/>
  <c r="J295" i="2"/>
  <c r="J296" i="2"/>
  <c r="J297" i="2"/>
  <c r="J298" i="2"/>
  <c r="J299" i="2"/>
  <c r="J300" i="2"/>
  <c r="J301" i="2"/>
  <c r="J290" i="2"/>
  <c r="J267" i="2"/>
  <c r="J268" i="2"/>
  <c r="J269" i="2"/>
  <c r="J270" i="2"/>
  <c r="J271" i="2"/>
  <c r="J272" i="2"/>
  <c r="J273" i="2"/>
  <c r="J274" i="2"/>
  <c r="J275" i="2"/>
  <c r="J276" i="2"/>
  <c r="J277" i="2"/>
  <c r="J266" i="2"/>
  <c r="J255" i="2"/>
  <c r="J256" i="2"/>
  <c r="J257" i="2"/>
  <c r="J258" i="2"/>
  <c r="J259" i="2"/>
  <c r="J260" i="2"/>
  <c r="J261" i="2"/>
  <c r="J262" i="2"/>
  <c r="J263" i="2"/>
  <c r="J264" i="2"/>
  <c r="J265" i="2"/>
  <c r="J254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158" i="2"/>
  <c r="J147" i="2"/>
  <c r="J148" i="2"/>
  <c r="J149" i="2"/>
  <c r="J150" i="2"/>
  <c r="J151" i="2"/>
  <c r="J152" i="2"/>
  <c r="J153" i="2"/>
  <c r="J154" i="2"/>
  <c r="J155" i="2"/>
  <c r="J156" i="2"/>
  <c r="J157" i="2"/>
  <c r="J146" i="2"/>
  <c r="J123" i="2"/>
  <c r="J124" i="2"/>
  <c r="J125" i="2"/>
  <c r="J126" i="2"/>
  <c r="J127" i="2"/>
  <c r="J128" i="2"/>
  <c r="J129" i="2"/>
  <c r="J130" i="2"/>
  <c r="J131" i="2"/>
  <c r="J132" i="2"/>
  <c r="J133" i="2"/>
  <c r="J122" i="2"/>
  <c r="J121" i="2"/>
  <c r="J111" i="2"/>
  <c r="J112" i="2"/>
  <c r="J113" i="2"/>
  <c r="J114" i="2"/>
  <c r="J115" i="2"/>
  <c r="J116" i="2"/>
  <c r="J117" i="2"/>
  <c r="J118" i="2"/>
  <c r="J119" i="2"/>
  <c r="J120" i="2"/>
  <c r="J110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5" i="2"/>
  <c r="J16" i="2"/>
  <c r="J14" i="2"/>
  <c r="J3" i="2"/>
  <c r="J4" i="2"/>
  <c r="J5" i="2"/>
  <c r="J6" i="2"/>
  <c r="J7" i="2"/>
  <c r="J8" i="2"/>
  <c r="J9" i="2"/>
  <c r="J10" i="2"/>
  <c r="J11" i="2"/>
  <c r="J12" i="2"/>
  <c r="J13" i="2"/>
  <c r="J2" i="2"/>
  <c r="B28" i="3"/>
  <c r="D28" i="3"/>
  <c r="B24" i="3"/>
  <c r="D15" i="3"/>
  <c r="B15" i="3"/>
  <c r="B17" i="3"/>
  <c r="F3302" i="2" l="1"/>
  <c r="G3302" i="2" s="1"/>
  <c r="F3303" i="2"/>
  <c r="G3303" i="2" s="1"/>
  <c r="F3304" i="2"/>
  <c r="G3304" i="2" s="1"/>
  <c r="F3305" i="2"/>
  <c r="G3305" i="2" s="1"/>
  <c r="F3306" i="2"/>
  <c r="G3306" i="2" s="1"/>
  <c r="F3307" i="2"/>
  <c r="G3307" i="2" s="1"/>
  <c r="F3308" i="2"/>
  <c r="G3308" i="2" s="1"/>
  <c r="F3309" i="2"/>
  <c r="G3309" i="2" s="1"/>
  <c r="F3310" i="2"/>
  <c r="G3310" i="2" s="1"/>
  <c r="F3311" i="2"/>
  <c r="G3311" i="2" s="1"/>
  <c r="F3312" i="2"/>
  <c r="G3312" i="2" s="1"/>
  <c r="F3313" i="2"/>
  <c r="G3313" i="2" s="1"/>
  <c r="F3301" i="2"/>
  <c r="G3301" i="2" s="1"/>
  <c r="F3290" i="2"/>
  <c r="G3290" i="2" s="1"/>
  <c r="F3291" i="2"/>
  <c r="G3291" i="2" s="1"/>
  <c r="F3292" i="2"/>
  <c r="G3292" i="2" s="1"/>
  <c r="F3293" i="2"/>
  <c r="G3293" i="2" s="1"/>
  <c r="F3294" i="2"/>
  <c r="G3294" i="2" s="1"/>
  <c r="F3295" i="2"/>
  <c r="G3295" i="2" s="1"/>
  <c r="F3296" i="2"/>
  <c r="G3296" i="2" s="1"/>
  <c r="F3297" i="2"/>
  <c r="G3297" i="2" s="1"/>
  <c r="F3298" i="2"/>
  <c r="G3298" i="2" s="1"/>
  <c r="F3299" i="2"/>
  <c r="G3299" i="2" s="1"/>
  <c r="F3300" i="2"/>
  <c r="G3300" i="2" s="1"/>
  <c r="F3289" i="2"/>
  <c r="G3289" i="2" s="1"/>
  <c r="F3278" i="2"/>
  <c r="G3278" i="2" s="1"/>
  <c r="F3279" i="2"/>
  <c r="G3279" i="2" s="1"/>
  <c r="F3280" i="2"/>
  <c r="G3280" i="2" s="1"/>
  <c r="F3281" i="2"/>
  <c r="G3281" i="2" s="1"/>
  <c r="F3282" i="2"/>
  <c r="G3282" i="2" s="1"/>
  <c r="F3283" i="2"/>
  <c r="G3283" i="2" s="1"/>
  <c r="F3284" i="2"/>
  <c r="G3284" i="2" s="1"/>
  <c r="F3285" i="2"/>
  <c r="G3285" i="2" s="1"/>
  <c r="F3286" i="2"/>
  <c r="G3286" i="2" s="1"/>
  <c r="F3287" i="2"/>
  <c r="G3287" i="2" s="1"/>
  <c r="F3288" i="2"/>
  <c r="G3288" i="2" s="1"/>
  <c r="F3266" i="2"/>
  <c r="G3266" i="2" s="1"/>
  <c r="F3267" i="2"/>
  <c r="G3267" i="2" s="1"/>
  <c r="F3268" i="2"/>
  <c r="G3268" i="2" s="1"/>
  <c r="F3269" i="2"/>
  <c r="G3269" i="2" s="1"/>
  <c r="F3270" i="2"/>
  <c r="G3270" i="2" s="1"/>
  <c r="F3271" i="2"/>
  <c r="G3271" i="2" s="1"/>
  <c r="F3272" i="2"/>
  <c r="G3272" i="2" s="1"/>
  <c r="F3273" i="2"/>
  <c r="G3273" i="2" s="1"/>
  <c r="F3274" i="2"/>
  <c r="G3274" i="2" s="1"/>
  <c r="F3275" i="2"/>
  <c r="G3275" i="2" s="1"/>
  <c r="F3276" i="2"/>
  <c r="G3276" i="2" s="1"/>
  <c r="F3277" i="2"/>
  <c r="G3277" i="2" s="1"/>
  <c r="F3254" i="2"/>
  <c r="G3254" i="2" s="1"/>
  <c r="F3255" i="2"/>
  <c r="G3255" i="2" s="1"/>
  <c r="F3256" i="2"/>
  <c r="G3256" i="2" s="1"/>
  <c r="F3257" i="2"/>
  <c r="G3257" i="2" s="1"/>
  <c r="F3258" i="2"/>
  <c r="G3258" i="2" s="1"/>
  <c r="F3259" i="2"/>
  <c r="G3259" i="2" s="1"/>
  <c r="F3260" i="2"/>
  <c r="G3260" i="2" s="1"/>
  <c r="F3261" i="2"/>
  <c r="G3261" i="2" s="1"/>
  <c r="F3262" i="2"/>
  <c r="G3262" i="2" s="1"/>
  <c r="F3263" i="2"/>
  <c r="G3263" i="2" s="1"/>
  <c r="F3264" i="2"/>
  <c r="G3264" i="2" s="1"/>
  <c r="F3265" i="2"/>
  <c r="G3265" i="2" s="1"/>
  <c r="F3242" i="2"/>
  <c r="G3242" i="2" s="1"/>
  <c r="F3243" i="2"/>
  <c r="G3243" i="2" s="1"/>
  <c r="F3244" i="2"/>
  <c r="G3244" i="2" s="1"/>
  <c r="F3245" i="2"/>
  <c r="G3245" i="2" s="1"/>
  <c r="F3246" i="2"/>
  <c r="G3246" i="2" s="1"/>
  <c r="F3247" i="2"/>
  <c r="G3247" i="2" s="1"/>
  <c r="F3248" i="2"/>
  <c r="G3248" i="2" s="1"/>
  <c r="F3249" i="2"/>
  <c r="G3249" i="2" s="1"/>
  <c r="F3250" i="2"/>
  <c r="G3250" i="2" s="1"/>
  <c r="F3251" i="2"/>
  <c r="G3251" i="2" s="1"/>
  <c r="F3252" i="2"/>
  <c r="G3252" i="2" s="1"/>
  <c r="F3253" i="2"/>
  <c r="G3253" i="2" s="1"/>
  <c r="F3230" i="2"/>
  <c r="G3230" i="2" s="1"/>
  <c r="F3231" i="2"/>
  <c r="G3231" i="2" s="1"/>
  <c r="F3232" i="2"/>
  <c r="G3232" i="2" s="1"/>
  <c r="F3233" i="2"/>
  <c r="G3233" i="2" s="1"/>
  <c r="F3234" i="2"/>
  <c r="G3234" i="2" s="1"/>
  <c r="F3235" i="2"/>
  <c r="G3235" i="2" s="1"/>
  <c r="F3236" i="2"/>
  <c r="G3236" i="2" s="1"/>
  <c r="F3237" i="2"/>
  <c r="G3237" i="2" s="1"/>
  <c r="F3238" i="2"/>
  <c r="G3238" i="2" s="1"/>
  <c r="F3239" i="2"/>
  <c r="G3239" i="2" s="1"/>
  <c r="F3240" i="2"/>
  <c r="G3240" i="2" s="1"/>
  <c r="F3241" i="2"/>
  <c r="G3241" i="2" s="1"/>
  <c r="F3218" i="2"/>
  <c r="G3218" i="2" s="1"/>
  <c r="F3219" i="2"/>
  <c r="G3219" i="2" s="1"/>
  <c r="F3220" i="2"/>
  <c r="G3220" i="2" s="1"/>
  <c r="F3221" i="2"/>
  <c r="G3221" i="2" s="1"/>
  <c r="F3222" i="2"/>
  <c r="G3222" i="2" s="1"/>
  <c r="F3223" i="2"/>
  <c r="G3223" i="2" s="1"/>
  <c r="F3224" i="2"/>
  <c r="G3224" i="2" s="1"/>
  <c r="F3225" i="2"/>
  <c r="G3225" i="2" s="1"/>
  <c r="F3226" i="2"/>
  <c r="G3226" i="2" s="1"/>
  <c r="F3227" i="2"/>
  <c r="G3227" i="2" s="1"/>
  <c r="F3228" i="2"/>
  <c r="G3228" i="2" s="1"/>
  <c r="F3229" i="2"/>
  <c r="G3229" i="2" s="1"/>
  <c r="F3206" i="2"/>
  <c r="G3206" i="2" s="1"/>
  <c r="F3207" i="2"/>
  <c r="G3207" i="2" s="1"/>
  <c r="F3208" i="2"/>
  <c r="G3208" i="2" s="1"/>
  <c r="F3209" i="2"/>
  <c r="G3209" i="2" s="1"/>
  <c r="F3210" i="2"/>
  <c r="G3210" i="2" s="1"/>
  <c r="F3211" i="2"/>
  <c r="G3211" i="2" s="1"/>
  <c r="F3212" i="2"/>
  <c r="G3212" i="2" s="1"/>
  <c r="F3213" i="2"/>
  <c r="G3213" i="2" s="1"/>
  <c r="F3214" i="2"/>
  <c r="G3214" i="2" s="1"/>
  <c r="F3215" i="2"/>
  <c r="G3215" i="2" s="1"/>
  <c r="F3216" i="2"/>
  <c r="G3216" i="2" s="1"/>
  <c r="F3217" i="2"/>
  <c r="G3217" i="2" s="1"/>
  <c r="F3194" i="2"/>
  <c r="G3194" i="2" s="1"/>
  <c r="F3195" i="2"/>
  <c r="G3195" i="2" s="1"/>
  <c r="F3196" i="2"/>
  <c r="G3196" i="2" s="1"/>
  <c r="F3197" i="2"/>
  <c r="G3197" i="2" s="1"/>
  <c r="F3198" i="2"/>
  <c r="G3198" i="2" s="1"/>
  <c r="F3199" i="2"/>
  <c r="G3199" i="2" s="1"/>
  <c r="F3200" i="2"/>
  <c r="G3200" i="2" s="1"/>
  <c r="F3201" i="2"/>
  <c r="G3201" i="2" s="1"/>
  <c r="F3202" i="2"/>
  <c r="G3202" i="2" s="1"/>
  <c r="F3203" i="2"/>
  <c r="G3203" i="2" s="1"/>
  <c r="F3204" i="2"/>
  <c r="G3204" i="2" s="1"/>
  <c r="F3205" i="2"/>
  <c r="G3205" i="2" s="1"/>
  <c r="F3182" i="2"/>
  <c r="G3182" i="2" s="1"/>
  <c r="F3183" i="2"/>
  <c r="G3183" i="2" s="1"/>
  <c r="F3184" i="2"/>
  <c r="G3184" i="2" s="1"/>
  <c r="F3185" i="2"/>
  <c r="G3185" i="2" s="1"/>
  <c r="F3186" i="2"/>
  <c r="G3186" i="2" s="1"/>
  <c r="F3187" i="2"/>
  <c r="G3187" i="2" s="1"/>
  <c r="F3188" i="2"/>
  <c r="G3188" i="2" s="1"/>
  <c r="F3189" i="2"/>
  <c r="G3189" i="2" s="1"/>
  <c r="F3190" i="2"/>
  <c r="G3190" i="2" s="1"/>
  <c r="F3191" i="2"/>
  <c r="G3191" i="2" s="1"/>
  <c r="F3192" i="2"/>
  <c r="G3192" i="2" s="1"/>
  <c r="F3193" i="2"/>
  <c r="G3193" i="2" s="1"/>
  <c r="F3170" i="2"/>
  <c r="G3170" i="2" s="1"/>
  <c r="F3171" i="2"/>
  <c r="G3171" i="2" s="1"/>
  <c r="F3172" i="2"/>
  <c r="G3172" i="2" s="1"/>
  <c r="F3173" i="2"/>
  <c r="G3173" i="2" s="1"/>
  <c r="F3174" i="2"/>
  <c r="G3174" i="2" s="1"/>
  <c r="F3175" i="2"/>
  <c r="G3175" i="2" s="1"/>
  <c r="F3176" i="2"/>
  <c r="G3176" i="2" s="1"/>
  <c r="F3177" i="2"/>
  <c r="G3177" i="2" s="1"/>
  <c r="F3178" i="2"/>
  <c r="G3178" i="2" s="1"/>
  <c r="F3179" i="2"/>
  <c r="G3179" i="2" s="1"/>
  <c r="F3180" i="2"/>
  <c r="G3180" i="2" s="1"/>
  <c r="F3181" i="2"/>
  <c r="G3181" i="2" s="1"/>
  <c r="F3158" i="2"/>
  <c r="G3158" i="2" s="1"/>
  <c r="F3159" i="2"/>
  <c r="G3159" i="2" s="1"/>
  <c r="F3160" i="2"/>
  <c r="G3160" i="2" s="1"/>
  <c r="F3161" i="2"/>
  <c r="G3161" i="2" s="1"/>
  <c r="F3162" i="2"/>
  <c r="G3162" i="2" s="1"/>
  <c r="F3163" i="2"/>
  <c r="G3163" i="2" s="1"/>
  <c r="F3164" i="2"/>
  <c r="G3164" i="2" s="1"/>
  <c r="F3165" i="2"/>
  <c r="G3165" i="2" s="1"/>
  <c r="F3166" i="2"/>
  <c r="G3166" i="2" s="1"/>
  <c r="F3167" i="2"/>
  <c r="G3167" i="2" s="1"/>
  <c r="F3168" i="2"/>
  <c r="G3168" i="2" s="1"/>
  <c r="F3169" i="2"/>
  <c r="G3169" i="2" s="1"/>
  <c r="F3146" i="2"/>
  <c r="G3146" i="2" s="1"/>
  <c r="F3147" i="2"/>
  <c r="G3147" i="2" s="1"/>
  <c r="F3148" i="2"/>
  <c r="G3148" i="2" s="1"/>
  <c r="F3149" i="2"/>
  <c r="G3149" i="2" s="1"/>
  <c r="F3150" i="2"/>
  <c r="G3150" i="2" s="1"/>
  <c r="F3151" i="2"/>
  <c r="G3151" i="2" s="1"/>
  <c r="F3152" i="2"/>
  <c r="G3152" i="2" s="1"/>
  <c r="F3153" i="2"/>
  <c r="G3153" i="2" s="1"/>
  <c r="F3154" i="2"/>
  <c r="G3154" i="2" s="1"/>
  <c r="F3155" i="2"/>
  <c r="G3155" i="2" s="1"/>
  <c r="F3156" i="2"/>
  <c r="G3156" i="2" s="1"/>
  <c r="F3157" i="2"/>
  <c r="G3157" i="2" s="1"/>
  <c r="F3134" i="2"/>
  <c r="G3134" i="2" s="1"/>
  <c r="F3135" i="2"/>
  <c r="G3135" i="2" s="1"/>
  <c r="F3136" i="2"/>
  <c r="G3136" i="2" s="1"/>
  <c r="F3137" i="2"/>
  <c r="G3137" i="2" s="1"/>
  <c r="F3138" i="2"/>
  <c r="G3138" i="2" s="1"/>
  <c r="F3139" i="2"/>
  <c r="G3139" i="2" s="1"/>
  <c r="F3140" i="2"/>
  <c r="G3140" i="2" s="1"/>
  <c r="F3141" i="2"/>
  <c r="G3141" i="2" s="1"/>
  <c r="F3142" i="2"/>
  <c r="G3142" i="2" s="1"/>
  <c r="F3143" i="2"/>
  <c r="G3143" i="2" s="1"/>
  <c r="F3144" i="2"/>
  <c r="G3144" i="2" s="1"/>
  <c r="F3145" i="2"/>
  <c r="G3145" i="2" s="1"/>
  <c r="F3122" i="2"/>
  <c r="G3122" i="2" s="1"/>
  <c r="F3123" i="2"/>
  <c r="G3123" i="2" s="1"/>
  <c r="F3124" i="2"/>
  <c r="G3124" i="2" s="1"/>
  <c r="F3125" i="2"/>
  <c r="G3125" i="2" s="1"/>
  <c r="F3126" i="2"/>
  <c r="G3126" i="2" s="1"/>
  <c r="F3127" i="2"/>
  <c r="G3127" i="2" s="1"/>
  <c r="F3128" i="2"/>
  <c r="G3128" i="2" s="1"/>
  <c r="F3129" i="2"/>
  <c r="G3129" i="2" s="1"/>
  <c r="F3130" i="2"/>
  <c r="G3130" i="2" s="1"/>
  <c r="F3131" i="2"/>
  <c r="G3131" i="2" s="1"/>
  <c r="F3132" i="2"/>
  <c r="G3132" i="2" s="1"/>
  <c r="F3133" i="2"/>
  <c r="G3133" i="2" s="1"/>
  <c r="F3110" i="2"/>
  <c r="G3110" i="2" s="1"/>
  <c r="F3111" i="2"/>
  <c r="G3111" i="2" s="1"/>
  <c r="F3112" i="2"/>
  <c r="G3112" i="2" s="1"/>
  <c r="F3113" i="2"/>
  <c r="G3113" i="2" s="1"/>
  <c r="F3114" i="2"/>
  <c r="G3114" i="2" s="1"/>
  <c r="F3115" i="2"/>
  <c r="G3115" i="2" s="1"/>
  <c r="F3116" i="2"/>
  <c r="G3116" i="2" s="1"/>
  <c r="F3117" i="2"/>
  <c r="G3117" i="2" s="1"/>
  <c r="F3118" i="2"/>
  <c r="G3118" i="2" s="1"/>
  <c r="F3119" i="2"/>
  <c r="G3119" i="2" s="1"/>
  <c r="F3120" i="2"/>
  <c r="G3120" i="2" s="1"/>
  <c r="F3121" i="2"/>
  <c r="G3121" i="2" s="1"/>
  <c r="F3098" i="2"/>
  <c r="G3098" i="2" s="1"/>
  <c r="F3099" i="2"/>
  <c r="G3099" i="2" s="1"/>
  <c r="F3100" i="2"/>
  <c r="G3100" i="2" s="1"/>
  <c r="F3101" i="2"/>
  <c r="G3101" i="2" s="1"/>
  <c r="F3102" i="2"/>
  <c r="G3102" i="2" s="1"/>
  <c r="F3103" i="2"/>
  <c r="G3103" i="2" s="1"/>
  <c r="F3104" i="2"/>
  <c r="G3104" i="2" s="1"/>
  <c r="F3105" i="2"/>
  <c r="G3105" i="2" s="1"/>
  <c r="F3106" i="2"/>
  <c r="G3106" i="2" s="1"/>
  <c r="F3107" i="2"/>
  <c r="G3107" i="2" s="1"/>
  <c r="F3108" i="2"/>
  <c r="G3108" i="2" s="1"/>
  <c r="F3109" i="2"/>
  <c r="G3109" i="2" s="1"/>
  <c r="F3097" i="2"/>
  <c r="G3097" i="2" s="1"/>
  <c r="F3086" i="2"/>
  <c r="G3086" i="2" s="1"/>
  <c r="F3087" i="2"/>
  <c r="G3087" i="2" s="1"/>
  <c r="F3088" i="2"/>
  <c r="G3088" i="2" s="1"/>
  <c r="F3089" i="2"/>
  <c r="G3089" i="2" s="1"/>
  <c r="F3090" i="2"/>
  <c r="G3090" i="2" s="1"/>
  <c r="F3091" i="2"/>
  <c r="G3091" i="2" s="1"/>
  <c r="F3092" i="2"/>
  <c r="G3092" i="2" s="1"/>
  <c r="F3093" i="2"/>
  <c r="G3093" i="2" s="1"/>
  <c r="F3094" i="2"/>
  <c r="G3094" i="2" s="1"/>
  <c r="F3095" i="2"/>
  <c r="G3095" i="2" s="1"/>
  <c r="F3096" i="2"/>
  <c r="G3096" i="2" s="1"/>
  <c r="F3074" i="2"/>
  <c r="G3074" i="2" s="1"/>
  <c r="F3075" i="2"/>
  <c r="G3075" i="2" s="1"/>
  <c r="F3076" i="2"/>
  <c r="G3076" i="2" s="1"/>
  <c r="F3077" i="2"/>
  <c r="G3077" i="2" s="1"/>
  <c r="F3078" i="2"/>
  <c r="G3078" i="2" s="1"/>
  <c r="F3079" i="2"/>
  <c r="G3079" i="2" s="1"/>
  <c r="F3080" i="2"/>
  <c r="G3080" i="2" s="1"/>
  <c r="F3081" i="2"/>
  <c r="G3081" i="2" s="1"/>
  <c r="F3082" i="2"/>
  <c r="G3082" i="2" s="1"/>
  <c r="F3083" i="2"/>
  <c r="G3083" i="2" s="1"/>
  <c r="F3084" i="2"/>
  <c r="G3084" i="2" s="1"/>
  <c r="F3085" i="2"/>
  <c r="G3085" i="2" s="1"/>
  <c r="F3062" i="2"/>
  <c r="G3062" i="2" s="1"/>
  <c r="F3063" i="2"/>
  <c r="G3063" i="2" s="1"/>
  <c r="F3064" i="2"/>
  <c r="G3064" i="2" s="1"/>
  <c r="F3065" i="2"/>
  <c r="G3065" i="2" s="1"/>
  <c r="F3066" i="2"/>
  <c r="G3066" i="2" s="1"/>
  <c r="F3067" i="2"/>
  <c r="G3067" i="2" s="1"/>
  <c r="F3068" i="2"/>
  <c r="G3068" i="2" s="1"/>
  <c r="F3069" i="2"/>
  <c r="G3069" i="2" s="1"/>
  <c r="F3070" i="2"/>
  <c r="G3070" i="2" s="1"/>
  <c r="F3071" i="2"/>
  <c r="G3071" i="2" s="1"/>
  <c r="F3072" i="2"/>
  <c r="G3072" i="2" s="1"/>
  <c r="F3073" i="2"/>
  <c r="G3073" i="2" s="1"/>
  <c r="F3050" i="2"/>
  <c r="G3050" i="2" s="1"/>
  <c r="F3051" i="2"/>
  <c r="G3051" i="2" s="1"/>
  <c r="F3052" i="2"/>
  <c r="G3052" i="2" s="1"/>
  <c r="F3053" i="2"/>
  <c r="G3053" i="2" s="1"/>
  <c r="F3054" i="2"/>
  <c r="G3054" i="2" s="1"/>
  <c r="F3055" i="2"/>
  <c r="G3055" i="2" s="1"/>
  <c r="F3056" i="2"/>
  <c r="G3056" i="2" s="1"/>
  <c r="F3057" i="2"/>
  <c r="G3057" i="2" s="1"/>
  <c r="F3058" i="2"/>
  <c r="G3058" i="2" s="1"/>
  <c r="F3059" i="2"/>
  <c r="G3059" i="2" s="1"/>
  <c r="F3060" i="2"/>
  <c r="G3060" i="2" s="1"/>
  <c r="F3061" i="2"/>
  <c r="G3061" i="2" s="1"/>
  <c r="F3038" i="2"/>
  <c r="G3038" i="2" s="1"/>
  <c r="F3039" i="2"/>
  <c r="G3039" i="2" s="1"/>
  <c r="F3040" i="2"/>
  <c r="G3040" i="2" s="1"/>
  <c r="F3041" i="2"/>
  <c r="G3041" i="2" s="1"/>
  <c r="F3042" i="2"/>
  <c r="G3042" i="2" s="1"/>
  <c r="F3043" i="2"/>
  <c r="G3043" i="2" s="1"/>
  <c r="F3044" i="2"/>
  <c r="G3044" i="2" s="1"/>
  <c r="F3045" i="2"/>
  <c r="G3045" i="2" s="1"/>
  <c r="F3046" i="2"/>
  <c r="G3046" i="2" s="1"/>
  <c r="F3047" i="2"/>
  <c r="G3047" i="2" s="1"/>
  <c r="F3048" i="2"/>
  <c r="G3048" i="2" s="1"/>
  <c r="F3049" i="2"/>
  <c r="G3049" i="2" s="1"/>
  <c r="F3026" i="2"/>
  <c r="G3026" i="2" s="1"/>
  <c r="F3027" i="2"/>
  <c r="G3027" i="2" s="1"/>
  <c r="F3028" i="2"/>
  <c r="G3028" i="2" s="1"/>
  <c r="F3029" i="2"/>
  <c r="G3029" i="2" s="1"/>
  <c r="F3030" i="2"/>
  <c r="G3030" i="2" s="1"/>
  <c r="F3031" i="2"/>
  <c r="G3031" i="2" s="1"/>
  <c r="F3032" i="2"/>
  <c r="G3032" i="2" s="1"/>
  <c r="F3033" i="2"/>
  <c r="G3033" i="2" s="1"/>
  <c r="F3034" i="2"/>
  <c r="G3034" i="2" s="1"/>
  <c r="F3035" i="2"/>
  <c r="G3035" i="2" s="1"/>
  <c r="F3036" i="2"/>
  <c r="G3036" i="2" s="1"/>
  <c r="F3037" i="2"/>
  <c r="G3037" i="2" s="1"/>
  <c r="F3025" i="2"/>
  <c r="G3025" i="2" s="1"/>
  <c r="F3014" i="2"/>
  <c r="G3014" i="2" s="1"/>
  <c r="F3015" i="2"/>
  <c r="G3015" i="2" s="1"/>
  <c r="F3016" i="2"/>
  <c r="G3016" i="2" s="1"/>
  <c r="F3017" i="2"/>
  <c r="G3017" i="2" s="1"/>
  <c r="F3018" i="2"/>
  <c r="G3018" i="2" s="1"/>
  <c r="F3019" i="2"/>
  <c r="G3019" i="2" s="1"/>
  <c r="F3020" i="2"/>
  <c r="G3020" i="2" s="1"/>
  <c r="F3021" i="2"/>
  <c r="G3021" i="2" s="1"/>
  <c r="F3022" i="2"/>
  <c r="G3022" i="2" s="1"/>
  <c r="F3023" i="2"/>
  <c r="G3023" i="2" s="1"/>
  <c r="F3024" i="2"/>
  <c r="G3024" i="2" s="1"/>
  <c r="F3002" i="2"/>
  <c r="G3002" i="2" s="1"/>
  <c r="F3003" i="2"/>
  <c r="G3003" i="2" s="1"/>
  <c r="F3004" i="2"/>
  <c r="G3004" i="2" s="1"/>
  <c r="F3005" i="2"/>
  <c r="G3005" i="2" s="1"/>
  <c r="F3006" i="2"/>
  <c r="G3006" i="2" s="1"/>
  <c r="F3007" i="2"/>
  <c r="G3007" i="2" s="1"/>
  <c r="F3008" i="2"/>
  <c r="G3008" i="2" s="1"/>
  <c r="F3009" i="2"/>
  <c r="G3009" i="2" s="1"/>
  <c r="F3010" i="2"/>
  <c r="G3010" i="2" s="1"/>
  <c r="F3011" i="2"/>
  <c r="G3011" i="2" s="1"/>
  <c r="F3012" i="2"/>
  <c r="G3012" i="2" s="1"/>
  <c r="F3013" i="2"/>
  <c r="G3013" i="2" s="1"/>
  <c r="F2990" i="2"/>
  <c r="G2990" i="2" s="1"/>
  <c r="F2991" i="2"/>
  <c r="G2991" i="2" s="1"/>
  <c r="F2992" i="2"/>
  <c r="G2992" i="2" s="1"/>
  <c r="F2993" i="2"/>
  <c r="G2993" i="2" s="1"/>
  <c r="F2994" i="2"/>
  <c r="G2994" i="2" s="1"/>
  <c r="F2995" i="2"/>
  <c r="G2995" i="2" s="1"/>
  <c r="F2996" i="2"/>
  <c r="G2996" i="2" s="1"/>
  <c r="F2997" i="2"/>
  <c r="G2997" i="2" s="1"/>
  <c r="F2998" i="2"/>
  <c r="G2998" i="2" s="1"/>
  <c r="F2999" i="2"/>
  <c r="G2999" i="2" s="1"/>
  <c r="F3000" i="2"/>
  <c r="G3000" i="2" s="1"/>
  <c r="F3001" i="2"/>
  <c r="G3001" i="2" s="1"/>
  <c r="F2978" i="2"/>
  <c r="G2978" i="2" s="1"/>
  <c r="F2979" i="2"/>
  <c r="G2979" i="2" s="1"/>
  <c r="F2980" i="2"/>
  <c r="G2980" i="2" s="1"/>
  <c r="F2981" i="2"/>
  <c r="G2981" i="2" s="1"/>
  <c r="F2982" i="2"/>
  <c r="G2982" i="2" s="1"/>
  <c r="F2983" i="2"/>
  <c r="G2983" i="2" s="1"/>
  <c r="F2984" i="2"/>
  <c r="G2984" i="2" s="1"/>
  <c r="F2985" i="2"/>
  <c r="G2985" i="2" s="1"/>
  <c r="F2986" i="2"/>
  <c r="G2986" i="2" s="1"/>
  <c r="F2987" i="2"/>
  <c r="G2987" i="2" s="1"/>
  <c r="F2988" i="2"/>
  <c r="G2988" i="2" s="1"/>
  <c r="F2989" i="2"/>
  <c r="G2989" i="2" s="1"/>
  <c r="F2966" i="2"/>
  <c r="G2966" i="2" s="1"/>
  <c r="F2967" i="2"/>
  <c r="G2967" i="2" s="1"/>
  <c r="F2968" i="2"/>
  <c r="G2968" i="2" s="1"/>
  <c r="F2969" i="2"/>
  <c r="G2969" i="2" s="1"/>
  <c r="F2970" i="2"/>
  <c r="G2970" i="2" s="1"/>
  <c r="F2971" i="2"/>
  <c r="G2971" i="2" s="1"/>
  <c r="F2972" i="2"/>
  <c r="G2972" i="2" s="1"/>
  <c r="F2973" i="2"/>
  <c r="G2973" i="2" s="1"/>
  <c r="F2974" i="2"/>
  <c r="G2974" i="2" s="1"/>
  <c r="F2975" i="2"/>
  <c r="G2975" i="2" s="1"/>
  <c r="F2976" i="2"/>
  <c r="G2976" i="2" s="1"/>
  <c r="F2977" i="2"/>
  <c r="G2977" i="2" s="1"/>
  <c r="F2954" i="2"/>
  <c r="G2954" i="2" s="1"/>
  <c r="F2955" i="2"/>
  <c r="G2955" i="2" s="1"/>
  <c r="F2956" i="2"/>
  <c r="G2956" i="2" s="1"/>
  <c r="F2957" i="2"/>
  <c r="G2957" i="2" s="1"/>
  <c r="F2958" i="2"/>
  <c r="G2958" i="2" s="1"/>
  <c r="F2959" i="2"/>
  <c r="G2959" i="2" s="1"/>
  <c r="F2960" i="2"/>
  <c r="G2960" i="2" s="1"/>
  <c r="F2961" i="2"/>
  <c r="G2961" i="2" s="1"/>
  <c r="F2962" i="2"/>
  <c r="G2962" i="2" s="1"/>
  <c r="F2963" i="2"/>
  <c r="G2963" i="2" s="1"/>
  <c r="F2964" i="2"/>
  <c r="G2964" i="2" s="1"/>
  <c r="F2965" i="2"/>
  <c r="G2965" i="2" s="1"/>
  <c r="F2942" i="2"/>
  <c r="G2942" i="2" s="1"/>
  <c r="F2943" i="2"/>
  <c r="G2943" i="2" s="1"/>
  <c r="F2944" i="2"/>
  <c r="G2944" i="2" s="1"/>
  <c r="F2945" i="2"/>
  <c r="G2945" i="2" s="1"/>
  <c r="F2946" i="2"/>
  <c r="G2946" i="2" s="1"/>
  <c r="F2947" i="2"/>
  <c r="G2947" i="2" s="1"/>
  <c r="F2948" i="2"/>
  <c r="G2948" i="2" s="1"/>
  <c r="F2949" i="2"/>
  <c r="G2949" i="2" s="1"/>
  <c r="F2950" i="2"/>
  <c r="G2950" i="2" s="1"/>
  <c r="F2951" i="2"/>
  <c r="G2951" i="2" s="1"/>
  <c r="F2952" i="2"/>
  <c r="G2952" i="2" s="1"/>
  <c r="F2953" i="2"/>
  <c r="G2953" i="2" s="1"/>
  <c r="F2930" i="2"/>
  <c r="G2930" i="2" s="1"/>
  <c r="F2931" i="2"/>
  <c r="G2931" i="2" s="1"/>
  <c r="F2932" i="2"/>
  <c r="G2932" i="2" s="1"/>
  <c r="F2933" i="2"/>
  <c r="G2933" i="2" s="1"/>
  <c r="F2934" i="2"/>
  <c r="G2934" i="2" s="1"/>
  <c r="F2935" i="2"/>
  <c r="G2935" i="2" s="1"/>
  <c r="F2936" i="2"/>
  <c r="G2936" i="2" s="1"/>
  <c r="F2937" i="2"/>
  <c r="G2937" i="2" s="1"/>
  <c r="F2938" i="2"/>
  <c r="G2938" i="2" s="1"/>
  <c r="F2939" i="2"/>
  <c r="G2939" i="2" s="1"/>
  <c r="F2940" i="2"/>
  <c r="G2940" i="2" s="1"/>
  <c r="F2941" i="2"/>
  <c r="G2941" i="2" s="1"/>
  <c r="F2918" i="2"/>
  <c r="G2918" i="2" s="1"/>
  <c r="F2919" i="2"/>
  <c r="G2919" i="2" s="1"/>
  <c r="F2920" i="2"/>
  <c r="G2920" i="2" s="1"/>
  <c r="F2921" i="2"/>
  <c r="G2921" i="2" s="1"/>
  <c r="F2922" i="2"/>
  <c r="G2922" i="2" s="1"/>
  <c r="F2923" i="2"/>
  <c r="G2923" i="2" s="1"/>
  <c r="F2924" i="2"/>
  <c r="G2924" i="2" s="1"/>
  <c r="F2925" i="2"/>
  <c r="G2925" i="2" s="1"/>
  <c r="F2926" i="2"/>
  <c r="G2926" i="2" s="1"/>
  <c r="F2927" i="2"/>
  <c r="G2927" i="2" s="1"/>
  <c r="F2928" i="2"/>
  <c r="G2928" i="2" s="1"/>
  <c r="F2929" i="2"/>
  <c r="G2929" i="2" s="1"/>
  <c r="F2906" i="2"/>
  <c r="G2906" i="2" s="1"/>
  <c r="F2907" i="2"/>
  <c r="G2907" i="2" s="1"/>
  <c r="F2908" i="2"/>
  <c r="G2908" i="2" s="1"/>
  <c r="F2909" i="2"/>
  <c r="G2909" i="2" s="1"/>
  <c r="F2910" i="2"/>
  <c r="G2910" i="2" s="1"/>
  <c r="F2911" i="2"/>
  <c r="G2911" i="2" s="1"/>
  <c r="F2912" i="2"/>
  <c r="G2912" i="2" s="1"/>
  <c r="F2913" i="2"/>
  <c r="G2913" i="2" s="1"/>
  <c r="F2914" i="2"/>
  <c r="G2914" i="2" s="1"/>
  <c r="F2915" i="2"/>
  <c r="G2915" i="2" s="1"/>
  <c r="F2916" i="2"/>
  <c r="G2916" i="2" s="1"/>
  <c r="F2917" i="2"/>
  <c r="G2917" i="2" s="1"/>
  <c r="F2894" i="2"/>
  <c r="G2894" i="2" s="1"/>
  <c r="F2895" i="2"/>
  <c r="G2895" i="2" s="1"/>
  <c r="F2896" i="2"/>
  <c r="G2896" i="2" s="1"/>
  <c r="F2897" i="2"/>
  <c r="G2897" i="2" s="1"/>
  <c r="F2898" i="2"/>
  <c r="G2898" i="2" s="1"/>
  <c r="F2899" i="2"/>
  <c r="G2899" i="2" s="1"/>
  <c r="F2900" i="2"/>
  <c r="G2900" i="2" s="1"/>
  <c r="F2901" i="2"/>
  <c r="G2901" i="2" s="1"/>
  <c r="F2902" i="2"/>
  <c r="G2902" i="2" s="1"/>
  <c r="F2903" i="2"/>
  <c r="G2903" i="2" s="1"/>
  <c r="F2904" i="2"/>
  <c r="G2904" i="2" s="1"/>
  <c r="F2905" i="2"/>
  <c r="G2905" i="2" s="1"/>
  <c r="F2882" i="2"/>
  <c r="G2882" i="2" s="1"/>
  <c r="F2883" i="2"/>
  <c r="G2883" i="2" s="1"/>
  <c r="F2884" i="2"/>
  <c r="G2884" i="2" s="1"/>
  <c r="F2885" i="2"/>
  <c r="G2885" i="2" s="1"/>
  <c r="F2886" i="2"/>
  <c r="G2886" i="2" s="1"/>
  <c r="F2887" i="2"/>
  <c r="G2887" i="2" s="1"/>
  <c r="F2888" i="2"/>
  <c r="G2888" i="2" s="1"/>
  <c r="F2889" i="2"/>
  <c r="G2889" i="2" s="1"/>
  <c r="F2890" i="2"/>
  <c r="G2890" i="2" s="1"/>
  <c r="F2891" i="2"/>
  <c r="G2891" i="2" s="1"/>
  <c r="F2892" i="2"/>
  <c r="G2892" i="2" s="1"/>
  <c r="F2893" i="2"/>
  <c r="G2893" i="2" s="1"/>
  <c r="F2870" i="2"/>
  <c r="G2870" i="2" s="1"/>
  <c r="F2871" i="2"/>
  <c r="G2871" i="2" s="1"/>
  <c r="F2872" i="2"/>
  <c r="G2872" i="2" s="1"/>
  <c r="F2873" i="2"/>
  <c r="G2873" i="2" s="1"/>
  <c r="F2874" i="2"/>
  <c r="G2874" i="2" s="1"/>
  <c r="F2875" i="2"/>
  <c r="G2875" i="2" s="1"/>
  <c r="F2876" i="2"/>
  <c r="G2876" i="2" s="1"/>
  <c r="F2877" i="2"/>
  <c r="G2877" i="2" s="1"/>
  <c r="F2878" i="2"/>
  <c r="G2878" i="2" s="1"/>
  <c r="F2879" i="2"/>
  <c r="G2879" i="2" s="1"/>
  <c r="F2880" i="2"/>
  <c r="G2880" i="2" s="1"/>
  <c r="F2881" i="2"/>
  <c r="G2881" i="2" s="1"/>
  <c r="F2869" i="2"/>
  <c r="G2869" i="2" s="1"/>
  <c r="F2858" i="2"/>
  <c r="G2858" i="2" s="1"/>
  <c r="F2859" i="2"/>
  <c r="G2859" i="2" s="1"/>
  <c r="F2860" i="2"/>
  <c r="G2860" i="2" s="1"/>
  <c r="F2861" i="2"/>
  <c r="G2861" i="2" s="1"/>
  <c r="F2862" i="2"/>
  <c r="G2862" i="2" s="1"/>
  <c r="F2863" i="2"/>
  <c r="G2863" i="2" s="1"/>
  <c r="F2864" i="2"/>
  <c r="G2864" i="2" s="1"/>
  <c r="F2865" i="2"/>
  <c r="G2865" i="2" s="1"/>
  <c r="F2866" i="2"/>
  <c r="G2866" i="2" s="1"/>
  <c r="F2867" i="2"/>
  <c r="G2867" i="2" s="1"/>
  <c r="F2868" i="2"/>
  <c r="G2868" i="2" s="1"/>
  <c r="F2857" i="2"/>
  <c r="G2857" i="2" s="1"/>
  <c r="F2846" i="2"/>
  <c r="G2846" i="2" s="1"/>
  <c r="F2847" i="2"/>
  <c r="G2847" i="2" s="1"/>
  <c r="F2848" i="2"/>
  <c r="G2848" i="2" s="1"/>
  <c r="F2849" i="2"/>
  <c r="G2849" i="2" s="1"/>
  <c r="F2850" i="2"/>
  <c r="G2850" i="2" s="1"/>
  <c r="F2851" i="2"/>
  <c r="G2851" i="2" s="1"/>
  <c r="F2852" i="2"/>
  <c r="G2852" i="2" s="1"/>
  <c r="F2853" i="2"/>
  <c r="G2853" i="2" s="1"/>
  <c r="F2854" i="2"/>
  <c r="G2854" i="2" s="1"/>
  <c r="F2855" i="2"/>
  <c r="G2855" i="2" s="1"/>
  <c r="F2856" i="2"/>
  <c r="G2856" i="2" s="1"/>
  <c r="F2834" i="2"/>
  <c r="G2834" i="2" s="1"/>
  <c r="F2835" i="2"/>
  <c r="G2835" i="2" s="1"/>
  <c r="F2836" i="2"/>
  <c r="G2836" i="2" s="1"/>
  <c r="F2837" i="2"/>
  <c r="G2837" i="2" s="1"/>
  <c r="F2838" i="2"/>
  <c r="G2838" i="2" s="1"/>
  <c r="F2839" i="2"/>
  <c r="G2839" i="2" s="1"/>
  <c r="F2840" i="2"/>
  <c r="G2840" i="2" s="1"/>
  <c r="F2841" i="2"/>
  <c r="G2841" i="2" s="1"/>
  <c r="F2842" i="2"/>
  <c r="G2842" i="2" s="1"/>
  <c r="F2843" i="2"/>
  <c r="G2843" i="2" s="1"/>
  <c r="F2844" i="2"/>
  <c r="G2844" i="2" s="1"/>
  <c r="F2845" i="2"/>
  <c r="G2845" i="2" s="1"/>
  <c r="F2822" i="2"/>
  <c r="G2822" i="2" s="1"/>
  <c r="F2823" i="2"/>
  <c r="G2823" i="2" s="1"/>
  <c r="F2824" i="2"/>
  <c r="G2824" i="2" s="1"/>
  <c r="F2825" i="2"/>
  <c r="G2825" i="2" s="1"/>
  <c r="F2826" i="2"/>
  <c r="G2826" i="2" s="1"/>
  <c r="F2827" i="2"/>
  <c r="G2827" i="2" s="1"/>
  <c r="F2828" i="2"/>
  <c r="G2828" i="2" s="1"/>
  <c r="F2829" i="2"/>
  <c r="G2829" i="2" s="1"/>
  <c r="F2830" i="2"/>
  <c r="G2830" i="2" s="1"/>
  <c r="F2831" i="2"/>
  <c r="G2831" i="2" s="1"/>
  <c r="F2832" i="2"/>
  <c r="G2832" i="2" s="1"/>
  <c r="F2833" i="2"/>
  <c r="G2833" i="2" s="1"/>
  <c r="F2810" i="2"/>
  <c r="G2810" i="2" s="1"/>
  <c r="F2811" i="2"/>
  <c r="G2811" i="2" s="1"/>
  <c r="F2812" i="2"/>
  <c r="G2812" i="2" s="1"/>
  <c r="F2813" i="2"/>
  <c r="G2813" i="2" s="1"/>
  <c r="F2814" i="2"/>
  <c r="G2814" i="2" s="1"/>
  <c r="F2815" i="2"/>
  <c r="G2815" i="2" s="1"/>
  <c r="F2816" i="2"/>
  <c r="G2816" i="2" s="1"/>
  <c r="F2817" i="2"/>
  <c r="G2817" i="2" s="1"/>
  <c r="F2818" i="2"/>
  <c r="G2818" i="2" s="1"/>
  <c r="F2819" i="2"/>
  <c r="G2819" i="2" s="1"/>
  <c r="F2820" i="2"/>
  <c r="G2820" i="2" s="1"/>
  <c r="F2821" i="2"/>
  <c r="G2821" i="2" s="1"/>
  <c r="F2798" i="2"/>
  <c r="G2798" i="2" s="1"/>
  <c r="F2799" i="2"/>
  <c r="G2799" i="2" s="1"/>
  <c r="F2800" i="2"/>
  <c r="G2800" i="2" s="1"/>
  <c r="F2801" i="2"/>
  <c r="G2801" i="2" s="1"/>
  <c r="F2802" i="2"/>
  <c r="G2802" i="2" s="1"/>
  <c r="F2803" i="2"/>
  <c r="G2803" i="2" s="1"/>
  <c r="F2804" i="2"/>
  <c r="G2804" i="2" s="1"/>
  <c r="F2805" i="2"/>
  <c r="G2805" i="2" s="1"/>
  <c r="F2806" i="2"/>
  <c r="G2806" i="2" s="1"/>
  <c r="F2807" i="2"/>
  <c r="G2807" i="2" s="1"/>
  <c r="F2808" i="2"/>
  <c r="G2808" i="2" s="1"/>
  <c r="F2809" i="2"/>
  <c r="G2809" i="2" s="1"/>
  <c r="F2786" i="2"/>
  <c r="G2786" i="2" s="1"/>
  <c r="F2787" i="2"/>
  <c r="G2787" i="2" s="1"/>
  <c r="F2788" i="2"/>
  <c r="G2788" i="2" s="1"/>
  <c r="F2789" i="2"/>
  <c r="G2789" i="2" s="1"/>
  <c r="F2790" i="2"/>
  <c r="G2790" i="2" s="1"/>
  <c r="F2791" i="2"/>
  <c r="G2791" i="2" s="1"/>
  <c r="F2792" i="2"/>
  <c r="G2792" i="2" s="1"/>
  <c r="F2793" i="2"/>
  <c r="G2793" i="2" s="1"/>
  <c r="F2794" i="2"/>
  <c r="G2794" i="2" s="1"/>
  <c r="F2795" i="2"/>
  <c r="G2795" i="2" s="1"/>
  <c r="F2796" i="2"/>
  <c r="G2796" i="2" s="1"/>
  <c r="F2797" i="2"/>
  <c r="G2797" i="2" s="1"/>
  <c r="F2774" i="2"/>
  <c r="G2774" i="2" s="1"/>
  <c r="F2775" i="2"/>
  <c r="G2775" i="2" s="1"/>
  <c r="F2776" i="2"/>
  <c r="G2776" i="2" s="1"/>
  <c r="F2777" i="2"/>
  <c r="G2777" i="2" s="1"/>
  <c r="F2778" i="2"/>
  <c r="G2778" i="2" s="1"/>
  <c r="F2779" i="2"/>
  <c r="G2779" i="2" s="1"/>
  <c r="F2780" i="2"/>
  <c r="G2780" i="2" s="1"/>
  <c r="F2781" i="2"/>
  <c r="G2781" i="2" s="1"/>
  <c r="F2782" i="2"/>
  <c r="G2782" i="2" s="1"/>
  <c r="F2783" i="2"/>
  <c r="G2783" i="2" s="1"/>
  <c r="F2784" i="2"/>
  <c r="G2784" i="2" s="1"/>
  <c r="F2785" i="2"/>
  <c r="G2785" i="2" s="1"/>
  <c r="F2762" i="2"/>
  <c r="G2762" i="2" s="1"/>
  <c r="F2763" i="2"/>
  <c r="G2763" i="2" s="1"/>
  <c r="F2764" i="2"/>
  <c r="G2764" i="2" s="1"/>
  <c r="F2765" i="2"/>
  <c r="G2765" i="2" s="1"/>
  <c r="F2766" i="2"/>
  <c r="G2766" i="2" s="1"/>
  <c r="F2767" i="2"/>
  <c r="G2767" i="2" s="1"/>
  <c r="F2768" i="2"/>
  <c r="G2768" i="2" s="1"/>
  <c r="F2769" i="2"/>
  <c r="G2769" i="2" s="1"/>
  <c r="F2770" i="2"/>
  <c r="G2770" i="2" s="1"/>
  <c r="F2771" i="2"/>
  <c r="G2771" i="2" s="1"/>
  <c r="F2772" i="2"/>
  <c r="G2772" i="2" s="1"/>
  <c r="F2773" i="2"/>
  <c r="G2773" i="2" s="1"/>
  <c r="F2750" i="2"/>
  <c r="G2750" i="2" s="1"/>
  <c r="F2751" i="2"/>
  <c r="G2751" i="2" s="1"/>
  <c r="F2752" i="2"/>
  <c r="G2752" i="2" s="1"/>
  <c r="F2753" i="2"/>
  <c r="G2753" i="2" s="1"/>
  <c r="F2754" i="2"/>
  <c r="G2754" i="2" s="1"/>
  <c r="F2755" i="2"/>
  <c r="G2755" i="2" s="1"/>
  <c r="F2756" i="2"/>
  <c r="G2756" i="2" s="1"/>
  <c r="F2757" i="2"/>
  <c r="G2757" i="2" s="1"/>
  <c r="F2758" i="2"/>
  <c r="G2758" i="2" s="1"/>
  <c r="F2759" i="2"/>
  <c r="G2759" i="2" s="1"/>
  <c r="F2760" i="2"/>
  <c r="G2760" i="2" s="1"/>
  <c r="F2761" i="2"/>
  <c r="G2761" i="2" s="1"/>
  <c r="F2738" i="2"/>
  <c r="G2738" i="2" s="1"/>
  <c r="F2739" i="2"/>
  <c r="G2739" i="2" s="1"/>
  <c r="F2740" i="2"/>
  <c r="G2740" i="2" s="1"/>
  <c r="F2741" i="2"/>
  <c r="G2741" i="2" s="1"/>
  <c r="F2742" i="2"/>
  <c r="G2742" i="2" s="1"/>
  <c r="F2743" i="2"/>
  <c r="G2743" i="2" s="1"/>
  <c r="F2744" i="2"/>
  <c r="G2744" i="2" s="1"/>
  <c r="F2745" i="2"/>
  <c r="G2745" i="2" s="1"/>
  <c r="F2746" i="2"/>
  <c r="G2746" i="2" s="1"/>
  <c r="F2747" i="2"/>
  <c r="G2747" i="2" s="1"/>
  <c r="F2748" i="2"/>
  <c r="G2748" i="2" s="1"/>
  <c r="F2749" i="2"/>
  <c r="G2749" i="2" s="1"/>
  <c r="F2726" i="2"/>
  <c r="G2726" i="2" s="1"/>
  <c r="F2727" i="2"/>
  <c r="G2727" i="2" s="1"/>
  <c r="F2728" i="2"/>
  <c r="G2728" i="2" s="1"/>
  <c r="F2729" i="2"/>
  <c r="G2729" i="2" s="1"/>
  <c r="F2730" i="2"/>
  <c r="G2730" i="2" s="1"/>
  <c r="F2731" i="2"/>
  <c r="G2731" i="2" s="1"/>
  <c r="F2732" i="2"/>
  <c r="G2732" i="2" s="1"/>
  <c r="F2733" i="2"/>
  <c r="G2733" i="2" s="1"/>
  <c r="F2734" i="2"/>
  <c r="G2734" i="2" s="1"/>
  <c r="F2735" i="2"/>
  <c r="G2735" i="2" s="1"/>
  <c r="F2736" i="2"/>
  <c r="G2736" i="2" s="1"/>
  <c r="F2737" i="2"/>
  <c r="G2737" i="2" s="1"/>
  <c r="F2714" i="2"/>
  <c r="G2714" i="2" s="1"/>
  <c r="F2715" i="2"/>
  <c r="G2715" i="2" s="1"/>
  <c r="F2716" i="2"/>
  <c r="G2716" i="2" s="1"/>
  <c r="F2717" i="2"/>
  <c r="G2717" i="2" s="1"/>
  <c r="F2718" i="2"/>
  <c r="G2718" i="2" s="1"/>
  <c r="F2719" i="2"/>
  <c r="G2719" i="2" s="1"/>
  <c r="F2720" i="2"/>
  <c r="G2720" i="2" s="1"/>
  <c r="F2721" i="2"/>
  <c r="G2721" i="2" s="1"/>
  <c r="F2722" i="2"/>
  <c r="G2722" i="2" s="1"/>
  <c r="F2723" i="2"/>
  <c r="G2723" i="2" s="1"/>
  <c r="F2724" i="2"/>
  <c r="G2724" i="2" s="1"/>
  <c r="F2725" i="2"/>
  <c r="G2725" i="2" s="1"/>
  <c r="F2702" i="2"/>
  <c r="G2702" i="2" s="1"/>
  <c r="F2703" i="2"/>
  <c r="G2703" i="2" s="1"/>
  <c r="F2704" i="2"/>
  <c r="G2704" i="2" s="1"/>
  <c r="F2705" i="2"/>
  <c r="G2705" i="2" s="1"/>
  <c r="F2706" i="2"/>
  <c r="G2706" i="2" s="1"/>
  <c r="F2707" i="2"/>
  <c r="G2707" i="2" s="1"/>
  <c r="F2708" i="2"/>
  <c r="G2708" i="2" s="1"/>
  <c r="F2709" i="2"/>
  <c r="G2709" i="2" s="1"/>
  <c r="F2710" i="2"/>
  <c r="G2710" i="2" s="1"/>
  <c r="F2711" i="2"/>
  <c r="G2711" i="2" s="1"/>
  <c r="F2712" i="2"/>
  <c r="G2712" i="2" s="1"/>
  <c r="F2713" i="2"/>
  <c r="G2713" i="2" s="1"/>
  <c r="F2690" i="2"/>
  <c r="G2690" i="2" s="1"/>
  <c r="F2691" i="2"/>
  <c r="G2691" i="2" s="1"/>
  <c r="F2692" i="2"/>
  <c r="G2692" i="2" s="1"/>
  <c r="F2693" i="2"/>
  <c r="G2693" i="2" s="1"/>
  <c r="F2694" i="2"/>
  <c r="G2694" i="2" s="1"/>
  <c r="F2695" i="2"/>
  <c r="G2695" i="2" s="1"/>
  <c r="F2696" i="2"/>
  <c r="G2696" i="2" s="1"/>
  <c r="F2697" i="2"/>
  <c r="G2697" i="2" s="1"/>
  <c r="F2698" i="2"/>
  <c r="G2698" i="2" s="1"/>
  <c r="F2699" i="2"/>
  <c r="G2699" i="2" s="1"/>
  <c r="F2700" i="2"/>
  <c r="G2700" i="2" s="1"/>
  <c r="F2701" i="2"/>
  <c r="G2701" i="2" s="1"/>
  <c r="F2678" i="2"/>
  <c r="G2678" i="2" s="1"/>
  <c r="F2679" i="2"/>
  <c r="G2679" i="2" s="1"/>
  <c r="F2680" i="2"/>
  <c r="G2680" i="2" s="1"/>
  <c r="F2681" i="2"/>
  <c r="G2681" i="2" s="1"/>
  <c r="F2682" i="2"/>
  <c r="G2682" i="2" s="1"/>
  <c r="F2683" i="2"/>
  <c r="G2683" i="2" s="1"/>
  <c r="F2684" i="2"/>
  <c r="G2684" i="2" s="1"/>
  <c r="F2685" i="2"/>
  <c r="G2685" i="2" s="1"/>
  <c r="F2686" i="2"/>
  <c r="G2686" i="2" s="1"/>
  <c r="F2687" i="2"/>
  <c r="G2687" i="2" s="1"/>
  <c r="F2688" i="2"/>
  <c r="G2688" i="2" s="1"/>
  <c r="F2689" i="2"/>
  <c r="G2689" i="2" s="1"/>
  <c r="F2666" i="2"/>
  <c r="G2666" i="2" s="1"/>
  <c r="F2667" i="2"/>
  <c r="G2667" i="2" s="1"/>
  <c r="F2668" i="2"/>
  <c r="G2668" i="2" s="1"/>
  <c r="F2669" i="2"/>
  <c r="G2669" i="2" s="1"/>
  <c r="F2670" i="2"/>
  <c r="G2670" i="2" s="1"/>
  <c r="F2671" i="2"/>
  <c r="G2671" i="2" s="1"/>
  <c r="F2672" i="2"/>
  <c r="G2672" i="2" s="1"/>
  <c r="F2673" i="2"/>
  <c r="G2673" i="2" s="1"/>
  <c r="F2674" i="2"/>
  <c r="G2674" i="2" s="1"/>
  <c r="F2675" i="2"/>
  <c r="G2675" i="2" s="1"/>
  <c r="F2676" i="2"/>
  <c r="G2676" i="2" s="1"/>
  <c r="F2677" i="2"/>
  <c r="G2677" i="2" s="1"/>
  <c r="F2654" i="2"/>
  <c r="G2654" i="2" s="1"/>
  <c r="F2655" i="2"/>
  <c r="G2655" i="2" s="1"/>
  <c r="F2656" i="2"/>
  <c r="G2656" i="2" s="1"/>
  <c r="F2657" i="2"/>
  <c r="G2657" i="2" s="1"/>
  <c r="F2658" i="2"/>
  <c r="G2658" i="2" s="1"/>
  <c r="F2659" i="2"/>
  <c r="G2659" i="2" s="1"/>
  <c r="F2660" i="2"/>
  <c r="G2660" i="2" s="1"/>
  <c r="F2661" i="2"/>
  <c r="G2661" i="2" s="1"/>
  <c r="F2662" i="2"/>
  <c r="G2662" i="2" s="1"/>
  <c r="F2663" i="2"/>
  <c r="G2663" i="2" s="1"/>
  <c r="F2664" i="2"/>
  <c r="G2664" i="2" s="1"/>
  <c r="F2665" i="2"/>
  <c r="G2665" i="2" s="1"/>
  <c r="F2642" i="2"/>
  <c r="G2642" i="2" s="1"/>
  <c r="F2643" i="2"/>
  <c r="G2643" i="2" s="1"/>
  <c r="F2644" i="2"/>
  <c r="G2644" i="2" s="1"/>
  <c r="F2645" i="2"/>
  <c r="G2645" i="2" s="1"/>
  <c r="F2646" i="2"/>
  <c r="G2646" i="2" s="1"/>
  <c r="F2647" i="2"/>
  <c r="G2647" i="2" s="1"/>
  <c r="F2648" i="2"/>
  <c r="G2648" i="2" s="1"/>
  <c r="F2649" i="2"/>
  <c r="G2649" i="2" s="1"/>
  <c r="F2650" i="2"/>
  <c r="G2650" i="2" s="1"/>
  <c r="F2651" i="2"/>
  <c r="G2651" i="2" s="1"/>
  <c r="F2652" i="2"/>
  <c r="G2652" i="2" s="1"/>
  <c r="F2653" i="2"/>
  <c r="G2653" i="2" s="1"/>
  <c r="F2630" i="2"/>
  <c r="G2630" i="2" s="1"/>
  <c r="F2631" i="2"/>
  <c r="G2631" i="2" s="1"/>
  <c r="F2632" i="2"/>
  <c r="G2632" i="2" s="1"/>
  <c r="F2633" i="2"/>
  <c r="G2633" i="2" s="1"/>
  <c r="F2634" i="2"/>
  <c r="G2634" i="2" s="1"/>
  <c r="F2635" i="2"/>
  <c r="G2635" i="2" s="1"/>
  <c r="F2636" i="2"/>
  <c r="G2636" i="2" s="1"/>
  <c r="F2637" i="2"/>
  <c r="G2637" i="2" s="1"/>
  <c r="F2638" i="2"/>
  <c r="G2638" i="2" s="1"/>
  <c r="F2639" i="2"/>
  <c r="G2639" i="2" s="1"/>
  <c r="F2640" i="2"/>
  <c r="G2640" i="2" s="1"/>
  <c r="F2641" i="2"/>
  <c r="G2641" i="2" s="1"/>
  <c r="F2618" i="2"/>
  <c r="G2618" i="2" s="1"/>
  <c r="F2619" i="2"/>
  <c r="G2619" i="2" s="1"/>
  <c r="F2620" i="2"/>
  <c r="G2620" i="2" s="1"/>
  <c r="F2621" i="2"/>
  <c r="G2621" i="2" s="1"/>
  <c r="F2622" i="2"/>
  <c r="G2622" i="2" s="1"/>
  <c r="F2623" i="2"/>
  <c r="G2623" i="2" s="1"/>
  <c r="F2624" i="2"/>
  <c r="G2624" i="2" s="1"/>
  <c r="F2625" i="2"/>
  <c r="G2625" i="2" s="1"/>
  <c r="F2626" i="2"/>
  <c r="G2626" i="2" s="1"/>
  <c r="F2627" i="2"/>
  <c r="G2627" i="2" s="1"/>
  <c r="F2628" i="2"/>
  <c r="G2628" i="2" s="1"/>
  <c r="F2629" i="2"/>
  <c r="G2629" i="2" s="1"/>
  <c r="F2606" i="2"/>
  <c r="G2606" i="2" s="1"/>
  <c r="F2607" i="2"/>
  <c r="G2607" i="2" s="1"/>
  <c r="F2608" i="2"/>
  <c r="G2608" i="2" s="1"/>
  <c r="F2609" i="2"/>
  <c r="G2609" i="2" s="1"/>
  <c r="F2610" i="2"/>
  <c r="G2610" i="2" s="1"/>
  <c r="F2611" i="2"/>
  <c r="G2611" i="2" s="1"/>
  <c r="F2612" i="2"/>
  <c r="G2612" i="2" s="1"/>
  <c r="F2613" i="2"/>
  <c r="G2613" i="2" s="1"/>
  <c r="F2614" i="2"/>
  <c r="G2614" i="2" s="1"/>
  <c r="F2615" i="2"/>
  <c r="G2615" i="2" s="1"/>
  <c r="F2616" i="2"/>
  <c r="G2616" i="2" s="1"/>
  <c r="F2617" i="2"/>
  <c r="G2617" i="2" s="1"/>
  <c r="F2594" i="2"/>
  <c r="G2594" i="2" s="1"/>
  <c r="F2595" i="2"/>
  <c r="G2595" i="2" s="1"/>
  <c r="F2596" i="2"/>
  <c r="G2596" i="2" s="1"/>
  <c r="F2597" i="2"/>
  <c r="G2597" i="2" s="1"/>
  <c r="F2598" i="2"/>
  <c r="G2598" i="2" s="1"/>
  <c r="F2599" i="2"/>
  <c r="G2599" i="2" s="1"/>
  <c r="F2600" i="2"/>
  <c r="G2600" i="2" s="1"/>
  <c r="F2601" i="2"/>
  <c r="G2601" i="2" s="1"/>
  <c r="F2602" i="2"/>
  <c r="G2602" i="2" s="1"/>
  <c r="F2603" i="2"/>
  <c r="G2603" i="2" s="1"/>
  <c r="F2604" i="2"/>
  <c r="G2604" i="2" s="1"/>
  <c r="F2605" i="2"/>
  <c r="G2605" i="2" s="1"/>
  <c r="F2582" i="2"/>
  <c r="G2582" i="2" s="1"/>
  <c r="F2583" i="2"/>
  <c r="G2583" i="2" s="1"/>
  <c r="F2584" i="2"/>
  <c r="G2584" i="2" s="1"/>
  <c r="F2585" i="2"/>
  <c r="G2585" i="2" s="1"/>
  <c r="F2586" i="2"/>
  <c r="G2586" i="2" s="1"/>
  <c r="F2587" i="2"/>
  <c r="G2587" i="2" s="1"/>
  <c r="F2588" i="2"/>
  <c r="G2588" i="2" s="1"/>
  <c r="F2589" i="2"/>
  <c r="G2589" i="2" s="1"/>
  <c r="F2590" i="2"/>
  <c r="G2590" i="2" s="1"/>
  <c r="F2591" i="2"/>
  <c r="G2591" i="2" s="1"/>
  <c r="F2592" i="2"/>
  <c r="G2592" i="2" s="1"/>
  <c r="F2593" i="2"/>
  <c r="G2593" i="2" s="1"/>
  <c r="F2581" i="2"/>
  <c r="G2581" i="2" s="1"/>
  <c r="F2570" i="2"/>
  <c r="G2570" i="2" s="1"/>
  <c r="F2571" i="2"/>
  <c r="G2571" i="2" s="1"/>
  <c r="F2572" i="2"/>
  <c r="G2572" i="2" s="1"/>
  <c r="F2573" i="2"/>
  <c r="G2573" i="2" s="1"/>
  <c r="F2574" i="2"/>
  <c r="G2574" i="2" s="1"/>
  <c r="F2575" i="2"/>
  <c r="G2575" i="2" s="1"/>
  <c r="F2576" i="2"/>
  <c r="G2576" i="2" s="1"/>
  <c r="F2577" i="2"/>
  <c r="G2577" i="2" s="1"/>
  <c r="F2578" i="2"/>
  <c r="G2578" i="2" s="1"/>
  <c r="F2579" i="2"/>
  <c r="G2579" i="2" s="1"/>
  <c r="F2580" i="2"/>
  <c r="G2580" i="2" s="1"/>
  <c r="F2558" i="2"/>
  <c r="G2558" i="2" s="1"/>
  <c r="F2559" i="2"/>
  <c r="G2559" i="2" s="1"/>
  <c r="F2560" i="2"/>
  <c r="G2560" i="2" s="1"/>
  <c r="F2561" i="2"/>
  <c r="G2561" i="2" s="1"/>
  <c r="F2562" i="2"/>
  <c r="G2562" i="2" s="1"/>
  <c r="F2563" i="2"/>
  <c r="G2563" i="2" s="1"/>
  <c r="F2564" i="2"/>
  <c r="G2564" i="2" s="1"/>
  <c r="F2565" i="2"/>
  <c r="G2565" i="2" s="1"/>
  <c r="F2566" i="2"/>
  <c r="G2566" i="2" s="1"/>
  <c r="F2567" i="2"/>
  <c r="G2567" i="2" s="1"/>
  <c r="F2568" i="2"/>
  <c r="G2568" i="2" s="1"/>
  <c r="F2569" i="2"/>
  <c r="G2569" i="2" s="1"/>
  <c r="F2546" i="2"/>
  <c r="G2546" i="2" s="1"/>
  <c r="F2547" i="2"/>
  <c r="G2547" i="2" s="1"/>
  <c r="F2548" i="2"/>
  <c r="G2548" i="2" s="1"/>
  <c r="F2549" i="2"/>
  <c r="G2549" i="2" s="1"/>
  <c r="F2550" i="2"/>
  <c r="G2550" i="2" s="1"/>
  <c r="F2551" i="2"/>
  <c r="G2551" i="2" s="1"/>
  <c r="F2552" i="2"/>
  <c r="G2552" i="2" s="1"/>
  <c r="F2553" i="2"/>
  <c r="G2553" i="2" s="1"/>
  <c r="F2554" i="2"/>
  <c r="G2554" i="2" s="1"/>
  <c r="F2555" i="2"/>
  <c r="G2555" i="2" s="1"/>
  <c r="F2556" i="2"/>
  <c r="G2556" i="2" s="1"/>
  <c r="F2557" i="2"/>
  <c r="G2557" i="2" s="1"/>
  <c r="F2534" i="2"/>
  <c r="G2534" i="2" s="1"/>
  <c r="F2535" i="2"/>
  <c r="G2535" i="2" s="1"/>
  <c r="F2536" i="2"/>
  <c r="G2536" i="2" s="1"/>
  <c r="F2537" i="2"/>
  <c r="G2537" i="2" s="1"/>
  <c r="F2538" i="2"/>
  <c r="G2538" i="2" s="1"/>
  <c r="F2539" i="2"/>
  <c r="G2539" i="2" s="1"/>
  <c r="F2540" i="2"/>
  <c r="G2540" i="2" s="1"/>
  <c r="F2541" i="2"/>
  <c r="G2541" i="2" s="1"/>
  <c r="F2542" i="2"/>
  <c r="G2542" i="2" s="1"/>
  <c r="F2543" i="2"/>
  <c r="G2543" i="2" s="1"/>
  <c r="F2544" i="2"/>
  <c r="G2544" i="2" s="1"/>
  <c r="F2545" i="2"/>
  <c r="G2545" i="2" s="1"/>
  <c r="F2522" i="2"/>
  <c r="G2522" i="2" s="1"/>
  <c r="F2523" i="2"/>
  <c r="G2523" i="2" s="1"/>
  <c r="F2524" i="2"/>
  <c r="G2524" i="2" s="1"/>
  <c r="F2525" i="2"/>
  <c r="G2525" i="2" s="1"/>
  <c r="F2526" i="2"/>
  <c r="G2526" i="2" s="1"/>
  <c r="F2527" i="2"/>
  <c r="G2527" i="2" s="1"/>
  <c r="F2528" i="2"/>
  <c r="G2528" i="2" s="1"/>
  <c r="F2529" i="2"/>
  <c r="G2529" i="2" s="1"/>
  <c r="F2530" i="2"/>
  <c r="G2530" i="2" s="1"/>
  <c r="F2531" i="2"/>
  <c r="G2531" i="2" s="1"/>
  <c r="F2532" i="2"/>
  <c r="G2532" i="2" s="1"/>
  <c r="F2533" i="2"/>
  <c r="G2533" i="2" s="1"/>
  <c r="F2510" i="2"/>
  <c r="G2510" i="2" s="1"/>
  <c r="F2511" i="2"/>
  <c r="G2511" i="2" s="1"/>
  <c r="F2512" i="2"/>
  <c r="G2512" i="2" s="1"/>
  <c r="F2513" i="2"/>
  <c r="G2513" i="2" s="1"/>
  <c r="F2514" i="2"/>
  <c r="G2514" i="2" s="1"/>
  <c r="F2515" i="2"/>
  <c r="G2515" i="2" s="1"/>
  <c r="F2516" i="2"/>
  <c r="G2516" i="2" s="1"/>
  <c r="F2517" i="2"/>
  <c r="G2517" i="2" s="1"/>
  <c r="F2518" i="2"/>
  <c r="G2518" i="2" s="1"/>
  <c r="F2519" i="2"/>
  <c r="G2519" i="2" s="1"/>
  <c r="F2520" i="2"/>
  <c r="G2520" i="2" s="1"/>
  <c r="F2521" i="2"/>
  <c r="G2521" i="2" s="1"/>
  <c r="F2498" i="2"/>
  <c r="G2498" i="2" s="1"/>
  <c r="F2499" i="2"/>
  <c r="G2499" i="2" s="1"/>
  <c r="F2500" i="2"/>
  <c r="G2500" i="2" s="1"/>
  <c r="F2501" i="2"/>
  <c r="G2501" i="2" s="1"/>
  <c r="F2502" i="2"/>
  <c r="G2502" i="2" s="1"/>
  <c r="F2503" i="2"/>
  <c r="G2503" i="2" s="1"/>
  <c r="F2504" i="2"/>
  <c r="G2504" i="2" s="1"/>
  <c r="F2505" i="2"/>
  <c r="G2505" i="2" s="1"/>
  <c r="F2506" i="2"/>
  <c r="G2506" i="2" s="1"/>
  <c r="F2507" i="2"/>
  <c r="G2507" i="2" s="1"/>
  <c r="F2508" i="2"/>
  <c r="G2508" i="2" s="1"/>
  <c r="F2509" i="2"/>
  <c r="G2509" i="2" s="1"/>
  <c r="F2486" i="2"/>
  <c r="G2486" i="2" s="1"/>
  <c r="F2487" i="2"/>
  <c r="G2487" i="2" s="1"/>
  <c r="F2488" i="2"/>
  <c r="G2488" i="2" s="1"/>
  <c r="F2489" i="2"/>
  <c r="G2489" i="2" s="1"/>
  <c r="F2490" i="2"/>
  <c r="G2490" i="2" s="1"/>
  <c r="F2491" i="2"/>
  <c r="G2491" i="2" s="1"/>
  <c r="F2492" i="2"/>
  <c r="G2492" i="2" s="1"/>
  <c r="F2493" i="2"/>
  <c r="G2493" i="2" s="1"/>
  <c r="F2494" i="2"/>
  <c r="G2494" i="2" s="1"/>
  <c r="F2495" i="2"/>
  <c r="G2495" i="2" s="1"/>
  <c r="F2496" i="2"/>
  <c r="G2496" i="2" s="1"/>
  <c r="F2497" i="2"/>
  <c r="G2497" i="2" s="1"/>
  <c r="F2474" i="2"/>
  <c r="G2474" i="2" s="1"/>
  <c r="F2475" i="2"/>
  <c r="G2475" i="2" s="1"/>
  <c r="F2476" i="2"/>
  <c r="G2476" i="2" s="1"/>
  <c r="F2477" i="2"/>
  <c r="G2477" i="2" s="1"/>
  <c r="F2478" i="2"/>
  <c r="G2478" i="2" s="1"/>
  <c r="F2479" i="2"/>
  <c r="G2479" i="2" s="1"/>
  <c r="F2480" i="2"/>
  <c r="G2480" i="2" s="1"/>
  <c r="F2481" i="2"/>
  <c r="G2481" i="2" s="1"/>
  <c r="F2482" i="2"/>
  <c r="G2482" i="2" s="1"/>
  <c r="F2483" i="2"/>
  <c r="G2483" i="2" s="1"/>
  <c r="F2484" i="2"/>
  <c r="G2484" i="2" s="1"/>
  <c r="F2485" i="2"/>
  <c r="G2485" i="2" s="1"/>
  <c r="F2462" i="2"/>
  <c r="G2462" i="2" s="1"/>
  <c r="F2463" i="2"/>
  <c r="G2463" i="2" s="1"/>
  <c r="F2464" i="2"/>
  <c r="G2464" i="2" s="1"/>
  <c r="F2465" i="2"/>
  <c r="G2465" i="2" s="1"/>
  <c r="F2466" i="2"/>
  <c r="G2466" i="2" s="1"/>
  <c r="F2467" i="2"/>
  <c r="G2467" i="2" s="1"/>
  <c r="F2468" i="2"/>
  <c r="G2468" i="2" s="1"/>
  <c r="F2469" i="2"/>
  <c r="G2469" i="2" s="1"/>
  <c r="F2470" i="2"/>
  <c r="G2470" i="2" s="1"/>
  <c r="F2471" i="2"/>
  <c r="G2471" i="2" s="1"/>
  <c r="F2472" i="2"/>
  <c r="G2472" i="2" s="1"/>
  <c r="F2473" i="2"/>
  <c r="G2473" i="2" s="1"/>
  <c r="F2450" i="2"/>
  <c r="G2450" i="2" s="1"/>
  <c r="F2451" i="2"/>
  <c r="G2451" i="2" s="1"/>
  <c r="F2452" i="2"/>
  <c r="G2452" i="2" s="1"/>
  <c r="F2453" i="2"/>
  <c r="G2453" i="2" s="1"/>
  <c r="F2454" i="2"/>
  <c r="G2454" i="2" s="1"/>
  <c r="F2455" i="2"/>
  <c r="G2455" i="2" s="1"/>
  <c r="F2456" i="2"/>
  <c r="G2456" i="2" s="1"/>
  <c r="F2457" i="2"/>
  <c r="G2457" i="2" s="1"/>
  <c r="F2458" i="2"/>
  <c r="G2458" i="2" s="1"/>
  <c r="F2459" i="2"/>
  <c r="G2459" i="2" s="1"/>
  <c r="F2460" i="2"/>
  <c r="G2460" i="2" s="1"/>
  <c r="F2461" i="2"/>
  <c r="G2461" i="2" s="1"/>
  <c r="F2438" i="2"/>
  <c r="G2438" i="2" s="1"/>
  <c r="F2439" i="2"/>
  <c r="G2439" i="2" s="1"/>
  <c r="F2440" i="2"/>
  <c r="G2440" i="2" s="1"/>
  <c r="F2441" i="2"/>
  <c r="G2441" i="2" s="1"/>
  <c r="F2442" i="2"/>
  <c r="G2442" i="2" s="1"/>
  <c r="F2443" i="2"/>
  <c r="G2443" i="2" s="1"/>
  <c r="F2444" i="2"/>
  <c r="G2444" i="2" s="1"/>
  <c r="F2445" i="2"/>
  <c r="G2445" i="2" s="1"/>
  <c r="F2446" i="2"/>
  <c r="G2446" i="2" s="1"/>
  <c r="F2447" i="2"/>
  <c r="G2447" i="2" s="1"/>
  <c r="F2448" i="2"/>
  <c r="G2448" i="2" s="1"/>
  <c r="F2449" i="2"/>
  <c r="G2449" i="2" s="1"/>
  <c r="F2426" i="2"/>
  <c r="G2426" i="2" s="1"/>
  <c r="F2427" i="2"/>
  <c r="G2427" i="2" s="1"/>
  <c r="F2428" i="2"/>
  <c r="G2428" i="2" s="1"/>
  <c r="F2429" i="2"/>
  <c r="G2429" i="2" s="1"/>
  <c r="F2430" i="2"/>
  <c r="G2430" i="2" s="1"/>
  <c r="F2431" i="2"/>
  <c r="G2431" i="2" s="1"/>
  <c r="F2432" i="2"/>
  <c r="G2432" i="2" s="1"/>
  <c r="F2433" i="2"/>
  <c r="G2433" i="2" s="1"/>
  <c r="F2434" i="2"/>
  <c r="G2434" i="2" s="1"/>
  <c r="F2435" i="2"/>
  <c r="G2435" i="2" s="1"/>
  <c r="F2436" i="2"/>
  <c r="G2436" i="2" s="1"/>
  <c r="F2437" i="2"/>
  <c r="G2437" i="2" s="1"/>
  <c r="F2414" i="2"/>
  <c r="G2414" i="2" s="1"/>
  <c r="F2415" i="2"/>
  <c r="G2415" i="2" s="1"/>
  <c r="F2416" i="2"/>
  <c r="G2416" i="2" s="1"/>
  <c r="F2417" i="2"/>
  <c r="G2417" i="2" s="1"/>
  <c r="F2418" i="2"/>
  <c r="G2418" i="2" s="1"/>
  <c r="F2419" i="2"/>
  <c r="G2419" i="2" s="1"/>
  <c r="F2420" i="2"/>
  <c r="G2420" i="2" s="1"/>
  <c r="F2421" i="2"/>
  <c r="G2421" i="2" s="1"/>
  <c r="F2422" i="2"/>
  <c r="G2422" i="2" s="1"/>
  <c r="F2423" i="2"/>
  <c r="G2423" i="2" s="1"/>
  <c r="F2424" i="2"/>
  <c r="G2424" i="2" s="1"/>
  <c r="F2425" i="2"/>
  <c r="G2425" i="2" s="1"/>
  <c r="F2402" i="2"/>
  <c r="G2402" i="2" s="1"/>
  <c r="F2403" i="2"/>
  <c r="G2403" i="2" s="1"/>
  <c r="F2404" i="2"/>
  <c r="G2404" i="2" s="1"/>
  <c r="F2405" i="2"/>
  <c r="G2405" i="2" s="1"/>
  <c r="F2406" i="2"/>
  <c r="G2406" i="2" s="1"/>
  <c r="F2407" i="2"/>
  <c r="G2407" i="2" s="1"/>
  <c r="F2408" i="2"/>
  <c r="G2408" i="2" s="1"/>
  <c r="F2409" i="2"/>
  <c r="G2409" i="2" s="1"/>
  <c r="F2410" i="2"/>
  <c r="G2410" i="2" s="1"/>
  <c r="F2411" i="2"/>
  <c r="G2411" i="2" s="1"/>
  <c r="F2412" i="2"/>
  <c r="G2412" i="2" s="1"/>
  <c r="F2413" i="2"/>
  <c r="G2413" i="2" s="1"/>
  <c r="F2401" i="2"/>
  <c r="G2401" i="2" s="1"/>
  <c r="F2390" i="2"/>
  <c r="G2390" i="2" s="1"/>
  <c r="F2391" i="2"/>
  <c r="G2391" i="2" s="1"/>
  <c r="F2392" i="2"/>
  <c r="G2392" i="2" s="1"/>
  <c r="F2393" i="2"/>
  <c r="G2393" i="2" s="1"/>
  <c r="F2394" i="2"/>
  <c r="G2394" i="2" s="1"/>
  <c r="F2395" i="2"/>
  <c r="G2395" i="2" s="1"/>
  <c r="F2396" i="2"/>
  <c r="G2396" i="2" s="1"/>
  <c r="F2397" i="2"/>
  <c r="G2397" i="2" s="1"/>
  <c r="F2398" i="2"/>
  <c r="G2398" i="2" s="1"/>
  <c r="F2399" i="2"/>
  <c r="G2399" i="2" s="1"/>
  <c r="F2400" i="2"/>
  <c r="G2400" i="2" s="1"/>
  <c r="F2378" i="2"/>
  <c r="G2378" i="2" s="1"/>
  <c r="F2379" i="2"/>
  <c r="G2379" i="2" s="1"/>
  <c r="F2380" i="2"/>
  <c r="G2380" i="2" s="1"/>
  <c r="F2381" i="2"/>
  <c r="G2381" i="2" s="1"/>
  <c r="F2382" i="2"/>
  <c r="G2382" i="2" s="1"/>
  <c r="F2383" i="2"/>
  <c r="G2383" i="2" s="1"/>
  <c r="F2384" i="2"/>
  <c r="G2384" i="2" s="1"/>
  <c r="F2385" i="2"/>
  <c r="G2385" i="2" s="1"/>
  <c r="F2386" i="2"/>
  <c r="G2386" i="2" s="1"/>
  <c r="F2387" i="2"/>
  <c r="G2387" i="2" s="1"/>
  <c r="F2388" i="2"/>
  <c r="G2388" i="2" s="1"/>
  <c r="F2389" i="2"/>
  <c r="G2389" i="2" s="1"/>
  <c r="F2366" i="2"/>
  <c r="G2366" i="2" s="1"/>
  <c r="F2367" i="2"/>
  <c r="G2367" i="2" s="1"/>
  <c r="F2368" i="2"/>
  <c r="G2368" i="2" s="1"/>
  <c r="F2369" i="2"/>
  <c r="G2369" i="2" s="1"/>
  <c r="F2370" i="2"/>
  <c r="G2370" i="2" s="1"/>
  <c r="F2371" i="2"/>
  <c r="G2371" i="2" s="1"/>
  <c r="F2372" i="2"/>
  <c r="G2372" i="2" s="1"/>
  <c r="F2373" i="2"/>
  <c r="G2373" i="2" s="1"/>
  <c r="F2374" i="2"/>
  <c r="G2374" i="2" s="1"/>
  <c r="F2375" i="2"/>
  <c r="G2375" i="2" s="1"/>
  <c r="F2376" i="2"/>
  <c r="G2376" i="2" s="1"/>
  <c r="F2377" i="2"/>
  <c r="G2377" i="2" s="1"/>
  <c r="F2354" i="2"/>
  <c r="G2354" i="2" s="1"/>
  <c r="F2355" i="2"/>
  <c r="G2355" i="2" s="1"/>
  <c r="F2356" i="2"/>
  <c r="G2356" i="2" s="1"/>
  <c r="F2357" i="2"/>
  <c r="G2357" i="2" s="1"/>
  <c r="F2358" i="2"/>
  <c r="G2358" i="2" s="1"/>
  <c r="F2359" i="2"/>
  <c r="G2359" i="2" s="1"/>
  <c r="F2360" i="2"/>
  <c r="G2360" i="2" s="1"/>
  <c r="F2361" i="2"/>
  <c r="G2361" i="2" s="1"/>
  <c r="F2362" i="2"/>
  <c r="G2362" i="2" s="1"/>
  <c r="F2363" i="2"/>
  <c r="G2363" i="2" s="1"/>
  <c r="F2364" i="2"/>
  <c r="G2364" i="2" s="1"/>
  <c r="F2365" i="2"/>
  <c r="G2365" i="2" s="1"/>
  <c r="F2342" i="2"/>
  <c r="G2342" i="2" s="1"/>
  <c r="F2343" i="2"/>
  <c r="G2343" i="2" s="1"/>
  <c r="F2344" i="2"/>
  <c r="G2344" i="2" s="1"/>
  <c r="F2345" i="2"/>
  <c r="G2345" i="2" s="1"/>
  <c r="F2346" i="2"/>
  <c r="G2346" i="2" s="1"/>
  <c r="F2347" i="2"/>
  <c r="G2347" i="2" s="1"/>
  <c r="F2348" i="2"/>
  <c r="G2348" i="2" s="1"/>
  <c r="F2349" i="2"/>
  <c r="G2349" i="2" s="1"/>
  <c r="F2350" i="2"/>
  <c r="G2350" i="2" s="1"/>
  <c r="F2351" i="2"/>
  <c r="G2351" i="2" s="1"/>
  <c r="F2352" i="2"/>
  <c r="G2352" i="2" s="1"/>
  <c r="F2353" i="2"/>
  <c r="G2353" i="2" s="1"/>
  <c r="F2330" i="2"/>
  <c r="G2330" i="2" s="1"/>
  <c r="F2331" i="2"/>
  <c r="G2331" i="2" s="1"/>
  <c r="F2332" i="2"/>
  <c r="G2332" i="2" s="1"/>
  <c r="F2333" i="2"/>
  <c r="G2333" i="2" s="1"/>
  <c r="F2334" i="2"/>
  <c r="G2334" i="2" s="1"/>
  <c r="F2335" i="2"/>
  <c r="G2335" i="2" s="1"/>
  <c r="F2336" i="2"/>
  <c r="G2336" i="2" s="1"/>
  <c r="F2337" i="2"/>
  <c r="G2337" i="2" s="1"/>
  <c r="F2338" i="2"/>
  <c r="G2338" i="2" s="1"/>
  <c r="F2339" i="2"/>
  <c r="G2339" i="2" s="1"/>
  <c r="F2340" i="2"/>
  <c r="G2340" i="2" s="1"/>
  <c r="F2341" i="2"/>
  <c r="G2341" i="2" s="1"/>
  <c r="F2318" i="2"/>
  <c r="G2318" i="2" s="1"/>
  <c r="F2319" i="2"/>
  <c r="G2319" i="2" s="1"/>
  <c r="F2320" i="2"/>
  <c r="G2320" i="2" s="1"/>
  <c r="F2321" i="2"/>
  <c r="G2321" i="2" s="1"/>
  <c r="F2322" i="2"/>
  <c r="G2322" i="2" s="1"/>
  <c r="F2323" i="2"/>
  <c r="G2323" i="2" s="1"/>
  <c r="F2324" i="2"/>
  <c r="G2324" i="2" s="1"/>
  <c r="F2325" i="2"/>
  <c r="G2325" i="2" s="1"/>
  <c r="F2326" i="2"/>
  <c r="G2326" i="2" s="1"/>
  <c r="F2327" i="2"/>
  <c r="G2327" i="2" s="1"/>
  <c r="F2328" i="2"/>
  <c r="G2328" i="2" s="1"/>
  <c r="F2329" i="2"/>
  <c r="G2329" i="2" s="1"/>
  <c r="F2306" i="2"/>
  <c r="G2306" i="2" s="1"/>
  <c r="F2307" i="2"/>
  <c r="G2307" i="2" s="1"/>
  <c r="F2308" i="2"/>
  <c r="G2308" i="2" s="1"/>
  <c r="F2309" i="2"/>
  <c r="G2309" i="2" s="1"/>
  <c r="F2310" i="2"/>
  <c r="G2310" i="2" s="1"/>
  <c r="F2311" i="2"/>
  <c r="G2311" i="2" s="1"/>
  <c r="F2312" i="2"/>
  <c r="G2312" i="2" s="1"/>
  <c r="F2313" i="2"/>
  <c r="G2313" i="2" s="1"/>
  <c r="F2314" i="2"/>
  <c r="G2314" i="2" s="1"/>
  <c r="F2315" i="2"/>
  <c r="G2315" i="2" s="1"/>
  <c r="F2316" i="2"/>
  <c r="G2316" i="2" s="1"/>
  <c r="F2317" i="2"/>
  <c r="G2317" i="2" s="1"/>
  <c r="F2294" i="2" l="1"/>
  <c r="G2294" i="2" s="1"/>
  <c r="F2295" i="2"/>
  <c r="G2295" i="2" s="1"/>
  <c r="F2296" i="2"/>
  <c r="G2296" i="2" s="1"/>
  <c r="F2297" i="2"/>
  <c r="G2297" i="2" s="1"/>
  <c r="F2298" i="2"/>
  <c r="G2298" i="2" s="1"/>
  <c r="F2299" i="2"/>
  <c r="G2299" i="2" s="1"/>
  <c r="F2300" i="2"/>
  <c r="G2300" i="2" s="1"/>
  <c r="F2301" i="2"/>
  <c r="G2301" i="2" s="1"/>
  <c r="F2302" i="2"/>
  <c r="G2302" i="2" s="1"/>
  <c r="F2303" i="2"/>
  <c r="G2303" i="2" s="1"/>
  <c r="F2304" i="2"/>
  <c r="G2304" i="2" s="1"/>
  <c r="F2305" i="2"/>
  <c r="G2305" i="2" s="1"/>
  <c r="F2282" i="2"/>
  <c r="G2282" i="2" s="1"/>
  <c r="F2283" i="2"/>
  <c r="G2283" i="2" s="1"/>
  <c r="F2284" i="2"/>
  <c r="G2284" i="2" s="1"/>
  <c r="F2285" i="2"/>
  <c r="G2285" i="2" s="1"/>
  <c r="F2286" i="2"/>
  <c r="G2286" i="2" s="1"/>
  <c r="F2287" i="2"/>
  <c r="G2287" i="2" s="1"/>
  <c r="F2288" i="2"/>
  <c r="G2288" i="2" s="1"/>
  <c r="F2289" i="2"/>
  <c r="G2289" i="2" s="1"/>
  <c r="F2290" i="2"/>
  <c r="G2290" i="2" s="1"/>
  <c r="F2291" i="2"/>
  <c r="G2291" i="2" s="1"/>
  <c r="F2292" i="2"/>
  <c r="G2292" i="2" s="1"/>
  <c r="F2293" i="2"/>
  <c r="G2293" i="2" s="1"/>
  <c r="F2270" i="2"/>
  <c r="G2270" i="2" s="1"/>
  <c r="F2271" i="2"/>
  <c r="G2271" i="2" s="1"/>
  <c r="F2272" i="2"/>
  <c r="G2272" i="2" s="1"/>
  <c r="F2273" i="2"/>
  <c r="G2273" i="2" s="1"/>
  <c r="F2274" i="2"/>
  <c r="G2274" i="2" s="1"/>
  <c r="F2275" i="2"/>
  <c r="G2275" i="2" s="1"/>
  <c r="F2276" i="2"/>
  <c r="G2276" i="2" s="1"/>
  <c r="F2277" i="2"/>
  <c r="G2277" i="2" s="1"/>
  <c r="F2278" i="2"/>
  <c r="G2278" i="2" s="1"/>
  <c r="F2279" i="2"/>
  <c r="G2279" i="2" s="1"/>
  <c r="F2280" i="2"/>
  <c r="G2280" i="2" s="1"/>
  <c r="F2281" i="2"/>
  <c r="G2281" i="2" s="1"/>
  <c r="F2258" i="2"/>
  <c r="G2258" i="2" s="1"/>
  <c r="F2259" i="2"/>
  <c r="G2259" i="2" s="1"/>
  <c r="F2260" i="2"/>
  <c r="G2260" i="2" s="1"/>
  <c r="F2261" i="2"/>
  <c r="G2261" i="2" s="1"/>
  <c r="F2262" i="2"/>
  <c r="G2262" i="2" s="1"/>
  <c r="F2263" i="2"/>
  <c r="G2263" i="2" s="1"/>
  <c r="F2264" i="2"/>
  <c r="G2264" i="2" s="1"/>
  <c r="F2265" i="2"/>
  <c r="G2265" i="2" s="1"/>
  <c r="F2266" i="2"/>
  <c r="G2266" i="2" s="1"/>
  <c r="F2267" i="2"/>
  <c r="G2267" i="2" s="1"/>
  <c r="F2268" i="2"/>
  <c r="G2268" i="2" s="1"/>
  <c r="F2269" i="2"/>
  <c r="G2269" i="2" s="1"/>
  <c r="F2246" i="2"/>
  <c r="G2246" i="2" s="1"/>
  <c r="F2247" i="2"/>
  <c r="G2247" i="2" s="1"/>
  <c r="F2248" i="2"/>
  <c r="G2248" i="2" s="1"/>
  <c r="F2249" i="2"/>
  <c r="G2249" i="2" s="1"/>
  <c r="F2250" i="2"/>
  <c r="G2250" i="2" s="1"/>
  <c r="F2251" i="2"/>
  <c r="G2251" i="2" s="1"/>
  <c r="F2252" i="2"/>
  <c r="G2252" i="2" s="1"/>
  <c r="F2253" i="2"/>
  <c r="G2253" i="2" s="1"/>
  <c r="F2254" i="2"/>
  <c r="G2254" i="2" s="1"/>
  <c r="F2255" i="2"/>
  <c r="G2255" i="2" s="1"/>
  <c r="F2256" i="2"/>
  <c r="G2256" i="2" s="1"/>
  <c r="F2257" i="2"/>
  <c r="G2257" i="2" s="1"/>
  <c r="F2234" i="2"/>
  <c r="G2234" i="2" s="1"/>
  <c r="F2235" i="2"/>
  <c r="G2235" i="2" s="1"/>
  <c r="F2236" i="2"/>
  <c r="G2236" i="2" s="1"/>
  <c r="F2237" i="2"/>
  <c r="G2237" i="2" s="1"/>
  <c r="F2238" i="2"/>
  <c r="G2238" i="2" s="1"/>
  <c r="F2239" i="2"/>
  <c r="G2239" i="2" s="1"/>
  <c r="F2240" i="2"/>
  <c r="G2240" i="2" s="1"/>
  <c r="F2241" i="2"/>
  <c r="G2241" i="2" s="1"/>
  <c r="F2242" i="2"/>
  <c r="G2242" i="2" s="1"/>
  <c r="F2243" i="2"/>
  <c r="G2243" i="2" s="1"/>
  <c r="F2244" i="2"/>
  <c r="G2244" i="2" s="1"/>
  <c r="F2245" i="2"/>
  <c r="G2245" i="2" s="1"/>
  <c r="F2222" i="2"/>
  <c r="G2222" i="2" s="1"/>
  <c r="F2223" i="2"/>
  <c r="G2223" i="2" s="1"/>
  <c r="F2224" i="2"/>
  <c r="G2224" i="2" s="1"/>
  <c r="F2225" i="2"/>
  <c r="G2225" i="2" s="1"/>
  <c r="F2226" i="2"/>
  <c r="G2226" i="2" s="1"/>
  <c r="F2227" i="2"/>
  <c r="G2227" i="2" s="1"/>
  <c r="F2228" i="2"/>
  <c r="G2228" i="2" s="1"/>
  <c r="F2229" i="2"/>
  <c r="G2229" i="2" s="1"/>
  <c r="F2230" i="2"/>
  <c r="G2230" i="2" s="1"/>
  <c r="F2231" i="2"/>
  <c r="G2231" i="2" s="1"/>
  <c r="F2232" i="2"/>
  <c r="G2232" i="2" s="1"/>
  <c r="F2233" i="2"/>
  <c r="G2233" i="2" s="1"/>
  <c r="F2210" i="2"/>
  <c r="G2210" i="2" s="1"/>
  <c r="F2211" i="2"/>
  <c r="G2211" i="2" s="1"/>
  <c r="F2212" i="2"/>
  <c r="G2212" i="2" s="1"/>
  <c r="F2213" i="2"/>
  <c r="G2213" i="2" s="1"/>
  <c r="F2214" i="2"/>
  <c r="G2214" i="2" s="1"/>
  <c r="F2215" i="2"/>
  <c r="G2215" i="2" s="1"/>
  <c r="F2216" i="2"/>
  <c r="G2216" i="2" s="1"/>
  <c r="F2217" i="2"/>
  <c r="G2217" i="2" s="1"/>
  <c r="F2218" i="2"/>
  <c r="G2218" i="2" s="1"/>
  <c r="F2219" i="2"/>
  <c r="G2219" i="2" s="1"/>
  <c r="F2220" i="2"/>
  <c r="G2220" i="2" s="1"/>
  <c r="F2221" i="2"/>
  <c r="G2221" i="2" s="1"/>
  <c r="F2198" i="2"/>
  <c r="G2198" i="2" s="1"/>
  <c r="F2199" i="2"/>
  <c r="G2199" i="2" s="1"/>
  <c r="F2200" i="2"/>
  <c r="G2200" i="2" s="1"/>
  <c r="F2201" i="2"/>
  <c r="G2201" i="2" s="1"/>
  <c r="F2202" i="2"/>
  <c r="G2202" i="2" s="1"/>
  <c r="F2203" i="2"/>
  <c r="G2203" i="2" s="1"/>
  <c r="F2204" i="2"/>
  <c r="G2204" i="2" s="1"/>
  <c r="F2205" i="2"/>
  <c r="G2205" i="2" s="1"/>
  <c r="F2206" i="2"/>
  <c r="G2206" i="2" s="1"/>
  <c r="F2207" i="2"/>
  <c r="G2207" i="2" s="1"/>
  <c r="F2208" i="2"/>
  <c r="G2208" i="2" s="1"/>
  <c r="F2209" i="2"/>
  <c r="G2209" i="2" s="1"/>
  <c r="F2186" i="2"/>
  <c r="G2186" i="2" s="1"/>
  <c r="F2187" i="2"/>
  <c r="G2187" i="2" s="1"/>
  <c r="F2188" i="2"/>
  <c r="G2188" i="2" s="1"/>
  <c r="F2189" i="2"/>
  <c r="G2189" i="2" s="1"/>
  <c r="F2190" i="2"/>
  <c r="G2190" i="2" s="1"/>
  <c r="F2191" i="2"/>
  <c r="G2191" i="2" s="1"/>
  <c r="F2192" i="2"/>
  <c r="G2192" i="2" s="1"/>
  <c r="F2193" i="2"/>
  <c r="G2193" i="2" s="1"/>
  <c r="F2194" i="2"/>
  <c r="G2194" i="2" s="1"/>
  <c r="F2195" i="2"/>
  <c r="G2195" i="2" s="1"/>
  <c r="F2196" i="2"/>
  <c r="G2196" i="2" s="1"/>
  <c r="F2197" i="2"/>
  <c r="G2197" i="2" s="1"/>
  <c r="F2174" i="2" l="1"/>
  <c r="G2174" i="2" s="1"/>
  <c r="F2175" i="2"/>
  <c r="G2175" i="2" s="1"/>
  <c r="F2176" i="2"/>
  <c r="G2176" i="2" s="1"/>
  <c r="F2177" i="2"/>
  <c r="G2177" i="2" s="1"/>
  <c r="F2178" i="2"/>
  <c r="G2178" i="2" s="1"/>
  <c r="F2179" i="2"/>
  <c r="G2179" i="2" s="1"/>
  <c r="F2180" i="2"/>
  <c r="G2180" i="2" s="1"/>
  <c r="F2181" i="2"/>
  <c r="G2181" i="2" s="1"/>
  <c r="F2182" i="2"/>
  <c r="G2182" i="2" s="1"/>
  <c r="F2183" i="2"/>
  <c r="G2183" i="2" s="1"/>
  <c r="F2184" i="2"/>
  <c r="G2184" i="2" s="1"/>
  <c r="F2185" i="2"/>
  <c r="G2185" i="2" s="1"/>
  <c r="F2162" i="2"/>
  <c r="G2162" i="2" s="1"/>
  <c r="F2163" i="2"/>
  <c r="G2163" i="2" s="1"/>
  <c r="F2164" i="2"/>
  <c r="G2164" i="2" s="1"/>
  <c r="F2165" i="2"/>
  <c r="G2165" i="2" s="1"/>
  <c r="F2166" i="2"/>
  <c r="G2166" i="2" s="1"/>
  <c r="F2167" i="2"/>
  <c r="G2167" i="2" s="1"/>
  <c r="F2168" i="2"/>
  <c r="G2168" i="2" s="1"/>
  <c r="F2169" i="2"/>
  <c r="G2169" i="2" s="1"/>
  <c r="F2170" i="2"/>
  <c r="G2170" i="2" s="1"/>
  <c r="F2171" i="2"/>
  <c r="G2171" i="2" s="1"/>
  <c r="F2172" i="2"/>
  <c r="G2172" i="2" s="1"/>
  <c r="F2173" i="2"/>
  <c r="G2173" i="2" s="1"/>
  <c r="F2150" i="2"/>
  <c r="G2150" i="2" s="1"/>
  <c r="F2151" i="2"/>
  <c r="G2151" i="2" s="1"/>
  <c r="F2152" i="2"/>
  <c r="G2152" i="2" s="1"/>
  <c r="F2153" i="2"/>
  <c r="G2153" i="2" s="1"/>
  <c r="F2154" i="2"/>
  <c r="G2154" i="2" s="1"/>
  <c r="F2155" i="2"/>
  <c r="G2155" i="2" s="1"/>
  <c r="F2156" i="2"/>
  <c r="G2156" i="2" s="1"/>
  <c r="F2157" i="2"/>
  <c r="G2157" i="2" s="1"/>
  <c r="F2158" i="2"/>
  <c r="G2158" i="2" s="1"/>
  <c r="F2159" i="2"/>
  <c r="G2159" i="2" s="1"/>
  <c r="F2160" i="2"/>
  <c r="G2160" i="2" s="1"/>
  <c r="F2161" i="2"/>
  <c r="G2161" i="2" s="1"/>
  <c r="F2149" i="2"/>
  <c r="G2149" i="2" s="1"/>
  <c r="F2138" i="2"/>
  <c r="G2138" i="2" s="1"/>
  <c r="F2139" i="2"/>
  <c r="G2139" i="2" s="1"/>
  <c r="F2140" i="2"/>
  <c r="G2140" i="2" s="1"/>
  <c r="F2141" i="2"/>
  <c r="G2141" i="2" s="1"/>
  <c r="F2142" i="2"/>
  <c r="G2142" i="2" s="1"/>
  <c r="F2143" i="2"/>
  <c r="G2143" i="2" s="1"/>
  <c r="F2144" i="2"/>
  <c r="G2144" i="2" s="1"/>
  <c r="F2145" i="2"/>
  <c r="G2145" i="2" s="1"/>
  <c r="F2146" i="2"/>
  <c r="G2146" i="2" s="1"/>
  <c r="F2147" i="2"/>
  <c r="G2147" i="2" s="1"/>
  <c r="F2148" i="2"/>
  <c r="G2148" i="2" s="1"/>
  <c r="F2126" i="2"/>
  <c r="G2126" i="2" s="1"/>
  <c r="F2127" i="2"/>
  <c r="G2127" i="2" s="1"/>
  <c r="F2128" i="2"/>
  <c r="G2128" i="2" s="1"/>
  <c r="F2129" i="2"/>
  <c r="G2129" i="2" s="1"/>
  <c r="F2130" i="2"/>
  <c r="G2130" i="2" s="1"/>
  <c r="F2131" i="2"/>
  <c r="G2131" i="2" s="1"/>
  <c r="F2132" i="2"/>
  <c r="G2132" i="2" s="1"/>
  <c r="F2133" i="2"/>
  <c r="G2133" i="2" s="1"/>
  <c r="F2134" i="2"/>
  <c r="G2134" i="2" s="1"/>
  <c r="F2135" i="2"/>
  <c r="G2135" i="2" s="1"/>
  <c r="F2136" i="2"/>
  <c r="G2136" i="2" s="1"/>
  <c r="F2137" i="2"/>
  <c r="G2137" i="2" s="1"/>
  <c r="F2114" i="2"/>
  <c r="G2114" i="2" s="1"/>
  <c r="F2115" i="2"/>
  <c r="G2115" i="2" s="1"/>
  <c r="F2116" i="2"/>
  <c r="G2116" i="2" s="1"/>
  <c r="F2117" i="2"/>
  <c r="G2117" i="2" s="1"/>
  <c r="F2118" i="2"/>
  <c r="G2118" i="2" s="1"/>
  <c r="F2119" i="2"/>
  <c r="G2119" i="2" s="1"/>
  <c r="F2120" i="2"/>
  <c r="G2120" i="2" s="1"/>
  <c r="F2121" i="2"/>
  <c r="G2121" i="2" s="1"/>
  <c r="F2122" i="2"/>
  <c r="G2122" i="2" s="1"/>
  <c r="F2123" i="2"/>
  <c r="G2123" i="2" s="1"/>
  <c r="F2124" i="2"/>
  <c r="G2124" i="2" s="1"/>
  <c r="F2125" i="2"/>
  <c r="G2125" i="2" s="1"/>
  <c r="F2102" i="2"/>
  <c r="G2102" i="2" s="1"/>
  <c r="F2103" i="2"/>
  <c r="G2103" i="2" s="1"/>
  <c r="F2104" i="2"/>
  <c r="G2104" i="2" s="1"/>
  <c r="F2105" i="2"/>
  <c r="G2105" i="2" s="1"/>
  <c r="F2106" i="2"/>
  <c r="G2106" i="2" s="1"/>
  <c r="F2107" i="2"/>
  <c r="G2107" i="2" s="1"/>
  <c r="F2108" i="2"/>
  <c r="G2108" i="2" s="1"/>
  <c r="F2109" i="2"/>
  <c r="G2109" i="2" s="1"/>
  <c r="F2110" i="2"/>
  <c r="G2110" i="2" s="1"/>
  <c r="F2111" i="2"/>
  <c r="G2111" i="2" s="1"/>
  <c r="F2112" i="2"/>
  <c r="G2112" i="2" s="1"/>
  <c r="F2113" i="2"/>
  <c r="G2113" i="2" s="1"/>
  <c r="F2090" i="2"/>
  <c r="G2090" i="2" s="1"/>
  <c r="F2091" i="2"/>
  <c r="G2091" i="2" s="1"/>
  <c r="F2092" i="2"/>
  <c r="G2092" i="2" s="1"/>
  <c r="F2093" i="2"/>
  <c r="G2093" i="2" s="1"/>
  <c r="F2094" i="2"/>
  <c r="G2094" i="2" s="1"/>
  <c r="F2095" i="2"/>
  <c r="G2095" i="2" s="1"/>
  <c r="F2096" i="2"/>
  <c r="G2096" i="2" s="1"/>
  <c r="F2097" i="2"/>
  <c r="G2097" i="2" s="1"/>
  <c r="F2098" i="2"/>
  <c r="G2098" i="2" s="1"/>
  <c r="F2099" i="2"/>
  <c r="G2099" i="2" s="1"/>
  <c r="F2100" i="2"/>
  <c r="G2100" i="2" s="1"/>
  <c r="F2101" i="2"/>
  <c r="G2101" i="2" s="1"/>
  <c r="F2078" i="2"/>
  <c r="G2078" i="2" s="1"/>
  <c r="F2079" i="2"/>
  <c r="G2079" i="2" s="1"/>
  <c r="F2080" i="2"/>
  <c r="G2080" i="2" s="1"/>
  <c r="F2081" i="2"/>
  <c r="G2081" i="2" s="1"/>
  <c r="F2082" i="2"/>
  <c r="G2082" i="2" s="1"/>
  <c r="F2083" i="2"/>
  <c r="G2083" i="2" s="1"/>
  <c r="F2084" i="2"/>
  <c r="G2084" i="2" s="1"/>
  <c r="F2085" i="2"/>
  <c r="G2085" i="2" s="1"/>
  <c r="F2086" i="2"/>
  <c r="G2086" i="2" s="1"/>
  <c r="F2087" i="2"/>
  <c r="G2087" i="2" s="1"/>
  <c r="F2088" i="2"/>
  <c r="G2088" i="2" s="1"/>
  <c r="F2089" i="2"/>
  <c r="G2089" i="2" s="1"/>
  <c r="F2066" i="2"/>
  <c r="G2066" i="2" s="1"/>
  <c r="F2067" i="2"/>
  <c r="G2067" i="2" s="1"/>
  <c r="F2068" i="2"/>
  <c r="G2068" i="2" s="1"/>
  <c r="F2069" i="2"/>
  <c r="G2069" i="2" s="1"/>
  <c r="F2070" i="2"/>
  <c r="G2070" i="2" s="1"/>
  <c r="F2071" i="2"/>
  <c r="G2071" i="2" s="1"/>
  <c r="F2072" i="2"/>
  <c r="G2072" i="2" s="1"/>
  <c r="F2073" i="2"/>
  <c r="G2073" i="2" s="1"/>
  <c r="F2074" i="2"/>
  <c r="G2074" i="2" s="1"/>
  <c r="F2075" i="2"/>
  <c r="G2075" i="2" s="1"/>
  <c r="F2076" i="2"/>
  <c r="G2076" i="2" s="1"/>
  <c r="F2077" i="2"/>
  <c r="G2077" i="2" s="1"/>
  <c r="F2054" i="2"/>
  <c r="G2054" i="2" s="1"/>
  <c r="F2055" i="2"/>
  <c r="G2055" i="2" s="1"/>
  <c r="F2056" i="2"/>
  <c r="G2056" i="2" s="1"/>
  <c r="F2057" i="2"/>
  <c r="G2057" i="2" s="1"/>
  <c r="F2058" i="2"/>
  <c r="G2058" i="2" s="1"/>
  <c r="F2059" i="2"/>
  <c r="G2059" i="2" s="1"/>
  <c r="F2060" i="2"/>
  <c r="G2060" i="2" s="1"/>
  <c r="F2061" i="2"/>
  <c r="G2061" i="2" s="1"/>
  <c r="F2062" i="2"/>
  <c r="G2062" i="2" s="1"/>
  <c r="F2063" i="2"/>
  <c r="G2063" i="2" s="1"/>
  <c r="F2064" i="2"/>
  <c r="G2064" i="2" s="1"/>
  <c r="F2065" i="2"/>
  <c r="G2065" i="2" s="1"/>
  <c r="F2042" i="2"/>
  <c r="G2042" i="2" s="1"/>
  <c r="F2043" i="2"/>
  <c r="G2043" i="2" s="1"/>
  <c r="F2044" i="2"/>
  <c r="G2044" i="2" s="1"/>
  <c r="F2045" i="2"/>
  <c r="G2045" i="2" s="1"/>
  <c r="F2046" i="2"/>
  <c r="G2046" i="2" s="1"/>
  <c r="F2047" i="2"/>
  <c r="G2047" i="2" s="1"/>
  <c r="F2048" i="2"/>
  <c r="G2048" i="2" s="1"/>
  <c r="F2049" i="2"/>
  <c r="G2049" i="2" s="1"/>
  <c r="F2050" i="2"/>
  <c r="G2050" i="2" s="1"/>
  <c r="F2051" i="2"/>
  <c r="G2051" i="2" s="1"/>
  <c r="F2052" i="2"/>
  <c r="G2052" i="2" s="1"/>
  <c r="F2053" i="2"/>
  <c r="G2053" i="2" s="1"/>
  <c r="F2030" i="2"/>
  <c r="G2030" i="2" s="1"/>
  <c r="F2031" i="2"/>
  <c r="G2031" i="2" s="1"/>
  <c r="F2032" i="2"/>
  <c r="G2032" i="2" s="1"/>
  <c r="F2033" i="2"/>
  <c r="G2033" i="2" s="1"/>
  <c r="F2034" i="2"/>
  <c r="G2034" i="2" s="1"/>
  <c r="F2035" i="2"/>
  <c r="G2035" i="2" s="1"/>
  <c r="F2036" i="2"/>
  <c r="G2036" i="2" s="1"/>
  <c r="F2037" i="2"/>
  <c r="G2037" i="2" s="1"/>
  <c r="F2038" i="2"/>
  <c r="G2038" i="2" s="1"/>
  <c r="F2039" i="2"/>
  <c r="G2039" i="2" s="1"/>
  <c r="F2040" i="2"/>
  <c r="G2040" i="2" s="1"/>
  <c r="F2041" i="2"/>
  <c r="G2041" i="2" s="1"/>
  <c r="F2018" i="2"/>
  <c r="G2018" i="2" s="1"/>
  <c r="F2019" i="2"/>
  <c r="G2019" i="2" s="1"/>
  <c r="F2020" i="2"/>
  <c r="G2020" i="2" s="1"/>
  <c r="F2021" i="2"/>
  <c r="G2021" i="2" s="1"/>
  <c r="F2022" i="2"/>
  <c r="G2022" i="2" s="1"/>
  <c r="F2023" i="2"/>
  <c r="G2023" i="2" s="1"/>
  <c r="F2024" i="2"/>
  <c r="G2024" i="2" s="1"/>
  <c r="F2025" i="2"/>
  <c r="G2025" i="2" s="1"/>
  <c r="F2026" i="2"/>
  <c r="G2026" i="2" s="1"/>
  <c r="F2027" i="2"/>
  <c r="G2027" i="2" s="1"/>
  <c r="F2028" i="2"/>
  <c r="G2028" i="2" s="1"/>
  <c r="F2029" i="2"/>
  <c r="G2029" i="2" s="1"/>
  <c r="F2017" i="2" l="1"/>
  <c r="G2017" i="2" s="1"/>
  <c r="F2006" i="2"/>
  <c r="G2006" i="2" s="1"/>
  <c r="F2007" i="2"/>
  <c r="G2007" i="2" s="1"/>
  <c r="F2008" i="2"/>
  <c r="G2008" i="2" s="1"/>
  <c r="F2009" i="2"/>
  <c r="G2009" i="2" s="1"/>
  <c r="F2010" i="2"/>
  <c r="G2010" i="2" s="1"/>
  <c r="F2011" i="2"/>
  <c r="G2011" i="2" s="1"/>
  <c r="F2012" i="2"/>
  <c r="G2012" i="2" s="1"/>
  <c r="F2013" i="2"/>
  <c r="G2013" i="2" s="1"/>
  <c r="F2014" i="2"/>
  <c r="G2014" i="2" s="1"/>
  <c r="F2015" i="2"/>
  <c r="G2015" i="2" s="1"/>
  <c r="F2016" i="2"/>
  <c r="G2016" i="2" s="1"/>
  <c r="F1994" i="2"/>
  <c r="G1994" i="2" s="1"/>
  <c r="F1995" i="2"/>
  <c r="G1995" i="2" s="1"/>
  <c r="F1996" i="2"/>
  <c r="G1996" i="2" s="1"/>
  <c r="F1997" i="2"/>
  <c r="G1997" i="2" s="1"/>
  <c r="F1998" i="2"/>
  <c r="G1998" i="2" s="1"/>
  <c r="F1999" i="2"/>
  <c r="G1999" i="2" s="1"/>
  <c r="F2000" i="2"/>
  <c r="G2000" i="2" s="1"/>
  <c r="F2001" i="2"/>
  <c r="G2001" i="2" s="1"/>
  <c r="F2002" i="2"/>
  <c r="G2002" i="2" s="1"/>
  <c r="F2003" i="2"/>
  <c r="G2003" i="2" s="1"/>
  <c r="F2004" i="2"/>
  <c r="G2004" i="2" s="1"/>
  <c r="F2005" i="2"/>
  <c r="G2005" i="2" s="1"/>
  <c r="F1982" i="2"/>
  <c r="G1982" i="2" s="1"/>
  <c r="F1983" i="2"/>
  <c r="G1983" i="2" s="1"/>
  <c r="F1984" i="2"/>
  <c r="G1984" i="2" s="1"/>
  <c r="F1985" i="2"/>
  <c r="G1985" i="2" s="1"/>
  <c r="F1986" i="2"/>
  <c r="G1986" i="2" s="1"/>
  <c r="F1987" i="2"/>
  <c r="G1987" i="2" s="1"/>
  <c r="F1988" i="2"/>
  <c r="G1988" i="2" s="1"/>
  <c r="F1989" i="2"/>
  <c r="G1989" i="2" s="1"/>
  <c r="F1990" i="2"/>
  <c r="G1990" i="2" s="1"/>
  <c r="F1991" i="2"/>
  <c r="G1991" i="2" s="1"/>
  <c r="F1992" i="2"/>
  <c r="G1992" i="2" s="1"/>
  <c r="F1993" i="2"/>
  <c r="G1993" i="2" s="1"/>
  <c r="F1970" i="2"/>
  <c r="G1970" i="2" s="1"/>
  <c r="F1971" i="2"/>
  <c r="G1971" i="2" s="1"/>
  <c r="F1972" i="2"/>
  <c r="G1972" i="2" s="1"/>
  <c r="F1973" i="2"/>
  <c r="G1973" i="2" s="1"/>
  <c r="F1974" i="2"/>
  <c r="G1974" i="2" s="1"/>
  <c r="F1975" i="2"/>
  <c r="G1975" i="2" s="1"/>
  <c r="F1976" i="2"/>
  <c r="G1976" i="2" s="1"/>
  <c r="F1977" i="2"/>
  <c r="G1977" i="2" s="1"/>
  <c r="F1978" i="2"/>
  <c r="G1978" i="2" s="1"/>
  <c r="F1979" i="2"/>
  <c r="G1979" i="2" s="1"/>
  <c r="F1980" i="2"/>
  <c r="G1980" i="2" s="1"/>
  <c r="F1981" i="2"/>
  <c r="G1981" i="2" s="1"/>
  <c r="F1958" i="2"/>
  <c r="G1958" i="2" s="1"/>
  <c r="F1959" i="2"/>
  <c r="G1959" i="2" s="1"/>
  <c r="F1960" i="2"/>
  <c r="G1960" i="2" s="1"/>
  <c r="F1961" i="2"/>
  <c r="G1961" i="2" s="1"/>
  <c r="F1962" i="2"/>
  <c r="G1962" i="2" s="1"/>
  <c r="F1963" i="2"/>
  <c r="G1963" i="2" s="1"/>
  <c r="F1964" i="2"/>
  <c r="G1964" i="2" s="1"/>
  <c r="F1965" i="2"/>
  <c r="G1965" i="2" s="1"/>
  <c r="F1966" i="2"/>
  <c r="G1966" i="2" s="1"/>
  <c r="F1967" i="2"/>
  <c r="G1967" i="2" s="1"/>
  <c r="F1968" i="2"/>
  <c r="G1968" i="2" s="1"/>
  <c r="F1969" i="2"/>
  <c r="G1969" i="2" s="1"/>
  <c r="F1957" i="2"/>
  <c r="G1957" i="2" s="1"/>
  <c r="F1946" i="2"/>
  <c r="G1946" i="2" s="1"/>
  <c r="F1947" i="2"/>
  <c r="G1947" i="2" s="1"/>
  <c r="F1948" i="2"/>
  <c r="G1948" i="2" s="1"/>
  <c r="F1949" i="2"/>
  <c r="G1949" i="2" s="1"/>
  <c r="F1950" i="2"/>
  <c r="G1950" i="2" s="1"/>
  <c r="F1951" i="2"/>
  <c r="G1951" i="2" s="1"/>
  <c r="F1952" i="2"/>
  <c r="G1952" i="2" s="1"/>
  <c r="F1953" i="2"/>
  <c r="G1953" i="2" s="1"/>
  <c r="F1954" i="2"/>
  <c r="G1954" i="2" s="1"/>
  <c r="F1955" i="2"/>
  <c r="G1955" i="2" s="1"/>
  <c r="F1956" i="2"/>
  <c r="G1956" i="2" s="1"/>
  <c r="F1934" i="2"/>
  <c r="G1934" i="2" s="1"/>
  <c r="F1935" i="2"/>
  <c r="G1935" i="2" s="1"/>
  <c r="F1936" i="2"/>
  <c r="G1936" i="2" s="1"/>
  <c r="F1937" i="2"/>
  <c r="G1937" i="2" s="1"/>
  <c r="F1938" i="2"/>
  <c r="G1938" i="2" s="1"/>
  <c r="F1939" i="2"/>
  <c r="G1939" i="2" s="1"/>
  <c r="F1940" i="2"/>
  <c r="G1940" i="2" s="1"/>
  <c r="F1941" i="2"/>
  <c r="G1941" i="2" s="1"/>
  <c r="F1942" i="2"/>
  <c r="G1942" i="2" s="1"/>
  <c r="F1943" i="2"/>
  <c r="G1943" i="2" s="1"/>
  <c r="F1944" i="2"/>
  <c r="G1944" i="2" s="1"/>
  <c r="F1945" i="2"/>
  <c r="G1945" i="2" s="1"/>
  <c r="F1922" i="2"/>
  <c r="G1922" i="2" s="1"/>
  <c r="F1923" i="2"/>
  <c r="G1923" i="2" s="1"/>
  <c r="F1924" i="2"/>
  <c r="G1924" i="2" s="1"/>
  <c r="F1925" i="2"/>
  <c r="G1925" i="2" s="1"/>
  <c r="F1926" i="2"/>
  <c r="G1926" i="2" s="1"/>
  <c r="F1927" i="2"/>
  <c r="G1927" i="2" s="1"/>
  <c r="F1928" i="2"/>
  <c r="G1928" i="2" s="1"/>
  <c r="F1929" i="2"/>
  <c r="G1929" i="2" s="1"/>
  <c r="F1930" i="2"/>
  <c r="G1930" i="2" s="1"/>
  <c r="F1931" i="2"/>
  <c r="G1931" i="2" s="1"/>
  <c r="F1932" i="2"/>
  <c r="G1932" i="2" s="1"/>
  <c r="F1933" i="2"/>
  <c r="G1933" i="2" s="1"/>
  <c r="F1910" i="2"/>
  <c r="G1910" i="2" s="1"/>
  <c r="F1911" i="2"/>
  <c r="G1911" i="2" s="1"/>
  <c r="F1912" i="2"/>
  <c r="G1912" i="2" s="1"/>
  <c r="F1913" i="2"/>
  <c r="G1913" i="2" s="1"/>
  <c r="F1914" i="2"/>
  <c r="G1914" i="2" s="1"/>
  <c r="F1915" i="2"/>
  <c r="G1915" i="2" s="1"/>
  <c r="F1916" i="2"/>
  <c r="G1916" i="2" s="1"/>
  <c r="F1917" i="2"/>
  <c r="G1917" i="2" s="1"/>
  <c r="F1918" i="2"/>
  <c r="G1918" i="2" s="1"/>
  <c r="F1919" i="2"/>
  <c r="G1919" i="2" s="1"/>
  <c r="F1920" i="2"/>
  <c r="G1920" i="2" s="1"/>
  <c r="F1921" i="2"/>
  <c r="G1921" i="2" s="1"/>
  <c r="F1898" i="2"/>
  <c r="G1898" i="2" s="1"/>
  <c r="F1899" i="2"/>
  <c r="G1899" i="2" s="1"/>
  <c r="F1900" i="2"/>
  <c r="G1900" i="2" s="1"/>
  <c r="F1901" i="2"/>
  <c r="G1901" i="2" s="1"/>
  <c r="F1902" i="2"/>
  <c r="G1902" i="2" s="1"/>
  <c r="F1903" i="2"/>
  <c r="G1903" i="2" s="1"/>
  <c r="F1904" i="2"/>
  <c r="G1904" i="2" s="1"/>
  <c r="F1905" i="2"/>
  <c r="G1905" i="2" s="1"/>
  <c r="F1906" i="2"/>
  <c r="G1906" i="2" s="1"/>
  <c r="F1907" i="2"/>
  <c r="G1907" i="2" s="1"/>
  <c r="F1908" i="2"/>
  <c r="G1908" i="2" s="1"/>
  <c r="F1909" i="2"/>
  <c r="G1909" i="2" s="1"/>
  <c r="F1886" i="2"/>
  <c r="G1886" i="2" s="1"/>
  <c r="F1887" i="2"/>
  <c r="G1887" i="2" s="1"/>
  <c r="F1888" i="2"/>
  <c r="G1888" i="2" s="1"/>
  <c r="F1889" i="2"/>
  <c r="G1889" i="2" s="1"/>
  <c r="F1890" i="2"/>
  <c r="G1890" i="2" s="1"/>
  <c r="F1891" i="2"/>
  <c r="G1891" i="2" s="1"/>
  <c r="F1892" i="2"/>
  <c r="G1892" i="2" s="1"/>
  <c r="F1893" i="2"/>
  <c r="G1893" i="2" s="1"/>
  <c r="F1894" i="2"/>
  <c r="G1894" i="2" s="1"/>
  <c r="F1895" i="2"/>
  <c r="G1895" i="2" s="1"/>
  <c r="F1896" i="2"/>
  <c r="G1896" i="2" s="1"/>
  <c r="F1897" i="2"/>
  <c r="G1897" i="2" s="1"/>
  <c r="F1874" i="2"/>
  <c r="G1874" i="2" s="1"/>
  <c r="F1875" i="2"/>
  <c r="G1875" i="2" s="1"/>
  <c r="F1876" i="2"/>
  <c r="G1876" i="2" s="1"/>
  <c r="F1877" i="2"/>
  <c r="G1877" i="2" s="1"/>
  <c r="F1878" i="2"/>
  <c r="G1878" i="2" s="1"/>
  <c r="F1879" i="2"/>
  <c r="G1879" i="2" s="1"/>
  <c r="F1880" i="2"/>
  <c r="G1880" i="2" s="1"/>
  <c r="F1881" i="2"/>
  <c r="G1881" i="2" s="1"/>
  <c r="F1882" i="2"/>
  <c r="G1882" i="2" s="1"/>
  <c r="F1883" i="2"/>
  <c r="G1883" i="2" s="1"/>
  <c r="F1884" i="2"/>
  <c r="G1884" i="2" s="1"/>
  <c r="F1885" i="2"/>
  <c r="G1885" i="2" s="1"/>
  <c r="F1862" i="2"/>
  <c r="G1862" i="2" s="1"/>
  <c r="F1863" i="2"/>
  <c r="G1863" i="2" s="1"/>
  <c r="F1864" i="2"/>
  <c r="G1864" i="2" s="1"/>
  <c r="F1865" i="2"/>
  <c r="G1865" i="2" s="1"/>
  <c r="F1866" i="2"/>
  <c r="G1866" i="2" s="1"/>
  <c r="F1867" i="2"/>
  <c r="G1867" i="2" s="1"/>
  <c r="F1868" i="2"/>
  <c r="G1868" i="2" s="1"/>
  <c r="F1869" i="2"/>
  <c r="G1869" i="2" s="1"/>
  <c r="F1870" i="2"/>
  <c r="G1870" i="2" s="1"/>
  <c r="F1871" i="2"/>
  <c r="G1871" i="2" s="1"/>
  <c r="F1872" i="2"/>
  <c r="G1872" i="2" s="1"/>
  <c r="F1873" i="2"/>
  <c r="G1873" i="2" s="1"/>
  <c r="F1851" i="2"/>
  <c r="G1851" i="2" s="1"/>
  <c r="F1852" i="2"/>
  <c r="G1852" i="2" s="1"/>
  <c r="F1853" i="2"/>
  <c r="G1853" i="2" s="1"/>
  <c r="F1854" i="2"/>
  <c r="G1854" i="2" s="1"/>
  <c r="F1855" i="2"/>
  <c r="G1855" i="2" s="1"/>
  <c r="F1856" i="2"/>
  <c r="G1856" i="2" s="1"/>
  <c r="F1857" i="2"/>
  <c r="G1857" i="2" s="1"/>
  <c r="F1858" i="2"/>
  <c r="G1858" i="2" s="1"/>
  <c r="F1859" i="2"/>
  <c r="G1859" i="2" s="1"/>
  <c r="F1860" i="2"/>
  <c r="G1860" i="2" s="1"/>
  <c r="F1861" i="2"/>
  <c r="G1861" i="2" s="1"/>
  <c r="F1838" i="2"/>
  <c r="G1838" i="2" s="1"/>
  <c r="F1839" i="2"/>
  <c r="G1839" i="2" s="1"/>
  <c r="F1840" i="2"/>
  <c r="G1840" i="2" s="1"/>
  <c r="F1841" i="2"/>
  <c r="G1841" i="2" s="1"/>
  <c r="F1842" i="2"/>
  <c r="G1842" i="2" s="1"/>
  <c r="F1843" i="2"/>
  <c r="G1843" i="2" s="1"/>
  <c r="F1844" i="2"/>
  <c r="G1844" i="2" s="1"/>
  <c r="F1845" i="2"/>
  <c r="G1845" i="2" s="1"/>
  <c r="F1846" i="2"/>
  <c r="G1846" i="2" s="1"/>
  <c r="F1847" i="2"/>
  <c r="G1847" i="2" s="1"/>
  <c r="F1848" i="2"/>
  <c r="G1848" i="2" s="1"/>
  <c r="F1849" i="2"/>
  <c r="G1849" i="2" s="1"/>
  <c r="F1850" i="2"/>
  <c r="G1850" i="2" s="1"/>
  <c r="F1826" i="2"/>
  <c r="G1826" i="2" s="1"/>
  <c r="F1827" i="2"/>
  <c r="G1827" i="2" s="1"/>
  <c r="F1828" i="2"/>
  <c r="G1828" i="2" s="1"/>
  <c r="F1829" i="2"/>
  <c r="G1829" i="2" s="1"/>
  <c r="F1830" i="2"/>
  <c r="G1830" i="2" s="1"/>
  <c r="F1831" i="2"/>
  <c r="G1831" i="2" s="1"/>
  <c r="F1832" i="2"/>
  <c r="G1832" i="2" s="1"/>
  <c r="F1833" i="2"/>
  <c r="G1833" i="2" s="1"/>
  <c r="F1834" i="2"/>
  <c r="G1834" i="2" s="1"/>
  <c r="F1835" i="2"/>
  <c r="G1835" i="2" s="1"/>
  <c r="F1836" i="2"/>
  <c r="G1836" i="2" s="1"/>
  <c r="F1837" i="2"/>
  <c r="G1837" i="2" s="1"/>
  <c r="F1814" i="2"/>
  <c r="G1814" i="2" s="1"/>
  <c r="F1815" i="2"/>
  <c r="G1815" i="2" s="1"/>
  <c r="F1816" i="2"/>
  <c r="G1816" i="2" s="1"/>
  <c r="F1817" i="2"/>
  <c r="G1817" i="2" s="1"/>
  <c r="F1818" i="2"/>
  <c r="G1818" i="2" s="1"/>
  <c r="F1819" i="2"/>
  <c r="G1819" i="2" s="1"/>
  <c r="F1820" i="2"/>
  <c r="G1820" i="2" s="1"/>
  <c r="F1821" i="2"/>
  <c r="G1821" i="2" s="1"/>
  <c r="F1822" i="2"/>
  <c r="G1822" i="2" s="1"/>
  <c r="F1823" i="2"/>
  <c r="G1823" i="2" s="1"/>
  <c r="F1824" i="2"/>
  <c r="G1824" i="2" s="1"/>
  <c r="F1825" i="2"/>
  <c r="G1825" i="2" s="1"/>
  <c r="F1802" i="2"/>
  <c r="G1802" i="2" s="1"/>
  <c r="F1803" i="2"/>
  <c r="G1803" i="2" s="1"/>
  <c r="F1804" i="2"/>
  <c r="G1804" i="2" s="1"/>
  <c r="F1805" i="2"/>
  <c r="G1805" i="2" s="1"/>
  <c r="F1806" i="2"/>
  <c r="G1806" i="2" s="1"/>
  <c r="F1807" i="2"/>
  <c r="G1807" i="2" s="1"/>
  <c r="F1808" i="2"/>
  <c r="G1808" i="2" s="1"/>
  <c r="F1809" i="2"/>
  <c r="G1809" i="2" s="1"/>
  <c r="F1810" i="2"/>
  <c r="G1810" i="2" s="1"/>
  <c r="F1811" i="2"/>
  <c r="G1811" i="2" s="1"/>
  <c r="F1812" i="2"/>
  <c r="G1812" i="2" s="1"/>
  <c r="F1813" i="2"/>
  <c r="G1813" i="2" s="1"/>
  <c r="F1790" i="2"/>
  <c r="G1790" i="2" s="1"/>
  <c r="F1791" i="2"/>
  <c r="G1791" i="2" s="1"/>
  <c r="F1792" i="2"/>
  <c r="G1792" i="2" s="1"/>
  <c r="F1793" i="2"/>
  <c r="G1793" i="2" s="1"/>
  <c r="F1794" i="2"/>
  <c r="G1794" i="2" s="1"/>
  <c r="F1795" i="2"/>
  <c r="G1795" i="2" s="1"/>
  <c r="F1796" i="2"/>
  <c r="G1796" i="2" s="1"/>
  <c r="F1797" i="2"/>
  <c r="G1797" i="2" s="1"/>
  <c r="F1798" i="2"/>
  <c r="G1798" i="2" s="1"/>
  <c r="F1799" i="2"/>
  <c r="G1799" i="2" s="1"/>
  <c r="F1800" i="2"/>
  <c r="G1800" i="2" s="1"/>
  <c r="F1801" i="2"/>
  <c r="G1801" i="2" s="1"/>
  <c r="F1789" i="2"/>
  <c r="G1789" i="2" s="1"/>
  <c r="F1778" i="2"/>
  <c r="G1778" i="2" s="1"/>
  <c r="F1779" i="2"/>
  <c r="G1779" i="2" s="1"/>
  <c r="F1780" i="2"/>
  <c r="G1780" i="2" s="1"/>
  <c r="F1781" i="2"/>
  <c r="G1781" i="2" s="1"/>
  <c r="F1782" i="2"/>
  <c r="G1782" i="2" s="1"/>
  <c r="F1783" i="2"/>
  <c r="G1783" i="2" s="1"/>
  <c r="F1784" i="2"/>
  <c r="G1784" i="2" s="1"/>
  <c r="F1785" i="2"/>
  <c r="G1785" i="2" s="1"/>
  <c r="F1786" i="2"/>
  <c r="G1786" i="2" s="1"/>
  <c r="F1787" i="2"/>
  <c r="G1787" i="2" s="1"/>
  <c r="F1788" i="2"/>
  <c r="G1788" i="2" s="1"/>
  <c r="F1766" i="2"/>
  <c r="G1766" i="2" s="1"/>
  <c r="F1767" i="2"/>
  <c r="G1767" i="2" s="1"/>
  <c r="F1768" i="2"/>
  <c r="G1768" i="2" s="1"/>
  <c r="F1769" i="2"/>
  <c r="G1769" i="2" s="1"/>
  <c r="F1770" i="2"/>
  <c r="G1770" i="2" s="1"/>
  <c r="F1771" i="2"/>
  <c r="G1771" i="2" s="1"/>
  <c r="F1772" i="2"/>
  <c r="G1772" i="2" s="1"/>
  <c r="F1773" i="2"/>
  <c r="G1773" i="2" s="1"/>
  <c r="F1774" i="2"/>
  <c r="G1774" i="2" s="1"/>
  <c r="F1775" i="2"/>
  <c r="G1775" i="2" s="1"/>
  <c r="F1776" i="2"/>
  <c r="G1776" i="2" s="1"/>
  <c r="F1777" i="2"/>
  <c r="G1777" i="2" s="1"/>
  <c r="F1754" i="2"/>
  <c r="G1754" i="2" s="1"/>
  <c r="F1755" i="2"/>
  <c r="G1755" i="2" s="1"/>
  <c r="F1756" i="2"/>
  <c r="G1756" i="2" s="1"/>
  <c r="F1757" i="2"/>
  <c r="G1757" i="2" s="1"/>
  <c r="F1758" i="2"/>
  <c r="G1758" i="2" s="1"/>
  <c r="F1759" i="2"/>
  <c r="G1759" i="2" s="1"/>
  <c r="F1760" i="2"/>
  <c r="G1760" i="2" s="1"/>
  <c r="F1761" i="2"/>
  <c r="G1761" i="2" s="1"/>
  <c r="F1762" i="2"/>
  <c r="G1762" i="2" s="1"/>
  <c r="F1763" i="2"/>
  <c r="G1763" i="2" s="1"/>
  <c r="F1764" i="2"/>
  <c r="G1764" i="2" s="1"/>
  <c r="F1765" i="2"/>
  <c r="G1765" i="2" s="1"/>
  <c r="F1742" i="2"/>
  <c r="G1742" i="2" s="1"/>
  <c r="F1743" i="2"/>
  <c r="G1743" i="2" s="1"/>
  <c r="F1744" i="2"/>
  <c r="G1744" i="2" s="1"/>
  <c r="F1745" i="2"/>
  <c r="G1745" i="2" s="1"/>
  <c r="F1746" i="2"/>
  <c r="G1746" i="2" s="1"/>
  <c r="F1747" i="2"/>
  <c r="G1747" i="2" s="1"/>
  <c r="F1748" i="2"/>
  <c r="G1748" i="2" s="1"/>
  <c r="F1749" i="2"/>
  <c r="G1749" i="2" s="1"/>
  <c r="F1750" i="2"/>
  <c r="G1750" i="2" s="1"/>
  <c r="F1751" i="2"/>
  <c r="G1751" i="2" s="1"/>
  <c r="F1752" i="2"/>
  <c r="G1752" i="2" s="1"/>
  <c r="F1753" i="2"/>
  <c r="G1753" i="2" s="1"/>
  <c r="F1730" i="2"/>
  <c r="G1730" i="2" s="1"/>
  <c r="F1731" i="2"/>
  <c r="G1731" i="2" s="1"/>
  <c r="F1732" i="2"/>
  <c r="G1732" i="2" s="1"/>
  <c r="F1733" i="2"/>
  <c r="G1733" i="2" s="1"/>
  <c r="F1734" i="2"/>
  <c r="G1734" i="2" s="1"/>
  <c r="F1735" i="2"/>
  <c r="G1735" i="2" s="1"/>
  <c r="F1736" i="2"/>
  <c r="G1736" i="2" s="1"/>
  <c r="F1737" i="2"/>
  <c r="G1737" i="2" s="1"/>
  <c r="F1738" i="2"/>
  <c r="G1738" i="2" s="1"/>
  <c r="F1739" i="2"/>
  <c r="G1739" i="2" s="1"/>
  <c r="F1740" i="2"/>
  <c r="G1740" i="2" s="1"/>
  <c r="F1741" i="2"/>
  <c r="G1741" i="2" s="1"/>
  <c r="F1718" i="2"/>
  <c r="G1718" i="2" s="1"/>
  <c r="F1719" i="2"/>
  <c r="G1719" i="2" s="1"/>
  <c r="F1720" i="2"/>
  <c r="G1720" i="2" s="1"/>
  <c r="F1721" i="2"/>
  <c r="G1721" i="2" s="1"/>
  <c r="F1722" i="2"/>
  <c r="G1722" i="2" s="1"/>
  <c r="F1723" i="2"/>
  <c r="G1723" i="2" s="1"/>
  <c r="F1724" i="2"/>
  <c r="G1724" i="2" s="1"/>
  <c r="F1725" i="2"/>
  <c r="G1725" i="2" s="1"/>
  <c r="F1726" i="2"/>
  <c r="G1726" i="2" s="1"/>
  <c r="F1727" i="2"/>
  <c r="G1727" i="2" s="1"/>
  <c r="F1728" i="2"/>
  <c r="G1728" i="2" s="1"/>
  <c r="F1729" i="2"/>
  <c r="G1729" i="2" s="1"/>
  <c r="F1706" i="2"/>
  <c r="G1706" i="2" s="1"/>
  <c r="F1707" i="2"/>
  <c r="G1707" i="2" s="1"/>
  <c r="F1708" i="2"/>
  <c r="G1708" i="2" s="1"/>
  <c r="F1709" i="2"/>
  <c r="G1709" i="2" s="1"/>
  <c r="F1710" i="2"/>
  <c r="G1710" i="2" s="1"/>
  <c r="F1711" i="2"/>
  <c r="G1711" i="2" s="1"/>
  <c r="F1712" i="2"/>
  <c r="G1712" i="2" s="1"/>
  <c r="F1713" i="2"/>
  <c r="G1713" i="2" s="1"/>
  <c r="F1714" i="2"/>
  <c r="G1714" i="2" s="1"/>
  <c r="F1715" i="2"/>
  <c r="G1715" i="2" s="1"/>
  <c r="F1716" i="2"/>
  <c r="G1716" i="2" s="1"/>
  <c r="F1717" i="2"/>
  <c r="G1717" i="2" s="1"/>
  <c r="F1694" i="2"/>
  <c r="G1694" i="2" s="1"/>
  <c r="F1695" i="2"/>
  <c r="G1695" i="2" s="1"/>
  <c r="F1696" i="2"/>
  <c r="G1696" i="2" s="1"/>
  <c r="F1697" i="2"/>
  <c r="G1697" i="2" s="1"/>
  <c r="F1698" i="2"/>
  <c r="G1698" i="2" s="1"/>
  <c r="F1699" i="2"/>
  <c r="G1699" i="2" s="1"/>
  <c r="F1700" i="2"/>
  <c r="G1700" i="2" s="1"/>
  <c r="F1701" i="2"/>
  <c r="G1701" i="2" s="1"/>
  <c r="F1702" i="2"/>
  <c r="G1702" i="2" s="1"/>
  <c r="F1703" i="2"/>
  <c r="G1703" i="2" s="1"/>
  <c r="F1704" i="2"/>
  <c r="G1704" i="2" s="1"/>
  <c r="F1705" i="2"/>
  <c r="G1705" i="2" s="1"/>
  <c r="F1682" i="2"/>
  <c r="G1682" i="2" s="1"/>
  <c r="F1683" i="2"/>
  <c r="G1683" i="2" s="1"/>
  <c r="F1684" i="2"/>
  <c r="G1684" i="2" s="1"/>
  <c r="F1685" i="2"/>
  <c r="G1685" i="2" s="1"/>
  <c r="F1686" i="2"/>
  <c r="G1686" i="2" s="1"/>
  <c r="F1687" i="2"/>
  <c r="G1687" i="2" s="1"/>
  <c r="F1688" i="2"/>
  <c r="G1688" i="2" s="1"/>
  <c r="F1689" i="2"/>
  <c r="G1689" i="2" s="1"/>
  <c r="F1690" i="2"/>
  <c r="G1690" i="2" s="1"/>
  <c r="F1691" i="2"/>
  <c r="G1691" i="2" s="1"/>
  <c r="F1692" i="2"/>
  <c r="G1692" i="2" s="1"/>
  <c r="F1693" i="2"/>
  <c r="G1693" i="2" s="1"/>
  <c r="F1681" i="2"/>
  <c r="G1681" i="2" s="1"/>
  <c r="F1670" i="2"/>
  <c r="G1670" i="2" s="1"/>
  <c r="F1671" i="2"/>
  <c r="G1671" i="2" s="1"/>
  <c r="F1672" i="2"/>
  <c r="G1672" i="2" s="1"/>
  <c r="F1673" i="2"/>
  <c r="G1673" i="2" s="1"/>
  <c r="F1674" i="2"/>
  <c r="G1674" i="2" s="1"/>
  <c r="F1675" i="2"/>
  <c r="G1675" i="2" s="1"/>
  <c r="F1676" i="2"/>
  <c r="G1676" i="2" s="1"/>
  <c r="F1677" i="2"/>
  <c r="G1677" i="2" s="1"/>
  <c r="F1678" i="2"/>
  <c r="G1678" i="2" s="1"/>
  <c r="F1679" i="2"/>
  <c r="G1679" i="2" s="1"/>
  <c r="F1680" i="2"/>
  <c r="G1680" i="2" s="1"/>
  <c r="F1669" i="2"/>
  <c r="G1669" i="2" s="1"/>
  <c r="F1658" i="2"/>
  <c r="G1658" i="2" s="1"/>
  <c r="F1659" i="2"/>
  <c r="G1659" i="2" s="1"/>
  <c r="F1660" i="2"/>
  <c r="G1660" i="2" s="1"/>
  <c r="F1661" i="2"/>
  <c r="G1661" i="2" s="1"/>
  <c r="F1662" i="2"/>
  <c r="G1662" i="2" s="1"/>
  <c r="F1663" i="2"/>
  <c r="G1663" i="2" s="1"/>
  <c r="F1664" i="2"/>
  <c r="G1664" i="2" s="1"/>
  <c r="F1665" i="2"/>
  <c r="G1665" i="2" s="1"/>
  <c r="F1666" i="2"/>
  <c r="G1666" i="2" s="1"/>
  <c r="F1667" i="2"/>
  <c r="G1667" i="2" s="1"/>
  <c r="F1668" i="2"/>
  <c r="G1668" i="2" s="1"/>
  <c r="F1646" i="2"/>
  <c r="G1646" i="2" s="1"/>
  <c r="F1647" i="2"/>
  <c r="G1647" i="2" s="1"/>
  <c r="F1648" i="2"/>
  <c r="G1648" i="2" s="1"/>
  <c r="F1649" i="2"/>
  <c r="G1649" i="2" s="1"/>
  <c r="F1650" i="2"/>
  <c r="G1650" i="2" s="1"/>
  <c r="F1651" i="2"/>
  <c r="G1651" i="2" s="1"/>
  <c r="F1652" i="2"/>
  <c r="G1652" i="2" s="1"/>
  <c r="F1653" i="2"/>
  <c r="G1653" i="2" s="1"/>
  <c r="F1654" i="2"/>
  <c r="G1654" i="2" s="1"/>
  <c r="F1655" i="2"/>
  <c r="G1655" i="2" s="1"/>
  <c r="F1656" i="2"/>
  <c r="G1656" i="2" s="1"/>
  <c r="F1657" i="2"/>
  <c r="G1657" i="2" s="1"/>
  <c r="F1634" i="2"/>
  <c r="G1634" i="2" s="1"/>
  <c r="F1635" i="2"/>
  <c r="G1635" i="2" s="1"/>
  <c r="F1636" i="2"/>
  <c r="G1636" i="2" s="1"/>
  <c r="F1637" i="2"/>
  <c r="G1637" i="2" s="1"/>
  <c r="F1638" i="2"/>
  <c r="G1638" i="2" s="1"/>
  <c r="F1639" i="2"/>
  <c r="G1639" i="2" s="1"/>
  <c r="F1640" i="2"/>
  <c r="G1640" i="2" s="1"/>
  <c r="F1641" i="2"/>
  <c r="G1641" i="2" s="1"/>
  <c r="F1642" i="2"/>
  <c r="G1642" i="2" s="1"/>
  <c r="F1643" i="2"/>
  <c r="G1643" i="2" s="1"/>
  <c r="F1644" i="2"/>
  <c r="G1644" i="2" s="1"/>
  <c r="F1645" i="2"/>
  <c r="G1645" i="2" s="1"/>
  <c r="F1622" i="2"/>
  <c r="G1622" i="2" s="1"/>
  <c r="F1623" i="2"/>
  <c r="G1623" i="2" s="1"/>
  <c r="F1624" i="2"/>
  <c r="G1624" i="2" s="1"/>
  <c r="F1625" i="2"/>
  <c r="G1625" i="2" s="1"/>
  <c r="F1626" i="2"/>
  <c r="G1626" i="2" s="1"/>
  <c r="F1627" i="2"/>
  <c r="G1627" i="2" s="1"/>
  <c r="F1628" i="2"/>
  <c r="G1628" i="2" s="1"/>
  <c r="F1629" i="2"/>
  <c r="G1629" i="2" s="1"/>
  <c r="F1630" i="2"/>
  <c r="G1630" i="2" s="1"/>
  <c r="F1631" i="2"/>
  <c r="G1631" i="2" s="1"/>
  <c r="F1632" i="2"/>
  <c r="G1632" i="2" s="1"/>
  <c r="F1633" i="2"/>
  <c r="G1633" i="2" s="1"/>
  <c r="F1621" i="2"/>
  <c r="G1621" i="2" s="1"/>
  <c r="F1610" i="2"/>
  <c r="G1610" i="2" s="1"/>
  <c r="F1611" i="2"/>
  <c r="G1611" i="2" s="1"/>
  <c r="F1612" i="2"/>
  <c r="G1612" i="2" s="1"/>
  <c r="F1613" i="2"/>
  <c r="G1613" i="2" s="1"/>
  <c r="F1614" i="2"/>
  <c r="G1614" i="2" s="1"/>
  <c r="F1615" i="2"/>
  <c r="G1615" i="2" s="1"/>
  <c r="F1616" i="2"/>
  <c r="G1616" i="2" s="1"/>
  <c r="F1617" i="2"/>
  <c r="G1617" i="2" s="1"/>
  <c r="F1618" i="2"/>
  <c r="G1618" i="2" s="1"/>
  <c r="F1619" i="2"/>
  <c r="G1619" i="2" s="1"/>
  <c r="F1620" i="2"/>
  <c r="G1620" i="2" s="1"/>
  <c r="F1598" i="2"/>
  <c r="G1598" i="2" s="1"/>
  <c r="F1599" i="2"/>
  <c r="G1599" i="2" s="1"/>
  <c r="F1600" i="2"/>
  <c r="G1600" i="2" s="1"/>
  <c r="F1601" i="2"/>
  <c r="G1601" i="2" s="1"/>
  <c r="F1602" i="2"/>
  <c r="G1602" i="2" s="1"/>
  <c r="F1603" i="2"/>
  <c r="G1603" i="2" s="1"/>
  <c r="F1604" i="2"/>
  <c r="G1604" i="2" s="1"/>
  <c r="F1605" i="2"/>
  <c r="G1605" i="2" s="1"/>
  <c r="F1606" i="2"/>
  <c r="G1606" i="2" s="1"/>
  <c r="F1607" i="2"/>
  <c r="G1607" i="2" s="1"/>
  <c r="F1608" i="2"/>
  <c r="G1608" i="2" s="1"/>
  <c r="F1609" i="2"/>
  <c r="G1609" i="2" s="1"/>
  <c r="F1586" i="2"/>
  <c r="G1586" i="2" s="1"/>
  <c r="F1587" i="2"/>
  <c r="G1587" i="2" s="1"/>
  <c r="F1588" i="2"/>
  <c r="G1588" i="2" s="1"/>
  <c r="F1589" i="2"/>
  <c r="G1589" i="2" s="1"/>
  <c r="F1590" i="2"/>
  <c r="G1590" i="2" s="1"/>
  <c r="F1591" i="2"/>
  <c r="G1591" i="2" s="1"/>
  <c r="F1592" i="2"/>
  <c r="G1592" i="2" s="1"/>
  <c r="F1593" i="2"/>
  <c r="G1593" i="2" s="1"/>
  <c r="F1594" i="2"/>
  <c r="G1594" i="2" s="1"/>
  <c r="F1595" i="2"/>
  <c r="G1595" i="2" s="1"/>
  <c r="F1596" i="2"/>
  <c r="G1596" i="2" s="1"/>
  <c r="F1597" i="2"/>
  <c r="G1597" i="2" s="1"/>
  <c r="F1574" i="2"/>
  <c r="G1574" i="2" s="1"/>
  <c r="F1575" i="2"/>
  <c r="G1575" i="2" s="1"/>
  <c r="F1576" i="2"/>
  <c r="G1576" i="2" s="1"/>
  <c r="F1577" i="2"/>
  <c r="G1577" i="2" s="1"/>
  <c r="F1578" i="2"/>
  <c r="G1578" i="2" s="1"/>
  <c r="F1579" i="2"/>
  <c r="G1579" i="2" s="1"/>
  <c r="F1580" i="2"/>
  <c r="G1580" i="2" s="1"/>
  <c r="F1581" i="2"/>
  <c r="G1581" i="2" s="1"/>
  <c r="F1582" i="2"/>
  <c r="G1582" i="2" s="1"/>
  <c r="F1583" i="2"/>
  <c r="G1583" i="2" s="1"/>
  <c r="F1584" i="2"/>
  <c r="G1584" i="2" s="1"/>
  <c r="F1585" i="2"/>
  <c r="G1585" i="2" s="1"/>
  <c r="F1562" i="2"/>
  <c r="G1562" i="2" s="1"/>
  <c r="F1563" i="2"/>
  <c r="G1563" i="2" s="1"/>
  <c r="F1564" i="2"/>
  <c r="G1564" i="2" s="1"/>
  <c r="F1565" i="2"/>
  <c r="G1565" i="2" s="1"/>
  <c r="F1566" i="2"/>
  <c r="G1566" i="2" s="1"/>
  <c r="F1567" i="2"/>
  <c r="G1567" i="2" s="1"/>
  <c r="F1568" i="2"/>
  <c r="G1568" i="2" s="1"/>
  <c r="F1569" i="2"/>
  <c r="G1569" i="2" s="1"/>
  <c r="F1570" i="2"/>
  <c r="G1570" i="2" s="1"/>
  <c r="F1571" i="2"/>
  <c r="G1571" i="2" s="1"/>
  <c r="F1572" i="2"/>
  <c r="G1572" i="2" s="1"/>
  <c r="F1573" i="2"/>
  <c r="G1573" i="2" s="1"/>
  <c r="F1550" i="2"/>
  <c r="G1550" i="2" s="1"/>
  <c r="F1551" i="2"/>
  <c r="G1551" i="2" s="1"/>
  <c r="F1552" i="2"/>
  <c r="G1552" i="2" s="1"/>
  <c r="F1553" i="2"/>
  <c r="G1553" i="2" s="1"/>
  <c r="F1554" i="2"/>
  <c r="G1554" i="2" s="1"/>
  <c r="F1555" i="2"/>
  <c r="G1555" i="2" s="1"/>
  <c r="F1556" i="2"/>
  <c r="G1556" i="2" s="1"/>
  <c r="F1557" i="2"/>
  <c r="G1557" i="2" s="1"/>
  <c r="F1558" i="2"/>
  <c r="G1558" i="2" s="1"/>
  <c r="F1559" i="2"/>
  <c r="G1559" i="2" s="1"/>
  <c r="F1560" i="2"/>
  <c r="G1560" i="2" s="1"/>
  <c r="F1561" i="2"/>
  <c r="G1561" i="2" s="1"/>
  <c r="F1549" i="2"/>
  <c r="G1549" i="2" s="1"/>
  <c r="F1538" i="2"/>
  <c r="G1538" i="2" s="1"/>
  <c r="F1539" i="2"/>
  <c r="G1539" i="2" s="1"/>
  <c r="F1540" i="2"/>
  <c r="G1540" i="2" s="1"/>
  <c r="F1541" i="2"/>
  <c r="G1541" i="2" s="1"/>
  <c r="F1542" i="2"/>
  <c r="G1542" i="2" s="1"/>
  <c r="F1543" i="2"/>
  <c r="G1543" i="2" s="1"/>
  <c r="F1544" i="2"/>
  <c r="G1544" i="2" s="1"/>
  <c r="F1545" i="2"/>
  <c r="G1545" i="2" s="1"/>
  <c r="F1546" i="2"/>
  <c r="G1546" i="2" s="1"/>
  <c r="F1547" i="2"/>
  <c r="G1547" i="2" s="1"/>
  <c r="F1548" i="2"/>
  <c r="G1548" i="2" s="1"/>
  <c r="F1526" i="2"/>
  <c r="G1526" i="2" s="1"/>
  <c r="F1527" i="2"/>
  <c r="G1527" i="2" s="1"/>
  <c r="F1528" i="2"/>
  <c r="G1528" i="2" s="1"/>
  <c r="F1529" i="2"/>
  <c r="G1529" i="2" s="1"/>
  <c r="F1530" i="2"/>
  <c r="G1530" i="2" s="1"/>
  <c r="F1531" i="2"/>
  <c r="G1531" i="2" s="1"/>
  <c r="F1532" i="2"/>
  <c r="G1532" i="2" s="1"/>
  <c r="F1533" i="2"/>
  <c r="G1533" i="2" s="1"/>
  <c r="F1534" i="2"/>
  <c r="G1534" i="2" s="1"/>
  <c r="F1535" i="2"/>
  <c r="G1535" i="2" s="1"/>
  <c r="F1536" i="2"/>
  <c r="G1536" i="2" s="1"/>
  <c r="F1537" i="2"/>
  <c r="G1537" i="2" s="1"/>
  <c r="F1514" i="2"/>
  <c r="G1514" i="2" s="1"/>
  <c r="F1515" i="2"/>
  <c r="G1515" i="2" s="1"/>
  <c r="F1516" i="2"/>
  <c r="G1516" i="2" s="1"/>
  <c r="F1517" i="2"/>
  <c r="G1517" i="2" s="1"/>
  <c r="F1518" i="2"/>
  <c r="G1518" i="2" s="1"/>
  <c r="F1519" i="2"/>
  <c r="G1519" i="2" s="1"/>
  <c r="F1520" i="2"/>
  <c r="G1520" i="2" s="1"/>
  <c r="F1521" i="2"/>
  <c r="G1521" i="2" s="1"/>
  <c r="F1522" i="2"/>
  <c r="G1522" i="2" s="1"/>
  <c r="F1523" i="2"/>
  <c r="G1523" i="2" s="1"/>
  <c r="F1524" i="2"/>
  <c r="G1524" i="2" s="1"/>
  <c r="F1525" i="2"/>
  <c r="G1525" i="2" s="1"/>
  <c r="F1502" i="2"/>
  <c r="G1502" i="2" s="1"/>
  <c r="F1503" i="2"/>
  <c r="G1503" i="2" s="1"/>
  <c r="F1504" i="2"/>
  <c r="G1504" i="2" s="1"/>
  <c r="F1505" i="2"/>
  <c r="G1505" i="2" s="1"/>
  <c r="F1506" i="2"/>
  <c r="G1506" i="2" s="1"/>
  <c r="F1507" i="2"/>
  <c r="G1507" i="2" s="1"/>
  <c r="F1508" i="2"/>
  <c r="G1508" i="2" s="1"/>
  <c r="F1509" i="2"/>
  <c r="G1509" i="2" s="1"/>
  <c r="F1510" i="2"/>
  <c r="G1510" i="2" s="1"/>
  <c r="F1511" i="2"/>
  <c r="G1511" i="2" s="1"/>
  <c r="F1512" i="2"/>
  <c r="G1512" i="2" s="1"/>
  <c r="F1513" i="2"/>
  <c r="G1513" i="2" s="1"/>
  <c r="F1490" i="2"/>
  <c r="G1490" i="2" s="1"/>
  <c r="F1491" i="2"/>
  <c r="G1491" i="2" s="1"/>
  <c r="F1492" i="2"/>
  <c r="G1492" i="2" s="1"/>
  <c r="F1493" i="2"/>
  <c r="G1493" i="2" s="1"/>
  <c r="F1494" i="2"/>
  <c r="G1494" i="2" s="1"/>
  <c r="F1495" i="2"/>
  <c r="G1495" i="2" s="1"/>
  <c r="F1496" i="2"/>
  <c r="G1496" i="2" s="1"/>
  <c r="F1497" i="2"/>
  <c r="G1497" i="2" s="1"/>
  <c r="F1498" i="2"/>
  <c r="G1498" i="2" s="1"/>
  <c r="F1499" i="2"/>
  <c r="G1499" i="2" s="1"/>
  <c r="F1500" i="2"/>
  <c r="G1500" i="2" s="1"/>
  <c r="F1501" i="2"/>
  <c r="G1501" i="2" s="1"/>
  <c r="F1478" i="2"/>
  <c r="G1478" i="2" s="1"/>
  <c r="F1479" i="2"/>
  <c r="G1479" i="2" s="1"/>
  <c r="F1480" i="2"/>
  <c r="G1480" i="2" s="1"/>
  <c r="F1481" i="2"/>
  <c r="G1481" i="2" s="1"/>
  <c r="F1482" i="2"/>
  <c r="G1482" i="2" s="1"/>
  <c r="F1483" i="2"/>
  <c r="G1483" i="2" s="1"/>
  <c r="F1484" i="2"/>
  <c r="G1484" i="2" s="1"/>
  <c r="F1485" i="2"/>
  <c r="G1485" i="2" s="1"/>
  <c r="F1486" i="2"/>
  <c r="G1486" i="2" s="1"/>
  <c r="F1487" i="2"/>
  <c r="G1487" i="2" s="1"/>
  <c r="F1488" i="2"/>
  <c r="G1488" i="2" s="1"/>
  <c r="F1489" i="2"/>
  <c r="G1489" i="2" s="1"/>
  <c r="F1466" i="2"/>
  <c r="G1466" i="2" s="1"/>
  <c r="F1467" i="2"/>
  <c r="G1467" i="2" s="1"/>
  <c r="F1468" i="2"/>
  <c r="G1468" i="2" s="1"/>
  <c r="F1469" i="2"/>
  <c r="G1469" i="2" s="1"/>
  <c r="F1470" i="2"/>
  <c r="G1470" i="2" s="1"/>
  <c r="F1471" i="2"/>
  <c r="G1471" i="2" s="1"/>
  <c r="F1472" i="2"/>
  <c r="G1472" i="2" s="1"/>
  <c r="F1473" i="2"/>
  <c r="G1473" i="2" s="1"/>
  <c r="F1474" i="2"/>
  <c r="G1474" i="2" s="1"/>
  <c r="F1475" i="2"/>
  <c r="G1475" i="2" s="1"/>
  <c r="F1476" i="2"/>
  <c r="G1476" i="2" s="1"/>
  <c r="F1477" i="2"/>
  <c r="G1477" i="2" s="1"/>
  <c r="F1454" i="2"/>
  <c r="G1454" i="2" s="1"/>
  <c r="F1455" i="2"/>
  <c r="G1455" i="2" s="1"/>
  <c r="F1456" i="2"/>
  <c r="G1456" i="2" s="1"/>
  <c r="F1457" i="2"/>
  <c r="G1457" i="2" s="1"/>
  <c r="F1458" i="2"/>
  <c r="G1458" i="2" s="1"/>
  <c r="F1459" i="2"/>
  <c r="G1459" i="2" s="1"/>
  <c r="F1460" i="2"/>
  <c r="G1460" i="2" s="1"/>
  <c r="F1461" i="2"/>
  <c r="G1461" i="2" s="1"/>
  <c r="F1462" i="2"/>
  <c r="G1462" i="2" s="1"/>
  <c r="F1463" i="2"/>
  <c r="G1463" i="2" s="1"/>
  <c r="F1464" i="2"/>
  <c r="G1464" i="2" s="1"/>
  <c r="F1465" i="2"/>
  <c r="G1465" i="2" s="1"/>
  <c r="F1442" i="2"/>
  <c r="G1442" i="2" s="1"/>
  <c r="F1443" i="2"/>
  <c r="G1443" i="2" s="1"/>
  <c r="F1444" i="2"/>
  <c r="G1444" i="2" s="1"/>
  <c r="F1445" i="2"/>
  <c r="G1445" i="2" s="1"/>
  <c r="F1446" i="2"/>
  <c r="G1446" i="2" s="1"/>
  <c r="F1447" i="2"/>
  <c r="G1447" i="2" s="1"/>
  <c r="F1448" i="2"/>
  <c r="G1448" i="2" s="1"/>
  <c r="F1449" i="2"/>
  <c r="G1449" i="2" s="1"/>
  <c r="F1450" i="2"/>
  <c r="G1450" i="2" s="1"/>
  <c r="F1451" i="2"/>
  <c r="G1451" i="2" s="1"/>
  <c r="F1452" i="2"/>
  <c r="G1452" i="2" s="1"/>
  <c r="F1453" i="2"/>
  <c r="G1453" i="2" s="1"/>
  <c r="F1430" i="2"/>
  <c r="G1430" i="2" s="1"/>
  <c r="F1431" i="2"/>
  <c r="G1431" i="2" s="1"/>
  <c r="F1432" i="2"/>
  <c r="G1432" i="2" s="1"/>
  <c r="F1433" i="2"/>
  <c r="G1433" i="2" s="1"/>
  <c r="F1434" i="2"/>
  <c r="G1434" i="2" s="1"/>
  <c r="F1435" i="2"/>
  <c r="G1435" i="2" s="1"/>
  <c r="F1436" i="2"/>
  <c r="G1436" i="2" s="1"/>
  <c r="F1437" i="2"/>
  <c r="G1437" i="2" s="1"/>
  <c r="F1438" i="2"/>
  <c r="G1438" i="2" s="1"/>
  <c r="F1439" i="2"/>
  <c r="G1439" i="2" s="1"/>
  <c r="F1440" i="2"/>
  <c r="G1440" i="2" s="1"/>
  <c r="F1441" i="2"/>
  <c r="G1441" i="2" s="1"/>
  <c r="F1418" i="2"/>
  <c r="G1418" i="2" s="1"/>
  <c r="F1419" i="2"/>
  <c r="G1419" i="2" s="1"/>
  <c r="F1420" i="2"/>
  <c r="G1420" i="2" s="1"/>
  <c r="F1421" i="2"/>
  <c r="G1421" i="2" s="1"/>
  <c r="F1422" i="2"/>
  <c r="G1422" i="2" s="1"/>
  <c r="F1423" i="2"/>
  <c r="G1423" i="2" s="1"/>
  <c r="F1424" i="2"/>
  <c r="G1424" i="2" s="1"/>
  <c r="F1425" i="2"/>
  <c r="G1425" i="2" s="1"/>
  <c r="F1426" i="2"/>
  <c r="G1426" i="2" s="1"/>
  <c r="F1427" i="2"/>
  <c r="G1427" i="2" s="1"/>
  <c r="F1428" i="2"/>
  <c r="G1428" i="2" s="1"/>
  <c r="F1429" i="2"/>
  <c r="G1429" i="2" s="1"/>
  <c r="F1406" i="2"/>
  <c r="G1406" i="2" s="1"/>
  <c r="F1407" i="2"/>
  <c r="G1407" i="2" s="1"/>
  <c r="F1408" i="2"/>
  <c r="G1408" i="2" s="1"/>
  <c r="F1409" i="2"/>
  <c r="G1409" i="2" s="1"/>
  <c r="F1410" i="2"/>
  <c r="G1410" i="2" s="1"/>
  <c r="F1411" i="2"/>
  <c r="G1411" i="2" s="1"/>
  <c r="F1412" i="2"/>
  <c r="G1412" i="2" s="1"/>
  <c r="F1413" i="2"/>
  <c r="G1413" i="2" s="1"/>
  <c r="F1414" i="2"/>
  <c r="G1414" i="2" s="1"/>
  <c r="F1415" i="2"/>
  <c r="G1415" i="2" s="1"/>
  <c r="F1416" i="2"/>
  <c r="G1416" i="2" s="1"/>
  <c r="F1417" i="2"/>
  <c r="G1417" i="2" s="1"/>
  <c r="F1394" i="2"/>
  <c r="G1394" i="2" s="1"/>
  <c r="F1395" i="2"/>
  <c r="G1395" i="2" s="1"/>
  <c r="F1396" i="2"/>
  <c r="G1396" i="2" s="1"/>
  <c r="F1397" i="2"/>
  <c r="G1397" i="2" s="1"/>
  <c r="F1398" i="2"/>
  <c r="G1398" i="2" s="1"/>
  <c r="F1399" i="2"/>
  <c r="G1399" i="2" s="1"/>
  <c r="F1400" i="2"/>
  <c r="G1400" i="2" s="1"/>
  <c r="F1401" i="2"/>
  <c r="G1401" i="2" s="1"/>
  <c r="F1402" i="2"/>
  <c r="G1402" i="2" s="1"/>
  <c r="F1403" i="2"/>
  <c r="G1403" i="2" s="1"/>
  <c r="F1404" i="2"/>
  <c r="G1404" i="2" s="1"/>
  <c r="F1405" i="2"/>
  <c r="G1405" i="2" s="1"/>
  <c r="F1382" i="2"/>
  <c r="G1382" i="2" s="1"/>
  <c r="F1383" i="2"/>
  <c r="G1383" i="2" s="1"/>
  <c r="F1384" i="2"/>
  <c r="G1384" i="2" s="1"/>
  <c r="F1385" i="2"/>
  <c r="G1385" i="2" s="1"/>
  <c r="F1386" i="2"/>
  <c r="G1386" i="2" s="1"/>
  <c r="F1387" i="2"/>
  <c r="G1387" i="2" s="1"/>
  <c r="F1388" i="2"/>
  <c r="G1388" i="2" s="1"/>
  <c r="F1389" i="2"/>
  <c r="G1389" i="2" s="1"/>
  <c r="F1390" i="2"/>
  <c r="G1390" i="2" s="1"/>
  <c r="F1391" i="2"/>
  <c r="G1391" i="2" s="1"/>
  <c r="F1392" i="2"/>
  <c r="G1392" i="2" s="1"/>
  <c r="F1393" i="2"/>
  <c r="G1393" i="2" s="1"/>
  <c r="F1370" i="2"/>
  <c r="G1370" i="2" s="1"/>
  <c r="F1371" i="2"/>
  <c r="G1371" i="2" s="1"/>
  <c r="F1372" i="2"/>
  <c r="G1372" i="2" s="1"/>
  <c r="F1373" i="2"/>
  <c r="G1373" i="2" s="1"/>
  <c r="F1374" i="2"/>
  <c r="G1374" i="2" s="1"/>
  <c r="F1375" i="2"/>
  <c r="G1375" i="2" s="1"/>
  <c r="F1376" i="2"/>
  <c r="G1376" i="2" s="1"/>
  <c r="F1377" i="2"/>
  <c r="G1377" i="2" s="1"/>
  <c r="F1378" i="2"/>
  <c r="G1378" i="2" s="1"/>
  <c r="F1379" i="2"/>
  <c r="G1379" i="2" s="1"/>
  <c r="F1380" i="2"/>
  <c r="G1380" i="2" s="1"/>
  <c r="F1381" i="2"/>
  <c r="G1381" i="2" s="1"/>
  <c r="F1358" i="2"/>
  <c r="G1358" i="2" s="1"/>
  <c r="F1359" i="2"/>
  <c r="G1359" i="2" s="1"/>
  <c r="F1360" i="2"/>
  <c r="G1360" i="2" s="1"/>
  <c r="F1361" i="2"/>
  <c r="G1361" i="2" s="1"/>
  <c r="F1362" i="2"/>
  <c r="G1362" i="2" s="1"/>
  <c r="F1363" i="2"/>
  <c r="G1363" i="2" s="1"/>
  <c r="F1364" i="2"/>
  <c r="G1364" i="2" s="1"/>
  <c r="F1365" i="2"/>
  <c r="G1365" i="2" s="1"/>
  <c r="F1366" i="2"/>
  <c r="G1366" i="2" s="1"/>
  <c r="F1367" i="2"/>
  <c r="G1367" i="2" s="1"/>
  <c r="F1368" i="2"/>
  <c r="G1368" i="2" s="1"/>
  <c r="F1369" i="2"/>
  <c r="G1369" i="2" s="1"/>
  <c r="F1346" i="2"/>
  <c r="G1346" i="2" s="1"/>
  <c r="F1347" i="2"/>
  <c r="G1347" i="2" s="1"/>
  <c r="F1348" i="2"/>
  <c r="G1348" i="2" s="1"/>
  <c r="F1349" i="2"/>
  <c r="G1349" i="2" s="1"/>
  <c r="F1350" i="2"/>
  <c r="G1350" i="2" s="1"/>
  <c r="F1351" i="2"/>
  <c r="G1351" i="2" s="1"/>
  <c r="F1352" i="2"/>
  <c r="G1352" i="2" s="1"/>
  <c r="F1353" i="2"/>
  <c r="G1353" i="2" s="1"/>
  <c r="F1354" i="2"/>
  <c r="G1354" i="2" s="1"/>
  <c r="F1355" i="2"/>
  <c r="G1355" i="2" s="1"/>
  <c r="F1356" i="2"/>
  <c r="G1356" i="2" s="1"/>
  <c r="F1357" i="2"/>
  <c r="G1357" i="2" s="1"/>
  <c r="F1334" i="2"/>
  <c r="G1334" i="2" s="1"/>
  <c r="F1335" i="2"/>
  <c r="G1335" i="2" s="1"/>
  <c r="F1336" i="2"/>
  <c r="G1336" i="2" s="1"/>
  <c r="F1337" i="2"/>
  <c r="G1337" i="2" s="1"/>
  <c r="F1338" i="2"/>
  <c r="G1338" i="2" s="1"/>
  <c r="F1339" i="2"/>
  <c r="G1339" i="2" s="1"/>
  <c r="F1340" i="2"/>
  <c r="G1340" i="2" s="1"/>
  <c r="F1341" i="2"/>
  <c r="G1341" i="2" s="1"/>
  <c r="F1342" i="2"/>
  <c r="G1342" i="2" s="1"/>
  <c r="F1343" i="2"/>
  <c r="G1343" i="2" s="1"/>
  <c r="F1344" i="2"/>
  <c r="G1344" i="2" s="1"/>
  <c r="F1345" i="2"/>
  <c r="G1345" i="2" s="1"/>
  <c r="F1322" i="2"/>
  <c r="G1322" i="2" s="1"/>
  <c r="F1323" i="2"/>
  <c r="G1323" i="2" s="1"/>
  <c r="F1324" i="2"/>
  <c r="G1324" i="2" s="1"/>
  <c r="F1325" i="2"/>
  <c r="G1325" i="2" s="1"/>
  <c r="F1326" i="2"/>
  <c r="G1326" i="2" s="1"/>
  <c r="F1327" i="2"/>
  <c r="G1327" i="2" s="1"/>
  <c r="F1328" i="2"/>
  <c r="G1328" i="2" s="1"/>
  <c r="F1329" i="2"/>
  <c r="G1329" i="2" s="1"/>
  <c r="F1330" i="2"/>
  <c r="G1330" i="2" s="1"/>
  <c r="F1331" i="2"/>
  <c r="G1331" i="2" s="1"/>
  <c r="F1332" i="2"/>
  <c r="G1332" i="2" s="1"/>
  <c r="F1333" i="2"/>
  <c r="G1333" i="2" s="1"/>
  <c r="F1310" i="2"/>
  <c r="G1310" i="2" s="1"/>
  <c r="F1311" i="2"/>
  <c r="G1311" i="2" s="1"/>
  <c r="F1312" i="2"/>
  <c r="G1312" i="2" s="1"/>
  <c r="F1313" i="2"/>
  <c r="G1313" i="2" s="1"/>
  <c r="F1314" i="2"/>
  <c r="G1314" i="2" s="1"/>
  <c r="F1315" i="2"/>
  <c r="G1315" i="2" s="1"/>
  <c r="F1316" i="2"/>
  <c r="G1316" i="2" s="1"/>
  <c r="F1317" i="2"/>
  <c r="G1317" i="2" s="1"/>
  <c r="F1318" i="2"/>
  <c r="G1318" i="2" s="1"/>
  <c r="F1319" i="2"/>
  <c r="G1319" i="2" s="1"/>
  <c r="F1320" i="2"/>
  <c r="G1320" i="2" s="1"/>
  <c r="F1321" i="2"/>
  <c r="G1321" i="2" s="1"/>
  <c r="F1302" i="2"/>
  <c r="G1302" i="2" s="1"/>
  <c r="F1298" i="2"/>
  <c r="G1298" i="2" s="1"/>
  <c r="F1299" i="2"/>
  <c r="G1299" i="2" s="1"/>
  <c r="F1300" i="2"/>
  <c r="G1300" i="2" s="1"/>
  <c r="F1301" i="2"/>
  <c r="G1301" i="2" s="1"/>
  <c r="F1303" i="2"/>
  <c r="G1303" i="2" s="1"/>
  <c r="F1304" i="2"/>
  <c r="G1304" i="2" s="1"/>
  <c r="F1305" i="2"/>
  <c r="G1305" i="2" s="1"/>
  <c r="F1306" i="2"/>
  <c r="G1306" i="2" s="1"/>
  <c r="F1307" i="2"/>
  <c r="G1307" i="2" s="1"/>
  <c r="F1308" i="2"/>
  <c r="G1308" i="2" s="1"/>
  <c r="F1309" i="2"/>
  <c r="G1309" i="2" s="1"/>
  <c r="F1286" i="2"/>
  <c r="G1286" i="2" s="1"/>
  <c r="F1287" i="2"/>
  <c r="G1287" i="2" s="1"/>
  <c r="F1288" i="2"/>
  <c r="G1288" i="2" s="1"/>
  <c r="F1289" i="2"/>
  <c r="G1289" i="2" s="1"/>
  <c r="F1290" i="2"/>
  <c r="G1290" i="2" s="1"/>
  <c r="F1291" i="2"/>
  <c r="G1291" i="2" s="1"/>
  <c r="F1292" i="2"/>
  <c r="G1292" i="2" s="1"/>
  <c r="F1293" i="2"/>
  <c r="G1293" i="2" s="1"/>
  <c r="F1294" i="2"/>
  <c r="G1294" i="2" s="1"/>
  <c r="F1295" i="2"/>
  <c r="G1295" i="2" s="1"/>
  <c r="F1296" i="2"/>
  <c r="G1296" i="2" s="1"/>
  <c r="F1297" i="2"/>
  <c r="G1297" i="2" s="1"/>
  <c r="F1274" i="2"/>
  <c r="G1274" i="2" s="1"/>
  <c r="F1275" i="2"/>
  <c r="G1275" i="2" s="1"/>
  <c r="F1276" i="2"/>
  <c r="G1276" i="2" s="1"/>
  <c r="F1277" i="2"/>
  <c r="G1277" i="2" s="1"/>
  <c r="F1278" i="2"/>
  <c r="G1278" i="2" s="1"/>
  <c r="F1279" i="2"/>
  <c r="G1279" i="2" s="1"/>
  <c r="F1280" i="2"/>
  <c r="G1280" i="2" s="1"/>
  <c r="F1281" i="2"/>
  <c r="G1281" i="2" s="1"/>
  <c r="F1282" i="2"/>
  <c r="G1282" i="2" s="1"/>
  <c r="F1283" i="2"/>
  <c r="G1283" i="2" s="1"/>
  <c r="F1284" i="2"/>
  <c r="G1284" i="2" s="1"/>
  <c r="F1285" i="2"/>
  <c r="G1285" i="2" s="1"/>
  <c r="F1262" i="2"/>
  <c r="G1262" i="2" s="1"/>
  <c r="F1263" i="2"/>
  <c r="G1263" i="2" s="1"/>
  <c r="F1264" i="2"/>
  <c r="G1264" i="2" s="1"/>
  <c r="F1265" i="2"/>
  <c r="G1265" i="2" s="1"/>
  <c r="F1266" i="2"/>
  <c r="G1266" i="2" s="1"/>
  <c r="F1267" i="2"/>
  <c r="G1267" i="2" s="1"/>
  <c r="F1268" i="2"/>
  <c r="G1268" i="2" s="1"/>
  <c r="F1269" i="2"/>
  <c r="G1269" i="2" s="1"/>
  <c r="F1270" i="2"/>
  <c r="G1270" i="2" s="1"/>
  <c r="F1271" i="2"/>
  <c r="G1271" i="2" s="1"/>
  <c r="F1272" i="2"/>
  <c r="G1272" i="2" s="1"/>
  <c r="F1273" i="2"/>
  <c r="G1273" i="2" s="1"/>
  <c r="F1250" i="2"/>
  <c r="G1250" i="2" s="1"/>
  <c r="F1251" i="2"/>
  <c r="G1251" i="2" s="1"/>
  <c r="F1252" i="2"/>
  <c r="G1252" i="2" s="1"/>
  <c r="F1253" i="2"/>
  <c r="G1253" i="2" s="1"/>
  <c r="F1254" i="2"/>
  <c r="G1254" i="2" s="1"/>
  <c r="F1255" i="2"/>
  <c r="G1255" i="2" s="1"/>
  <c r="F1256" i="2"/>
  <c r="G1256" i="2" s="1"/>
  <c r="F1257" i="2"/>
  <c r="G1257" i="2" s="1"/>
  <c r="F1258" i="2"/>
  <c r="G1258" i="2" s="1"/>
  <c r="F1259" i="2"/>
  <c r="G1259" i="2" s="1"/>
  <c r="F1260" i="2"/>
  <c r="G1260" i="2" s="1"/>
  <c r="F1261" i="2"/>
  <c r="G1261" i="2" s="1"/>
  <c r="F1238" i="2"/>
  <c r="G1238" i="2" s="1"/>
  <c r="F1239" i="2"/>
  <c r="G1239" i="2" s="1"/>
  <c r="F1240" i="2"/>
  <c r="G1240" i="2" s="1"/>
  <c r="F1241" i="2"/>
  <c r="G1241" i="2" s="1"/>
  <c r="F1242" i="2"/>
  <c r="G1242" i="2" s="1"/>
  <c r="F1243" i="2"/>
  <c r="G1243" i="2" s="1"/>
  <c r="F1244" i="2"/>
  <c r="G1244" i="2" s="1"/>
  <c r="F1245" i="2"/>
  <c r="G1245" i="2" s="1"/>
  <c r="F1246" i="2"/>
  <c r="G1246" i="2" s="1"/>
  <c r="F1247" i="2"/>
  <c r="G1247" i="2" s="1"/>
  <c r="F1248" i="2"/>
  <c r="G1248" i="2" s="1"/>
  <c r="F1249" i="2"/>
  <c r="G1249" i="2" s="1"/>
  <c r="F1226" i="2"/>
  <c r="G1226" i="2" s="1"/>
  <c r="F1227" i="2"/>
  <c r="G1227" i="2" s="1"/>
  <c r="F1228" i="2"/>
  <c r="G1228" i="2" s="1"/>
  <c r="F1229" i="2"/>
  <c r="G1229" i="2" s="1"/>
  <c r="F1230" i="2"/>
  <c r="G1230" i="2" s="1"/>
  <c r="F1231" i="2"/>
  <c r="G1231" i="2" s="1"/>
  <c r="F1232" i="2"/>
  <c r="G1232" i="2" s="1"/>
  <c r="F1233" i="2"/>
  <c r="G1233" i="2" s="1"/>
  <c r="F1234" i="2"/>
  <c r="G1234" i="2" s="1"/>
  <c r="F1235" i="2"/>
  <c r="G1235" i="2" s="1"/>
  <c r="F1236" i="2"/>
  <c r="G1236" i="2" s="1"/>
  <c r="F1237" i="2"/>
  <c r="G1237" i="2" s="1"/>
  <c r="F1214" i="2"/>
  <c r="G1214" i="2" s="1"/>
  <c r="F1215" i="2"/>
  <c r="G1215" i="2" s="1"/>
  <c r="F1216" i="2"/>
  <c r="G1216" i="2" s="1"/>
  <c r="F1217" i="2"/>
  <c r="G1217" i="2" s="1"/>
  <c r="F1218" i="2"/>
  <c r="G1218" i="2" s="1"/>
  <c r="F1219" i="2"/>
  <c r="G1219" i="2" s="1"/>
  <c r="F1220" i="2"/>
  <c r="G1220" i="2" s="1"/>
  <c r="F1221" i="2"/>
  <c r="G1221" i="2" s="1"/>
  <c r="F1222" i="2"/>
  <c r="G1222" i="2" s="1"/>
  <c r="F1223" i="2"/>
  <c r="G1223" i="2" s="1"/>
  <c r="F1224" i="2"/>
  <c r="G1224" i="2" s="1"/>
  <c r="F1225" i="2"/>
  <c r="G1225" i="2" s="1"/>
  <c r="F1202" i="2"/>
  <c r="G1202" i="2" s="1"/>
  <c r="F1203" i="2"/>
  <c r="G1203" i="2" s="1"/>
  <c r="F1204" i="2"/>
  <c r="G1204" i="2" s="1"/>
  <c r="F1205" i="2"/>
  <c r="G1205" i="2" s="1"/>
  <c r="F1206" i="2"/>
  <c r="G1206" i="2" s="1"/>
  <c r="F1207" i="2"/>
  <c r="G1207" i="2" s="1"/>
  <c r="F1208" i="2"/>
  <c r="G1208" i="2" s="1"/>
  <c r="F1209" i="2"/>
  <c r="G1209" i="2" s="1"/>
  <c r="F1210" i="2"/>
  <c r="G1210" i="2" s="1"/>
  <c r="F1211" i="2"/>
  <c r="G1211" i="2" s="1"/>
  <c r="F1212" i="2"/>
  <c r="G1212" i="2" s="1"/>
  <c r="F1213" i="2"/>
  <c r="G1213" i="2" s="1"/>
  <c r="F1190" i="2"/>
  <c r="G1190" i="2" s="1"/>
  <c r="F1191" i="2"/>
  <c r="G1191" i="2" s="1"/>
  <c r="F1192" i="2"/>
  <c r="G1192" i="2" s="1"/>
  <c r="F1193" i="2"/>
  <c r="G1193" i="2" s="1"/>
  <c r="F1194" i="2"/>
  <c r="G1194" i="2" s="1"/>
  <c r="F1195" i="2"/>
  <c r="G1195" i="2" s="1"/>
  <c r="F1196" i="2"/>
  <c r="G1196" i="2" s="1"/>
  <c r="F1197" i="2"/>
  <c r="G1197" i="2" s="1"/>
  <c r="F1198" i="2"/>
  <c r="G1198" i="2" s="1"/>
  <c r="F1199" i="2"/>
  <c r="G1199" i="2" s="1"/>
  <c r="F1200" i="2"/>
  <c r="G1200" i="2" s="1"/>
  <c r="F1201" i="2"/>
  <c r="G1201" i="2" s="1"/>
  <c r="F1178" i="2"/>
  <c r="G1178" i="2" s="1"/>
  <c r="F1179" i="2"/>
  <c r="G1179" i="2" s="1"/>
  <c r="F1180" i="2"/>
  <c r="G1180" i="2" s="1"/>
  <c r="F1181" i="2"/>
  <c r="G1181" i="2" s="1"/>
  <c r="F1182" i="2"/>
  <c r="G1182" i="2" s="1"/>
  <c r="F1183" i="2"/>
  <c r="G1183" i="2" s="1"/>
  <c r="F1184" i="2"/>
  <c r="G1184" i="2" s="1"/>
  <c r="F1185" i="2"/>
  <c r="G1185" i="2" s="1"/>
  <c r="F1186" i="2"/>
  <c r="G1186" i="2" s="1"/>
  <c r="F1187" i="2"/>
  <c r="G1187" i="2" s="1"/>
  <c r="F1188" i="2"/>
  <c r="G1188" i="2" s="1"/>
  <c r="F1189" i="2"/>
  <c r="G1189" i="2" s="1"/>
  <c r="F1166" i="2"/>
  <c r="G1166" i="2" s="1"/>
  <c r="F1167" i="2"/>
  <c r="G1167" i="2" s="1"/>
  <c r="F1168" i="2"/>
  <c r="G1168" i="2" s="1"/>
  <c r="F1169" i="2"/>
  <c r="G1169" i="2" s="1"/>
  <c r="F1170" i="2"/>
  <c r="G1170" i="2" s="1"/>
  <c r="F1171" i="2"/>
  <c r="G1171" i="2" s="1"/>
  <c r="F1172" i="2"/>
  <c r="G1172" i="2" s="1"/>
  <c r="F1173" i="2"/>
  <c r="G1173" i="2" s="1"/>
  <c r="F1174" i="2"/>
  <c r="G1174" i="2" s="1"/>
  <c r="F1175" i="2"/>
  <c r="G1175" i="2" s="1"/>
  <c r="F1176" i="2"/>
  <c r="G1176" i="2" s="1"/>
  <c r="F1177" i="2"/>
  <c r="G1177" i="2" s="1"/>
  <c r="F1154" i="2"/>
  <c r="G1154" i="2" s="1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G1160" i="2" s="1"/>
  <c r="F1161" i="2"/>
  <c r="G1161" i="2" s="1"/>
  <c r="F1162" i="2"/>
  <c r="G1162" i="2" s="1"/>
  <c r="F1163" i="2"/>
  <c r="G1163" i="2" s="1"/>
  <c r="F1164" i="2"/>
  <c r="G1164" i="2" s="1"/>
  <c r="F1165" i="2"/>
  <c r="G1165" i="2" s="1"/>
  <c r="F1142" i="2"/>
  <c r="G1142" i="2" s="1"/>
  <c r="F1143" i="2"/>
  <c r="G1143" i="2" s="1"/>
  <c r="F1144" i="2"/>
  <c r="G1144" i="2" s="1"/>
  <c r="F1145" i="2"/>
  <c r="G1145" i="2" s="1"/>
  <c r="F1146" i="2"/>
  <c r="G1146" i="2" s="1"/>
  <c r="F1147" i="2"/>
  <c r="G1147" i="2" s="1"/>
  <c r="F1148" i="2"/>
  <c r="G1148" i="2" s="1"/>
  <c r="F1149" i="2"/>
  <c r="G1149" i="2" s="1"/>
  <c r="F1150" i="2"/>
  <c r="G1150" i="2" s="1"/>
  <c r="F1151" i="2"/>
  <c r="G1151" i="2" s="1"/>
  <c r="F1152" i="2"/>
  <c r="G1152" i="2" s="1"/>
  <c r="F1153" i="2"/>
  <c r="G1153" i="2" s="1"/>
  <c r="F1130" i="2"/>
  <c r="G1130" i="2" s="1"/>
  <c r="F1131" i="2"/>
  <c r="G1131" i="2" s="1"/>
  <c r="F1132" i="2"/>
  <c r="G1132" i="2" s="1"/>
  <c r="F1133" i="2"/>
  <c r="G1133" i="2" s="1"/>
  <c r="F1134" i="2"/>
  <c r="G1134" i="2" s="1"/>
  <c r="F1135" i="2"/>
  <c r="G1135" i="2" s="1"/>
  <c r="F1136" i="2"/>
  <c r="G1136" i="2" s="1"/>
  <c r="F1137" i="2"/>
  <c r="G1137" i="2" s="1"/>
  <c r="F1138" i="2"/>
  <c r="G1138" i="2" s="1"/>
  <c r="F1139" i="2"/>
  <c r="G1139" i="2" s="1"/>
  <c r="F1140" i="2"/>
  <c r="G1140" i="2" s="1"/>
  <c r="F1141" i="2"/>
  <c r="G1141" i="2" s="1"/>
  <c r="F1118" i="2"/>
  <c r="G1118" i="2" s="1"/>
  <c r="F1119" i="2"/>
  <c r="G1119" i="2" s="1"/>
  <c r="F1120" i="2"/>
  <c r="G1120" i="2" s="1"/>
  <c r="F1121" i="2"/>
  <c r="G1121" i="2" s="1"/>
  <c r="F1122" i="2"/>
  <c r="G1122" i="2" s="1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G1128" i="2" s="1"/>
  <c r="F1129" i="2"/>
  <c r="G1129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1106" i="2"/>
  <c r="G1106" i="2" s="1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G1112" i="2" s="1"/>
  <c r="F1113" i="2"/>
  <c r="G1113" i="2" s="1"/>
  <c r="F1114" i="2"/>
  <c r="G1114" i="2" s="1"/>
  <c r="F1115" i="2"/>
  <c r="G1115" i="2" s="1"/>
  <c r="F1116" i="2"/>
  <c r="G1116" i="2" s="1"/>
  <c r="F1117" i="2"/>
  <c r="G1117" i="2" s="1"/>
  <c r="F1094" i="2"/>
  <c r="G1094" i="2" s="1"/>
  <c r="F1095" i="2"/>
  <c r="G1095" i="2" s="1"/>
  <c r="F1096" i="2"/>
  <c r="G1096" i="2" s="1"/>
  <c r="F1097" i="2"/>
  <c r="G1097" i="2" s="1"/>
  <c r="F1098" i="2"/>
  <c r="G1098" i="2" s="1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 s="1"/>
  <c r="F1105" i="2"/>
  <c r="G1105" i="2" s="1"/>
  <c r="F1082" i="2"/>
  <c r="G1082" i="2" s="1"/>
  <c r="F1083" i="2"/>
  <c r="G1083" i="2" s="1"/>
  <c r="F1084" i="2"/>
  <c r="G1084" i="2" s="1"/>
  <c r="F1085" i="2"/>
  <c r="G1085" i="2" s="1"/>
  <c r="F1086" i="2"/>
  <c r="G1086" i="2" s="1"/>
  <c r="F1087" i="2"/>
  <c r="G1087" i="2" s="1"/>
  <c r="F1088" i="2"/>
  <c r="G1088" i="2" s="1"/>
  <c r="F1089" i="2"/>
  <c r="G1089" i="2" s="1"/>
  <c r="F1090" i="2"/>
  <c r="G1090" i="2" s="1"/>
  <c r="F1091" i="2"/>
  <c r="G1091" i="2" s="1"/>
  <c r="F1092" i="2"/>
  <c r="G1092" i="2" s="1"/>
  <c r="F1093" i="2"/>
  <c r="G1093" i="2" s="1"/>
  <c r="F1070" i="2"/>
  <c r="G1070" i="2" s="1"/>
  <c r="F1071" i="2"/>
  <c r="G1071" i="2" s="1"/>
  <c r="F1072" i="2"/>
  <c r="G1072" i="2" s="1"/>
  <c r="F1073" i="2"/>
  <c r="G1073" i="2" s="1"/>
  <c r="F1074" i="2"/>
  <c r="G1074" i="2" s="1"/>
  <c r="F1075" i="2"/>
  <c r="G1075" i="2" s="1"/>
  <c r="F1076" i="2"/>
  <c r="G1076" i="2" s="1"/>
  <c r="F1077" i="2"/>
  <c r="G1077" i="2" s="1"/>
  <c r="F1078" i="2"/>
  <c r="G1078" i="2" s="1"/>
  <c r="F1079" i="2"/>
  <c r="G1079" i="2" s="1"/>
  <c r="F1080" i="2"/>
  <c r="G1080" i="2" s="1"/>
  <c r="F1081" i="2"/>
  <c r="G1081" i="2" s="1"/>
  <c r="F1058" i="2"/>
  <c r="G1058" i="2" s="1"/>
  <c r="F1059" i="2"/>
  <c r="G1059" i="2" s="1"/>
  <c r="F1060" i="2"/>
  <c r="G1060" i="2" s="1"/>
  <c r="F1061" i="2"/>
  <c r="G1061" i="2" s="1"/>
  <c r="F1062" i="2"/>
  <c r="G1062" i="2" s="1"/>
  <c r="F1063" i="2"/>
  <c r="G1063" i="2" s="1"/>
  <c r="F1064" i="2"/>
  <c r="G1064" i="2" s="1"/>
  <c r="F1065" i="2"/>
  <c r="G1065" i="2" s="1"/>
  <c r="F1066" i="2"/>
  <c r="G1066" i="2" s="1"/>
  <c r="F1067" i="2"/>
  <c r="G1067" i="2" s="1"/>
  <c r="F1068" i="2"/>
  <c r="G1068" i="2" s="1"/>
  <c r="F1069" i="2"/>
  <c r="G1069" i="2" s="1"/>
  <c r="F1046" i="2"/>
  <c r="G1046" i="2" s="1"/>
  <c r="F1047" i="2"/>
  <c r="G1047" i="2" s="1"/>
  <c r="F1048" i="2"/>
  <c r="G1048" i="2" s="1"/>
  <c r="F1049" i="2"/>
  <c r="G1049" i="2" s="1"/>
  <c r="F1050" i="2"/>
  <c r="G1050" i="2" s="1"/>
  <c r="F1051" i="2"/>
  <c r="G1051" i="2" s="1"/>
  <c r="F1052" i="2"/>
  <c r="G1052" i="2" s="1"/>
  <c r="F1053" i="2"/>
  <c r="G1053" i="2" s="1"/>
  <c r="F1054" i="2"/>
  <c r="G1054" i="2" s="1"/>
  <c r="F1055" i="2"/>
  <c r="G1055" i="2" s="1"/>
  <c r="F1056" i="2"/>
  <c r="G1056" i="2" s="1"/>
  <c r="F1057" i="2"/>
  <c r="G1057" i="2" s="1"/>
  <c r="F1034" i="2"/>
  <c r="G1034" i="2" s="1"/>
  <c r="F1035" i="2"/>
  <c r="G1035" i="2" s="1"/>
  <c r="F1036" i="2"/>
  <c r="G1036" i="2" s="1"/>
  <c r="F1037" i="2"/>
  <c r="G1037" i="2" s="1"/>
  <c r="F1038" i="2"/>
  <c r="G1038" i="2" s="1"/>
  <c r="F1039" i="2"/>
  <c r="G1039" i="2" s="1"/>
  <c r="F1040" i="2"/>
  <c r="G1040" i="2" s="1"/>
  <c r="F1041" i="2"/>
  <c r="G1041" i="2" s="1"/>
  <c r="F1042" i="2"/>
  <c r="G1042" i="2" s="1"/>
  <c r="F1043" i="2"/>
  <c r="G1043" i="2" s="1"/>
  <c r="F1044" i="2"/>
  <c r="G1044" i="2" s="1"/>
  <c r="F1045" i="2"/>
  <c r="G1045" i="2" s="1"/>
  <c r="F1022" i="2"/>
  <c r="G1022" i="2" s="1"/>
  <c r="F1023" i="2"/>
  <c r="G1023" i="2" s="1"/>
  <c r="F1024" i="2"/>
  <c r="G1024" i="2" s="1"/>
  <c r="F1025" i="2"/>
  <c r="G1025" i="2" s="1"/>
  <c r="F1026" i="2"/>
  <c r="G1026" i="2" s="1"/>
  <c r="F1027" i="2"/>
  <c r="G1027" i="2" s="1"/>
  <c r="F1028" i="2"/>
  <c r="G1028" i="2" s="1"/>
  <c r="F1029" i="2"/>
  <c r="G1029" i="2" s="1"/>
  <c r="F1030" i="2"/>
  <c r="G1030" i="2" s="1"/>
  <c r="F1031" i="2"/>
  <c r="G1031" i="2" s="1"/>
  <c r="F1032" i="2"/>
  <c r="G1032" i="2" s="1"/>
  <c r="F1033" i="2"/>
  <c r="G1033" i="2" s="1"/>
  <c r="F1009" i="2"/>
  <c r="G1009" i="2" s="1"/>
  <c r="F1010" i="2"/>
  <c r="G1010" i="2" s="1"/>
  <c r="F1011" i="2"/>
  <c r="G1011" i="2" s="1"/>
  <c r="F1012" i="2"/>
  <c r="G1012" i="2" s="1"/>
  <c r="F1013" i="2"/>
  <c r="G1013" i="2" s="1"/>
  <c r="F1014" i="2"/>
  <c r="G1014" i="2" s="1"/>
  <c r="F1015" i="2"/>
  <c r="G1015" i="2" s="1"/>
  <c r="F1016" i="2"/>
  <c r="G1016" i="2" s="1"/>
  <c r="F1017" i="2"/>
  <c r="G1017" i="2" s="1"/>
  <c r="F1018" i="2"/>
  <c r="G1018" i="2" s="1"/>
  <c r="F1019" i="2"/>
  <c r="G1019" i="2" s="1"/>
  <c r="F1020" i="2"/>
  <c r="G1020" i="2" s="1"/>
  <c r="F1021" i="2"/>
  <c r="G1021" i="2" s="1"/>
  <c r="F998" i="2"/>
  <c r="G998" i="2" s="1"/>
  <c r="F999" i="2"/>
  <c r="G999" i="2" s="1"/>
  <c r="F1000" i="2"/>
  <c r="G1000" i="2" s="1"/>
  <c r="F1001" i="2"/>
  <c r="G1001" i="2" s="1"/>
  <c r="F1002" i="2"/>
  <c r="G1002" i="2" s="1"/>
  <c r="F1003" i="2"/>
  <c r="G1003" i="2" s="1"/>
  <c r="F1004" i="2"/>
  <c r="G1004" i="2" s="1"/>
  <c r="F1005" i="2"/>
  <c r="G1005" i="2" s="1"/>
  <c r="F1006" i="2"/>
  <c r="G1006" i="2" s="1"/>
  <c r="F1007" i="2"/>
  <c r="G1007" i="2" s="1"/>
  <c r="F1008" i="2"/>
  <c r="G1008" i="2" s="1"/>
  <c r="F986" i="2"/>
  <c r="G986" i="2" s="1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 s="1"/>
  <c r="F997" i="2"/>
  <c r="G997" i="2" s="1"/>
  <c r="F962" i="2"/>
  <c r="G962" i="2" s="1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 s="1"/>
  <c r="F973" i="2"/>
  <c r="G973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38" i="2"/>
  <c r="G938" i="2" s="1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 s="1"/>
  <c r="F949" i="2"/>
  <c r="G949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14" i="2"/>
  <c r="G914" i="2" s="1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 s="1"/>
  <c r="F925" i="2"/>
  <c r="G925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F913" i="2"/>
  <c r="G913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G901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F889" i="2"/>
  <c r="G889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 s="1"/>
  <c r="F875" i="2"/>
  <c r="G875" i="2" s="1"/>
  <c r="F876" i="2"/>
  <c r="G876" i="2" s="1"/>
  <c r="F877" i="2"/>
  <c r="G877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 s="1"/>
  <c r="F861" i="2"/>
  <c r="G861" i="2" s="1"/>
  <c r="F862" i="2"/>
  <c r="G862" i="2" s="1"/>
  <c r="F863" i="2"/>
  <c r="G863" i="2" s="1"/>
  <c r="F864" i="2"/>
  <c r="G864" i="2" s="1"/>
  <c r="F865" i="2"/>
  <c r="G865" i="2" s="1"/>
  <c r="F842" i="2"/>
  <c r="G842" i="2" s="1"/>
  <c r="F843" i="2"/>
  <c r="G843" i="2" s="1"/>
  <c r="F844" i="2"/>
  <c r="G844" i="2" s="1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 s="1"/>
  <c r="F829" i="2"/>
  <c r="G829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46" i="2"/>
  <c r="G746" i="2" s="1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50" i="2" l="1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49" i="2"/>
  <c r="G549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50" i="2"/>
  <c r="G550" i="2" s="1"/>
  <c r="F551" i="2"/>
  <c r="G551" i="2" s="1"/>
  <c r="F552" i="2"/>
  <c r="G552" i="2" s="1"/>
  <c r="F553" i="2"/>
  <c r="G553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13" i="2"/>
  <c r="G313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05" i="2"/>
  <c r="G205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82" i="2"/>
  <c r="G82" i="2" s="1"/>
  <c r="F86" i="2" l="1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3" i="2"/>
  <c r="G83" i="2" s="1"/>
  <c r="F84" i="2"/>
  <c r="G84" i="2" s="1"/>
  <c r="F85" i="2"/>
  <c r="G85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49" i="2"/>
  <c r="G49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2" i="2"/>
  <c r="G2" i="2" s="1"/>
</calcChain>
</file>

<file path=xl/sharedStrings.xml><?xml version="1.0" encoding="utf-8"?>
<sst xmlns="http://schemas.openxmlformats.org/spreadsheetml/2006/main" count="10005" uniqueCount="63">
  <si>
    <t>Fecha</t>
  </si>
  <si>
    <t>Rubro</t>
  </si>
  <si>
    <t>Arroz</t>
  </si>
  <si>
    <t>Cosecha/Tarea</t>
  </si>
  <si>
    <t>Producción/Quintales</t>
  </si>
  <si>
    <t>Maíz</t>
  </si>
  <si>
    <t>Productividad (QQ/TAS)</t>
  </si>
  <si>
    <t>Batata</t>
  </si>
  <si>
    <t>Ñame</t>
  </si>
  <si>
    <t>Papa</t>
  </si>
  <si>
    <t>Yautía</t>
  </si>
  <si>
    <t>Yuca</t>
  </si>
  <si>
    <t>Auyama</t>
  </si>
  <si>
    <t>Berenjena</t>
  </si>
  <si>
    <t>Aguacate</t>
  </si>
  <si>
    <t>Guineo</t>
  </si>
  <si>
    <t>**</t>
  </si>
  <si>
    <t>en racimos</t>
  </si>
  <si>
    <t>Plátano</t>
  </si>
  <si>
    <t>*</t>
  </si>
  <si>
    <t>millares</t>
  </si>
  <si>
    <t>En QQ a partir de 2015</t>
  </si>
  <si>
    <t>Productividad (kg/TAS)</t>
  </si>
  <si>
    <t>Peso promedio plátano (lb)</t>
  </si>
  <si>
    <t>Peso promedio guineo (lb)</t>
  </si>
  <si>
    <t>Peso promedio plátano (kg)</t>
  </si>
  <si>
    <t>Peso promedio guineo (kg)</t>
  </si>
  <si>
    <t>1 lb</t>
  </si>
  <si>
    <t>kg</t>
  </si>
  <si>
    <t>Peso promedio del racimo de plátano (Supuesto)</t>
  </si>
  <si>
    <t>30-50 kg</t>
  </si>
  <si>
    <t>Racimo de guineo (lb)</t>
  </si>
  <si>
    <t>Racimo de guineo (kg)</t>
  </si>
  <si>
    <t>Peso promedio del aguacate(lb)</t>
  </si>
  <si>
    <t>Peso promedio del aguacate(kg)</t>
  </si>
  <si>
    <t>Precio</t>
  </si>
  <si>
    <t xml:space="preserve"> Arroz Cáscara</t>
  </si>
  <si>
    <t>Fan. 110 kg</t>
  </si>
  <si>
    <t>Quintal</t>
  </si>
  <si>
    <t>Papa blanca</t>
  </si>
  <si>
    <t>Millar</t>
  </si>
  <si>
    <t>Racimo</t>
  </si>
  <si>
    <t>Precio por kg</t>
  </si>
  <si>
    <t>Dulce</t>
  </si>
  <si>
    <t>Se divide entre 110</t>
  </si>
  <si>
    <t>Se divide por 45.36</t>
  </si>
  <si>
    <t>Se divide por 45.37</t>
  </si>
  <si>
    <t>Se divide por 45.38</t>
  </si>
  <si>
    <t>Se divide por 45.39</t>
  </si>
  <si>
    <t>Se divide por 45.40</t>
  </si>
  <si>
    <t>Se divide por 45.41</t>
  </si>
  <si>
    <t>Se divide por 45.42</t>
  </si>
  <si>
    <t>Se divide por 45.43</t>
  </si>
  <si>
    <t>1000 y luego 0.56234</t>
  </si>
  <si>
    <t>se divide entre 27.21</t>
  </si>
  <si>
    <t>1000 y luego 0.40815</t>
  </si>
  <si>
    <t>MIllar</t>
  </si>
  <si>
    <t>Fan. 110 Kg</t>
  </si>
  <si>
    <t>Racimo/60 Lb/120Ud.</t>
  </si>
  <si>
    <t>Fan. (110 Kg)</t>
  </si>
  <si>
    <t>Costos</t>
  </si>
  <si>
    <t>Unidad de producción</t>
  </si>
  <si>
    <t>Unidad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</si>
</sst>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3" fontId="0" fillId="0" borderId="0" xfId="0" applyNumberFormat="1"/>
    <xf numFmtId="43" fontId="3" fillId="2" borderId="0" xfId="0" applyNumberFormat="1" applyFont="1" applyFill="1" applyAlignment="1">
      <alignment horizontal="right"/>
    </xf>
    <xf numFmtId="43" fontId="0" fillId="0" borderId="0" xfId="0" applyNumberFormat="1"/>
  </cellXfs>
  <cellStyles count="3">
    <cellStyle name="Millares 2" xfId="2" xr:uid="{91958D6B-183B-4C55-B00D-EB8DF8D9D466}"/>
    <cellStyle name="Millares 3" xfId="1" xr:uid="{07C7A4C9-2360-4E09-B6F6-8304F89FC70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4</xdr:row>
      <xdr:rowOff>139700</xdr:rowOff>
    </xdr:from>
    <xdr:to>
      <xdr:col>5</xdr:col>
      <xdr:colOff>590550</xdr:colOff>
      <xdr:row>10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434E5-8EA5-4C29-7326-C611030AAD1A}"/>
            </a:ext>
          </a:extLst>
        </xdr:cNvPr>
        <xdr:cNvSpPr txBox="1"/>
      </xdr:nvSpPr>
      <xdr:spPr>
        <a:xfrm>
          <a:off x="1898650" y="876300"/>
          <a:ext cx="3054350" cy="111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100" kern="1200"/>
            <a:t>La productividad de todos los productos se expresaran en kg/TAS. Se sabe que una</a:t>
          </a:r>
          <a:r>
            <a:rPr lang="es-DO" sz="1100" kern="1200" baseline="0"/>
            <a:t> lb = 0.4536 y que un quintal es 100 lb, con esto, se procede a calcular la productividad por tarea que sería Quintal/tarea * 45.36</a:t>
          </a:r>
          <a:endParaRPr lang="es-DO" sz="1100" kern="1200"/>
        </a:p>
        <a:p>
          <a:r>
            <a:rPr lang="es-DO" sz="1100" kern="1200"/>
            <a:t>Los precios se expresarán</a:t>
          </a:r>
          <a:r>
            <a:rPr lang="es-DO" sz="1100" kern="1200" baseline="0"/>
            <a:t> en kg </a:t>
          </a:r>
          <a:endParaRPr lang="es-DO" sz="1100" kern="1200"/>
        </a:p>
      </xdr:txBody>
    </xdr:sp>
    <xdr:clientData/>
  </xdr:twoCellAnchor>
  <xdr:twoCellAnchor>
    <xdr:from>
      <xdr:col>4</xdr:col>
      <xdr:colOff>579782</xdr:colOff>
      <xdr:row>19</xdr:row>
      <xdr:rowOff>165652</xdr:rowOff>
    </xdr:from>
    <xdr:to>
      <xdr:col>11</xdr:col>
      <xdr:colOff>510760</xdr:colOff>
      <xdr:row>28</xdr:row>
      <xdr:rowOff>96630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31DFB16-FE8C-B6DC-2C8B-30C6B259EB46}"/>
            </a:ext>
          </a:extLst>
        </xdr:cNvPr>
        <xdr:cNvSpPr txBox="1"/>
      </xdr:nvSpPr>
      <xdr:spPr>
        <a:xfrm>
          <a:off x="5908260" y="3575326"/>
          <a:ext cx="5245652" cy="1546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100" kern="1200"/>
            <a:t>Para septiembre, octubre y noviembre del año 2004, se ulizó el promedio del precio de</a:t>
          </a:r>
          <a:r>
            <a:rPr lang="es-DO" sz="1100" kern="1200" baseline="0"/>
            <a:t> la auyama en ese año para rellenarlo en los meses faltantes.</a:t>
          </a:r>
          <a:endParaRPr lang="es-DO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na%20soriano/Desktop/Costo,%202013,%20En%20Impresion.1/Musaceas%20Impreso/PLATANO%20MANTENIMIENTO%2020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e%20paulino/Downloads/Costo,%202014/Musaceas/GUINEO%20FOMENTO%2020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e%20paulino/Downloads/Costo,%202014/Musaceas/GUINEO%20MANTENIMIENTO%20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>
        <row r="117">
          <cell r="H117">
            <v>3733.480923957306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 refreshError="1">
        <row r="151">
          <cell r="I151">
            <v>7610.0257500159132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>
        <row r="157">
          <cell r="H157">
            <v>4928.8712359556721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F16A-9E6D-46E8-AF7F-1E51DA7F2D15}">
  <dimension ref="A1:M3313"/>
  <sheetViews>
    <sheetView tabSelected="1" zoomScale="42" zoomScaleNormal="10" workbookViewId="0">
      <selection activeCell="H1" sqref="H1"/>
    </sheetView>
  </sheetViews>
  <sheetFormatPr baseColWidth="10" defaultRowHeight="14.5" x14ac:dyDescent="0.35"/>
  <cols>
    <col min="4" max="4" width="15.1796875" bestFit="1" customWidth="1"/>
    <col min="5" max="5" width="21.7265625" bestFit="1" customWidth="1"/>
    <col min="6" max="6" width="24.81640625" bestFit="1" customWidth="1"/>
    <col min="7" max="7" width="23.90625" bestFit="1" customWidth="1"/>
    <col min="8" max="8" width="13.1796875" bestFit="1" customWidth="1"/>
    <col min="9" max="9" width="20.6328125" bestFit="1" customWidth="1"/>
    <col min="10" max="10" width="15.26953125" bestFit="1" customWidth="1"/>
  </cols>
  <sheetData>
    <row r="1" spans="1:11" x14ac:dyDescent="0.35">
      <c r="A1" t="s">
        <v>0</v>
      </c>
      <c r="B1" t="s">
        <v>1</v>
      </c>
      <c r="C1" t="s">
        <v>61</v>
      </c>
      <c r="D1" t="s">
        <v>3</v>
      </c>
      <c r="E1" t="s">
        <v>4</v>
      </c>
      <c r="F1" t="s">
        <v>6</v>
      </c>
      <c r="G1" t="s">
        <v>22</v>
      </c>
      <c r="H1" t="s">
        <v>35</v>
      </c>
      <c r="I1" t="s">
        <v>62</v>
      </c>
      <c r="J1" t="s">
        <v>42</v>
      </c>
      <c r="K1" t="s">
        <v>60</v>
      </c>
    </row>
    <row r="2" spans="1:11" x14ac:dyDescent="0.35">
      <c r="A2" s="1">
        <v>36526</v>
      </c>
      <c r="B2" t="s">
        <v>2</v>
      </c>
      <c r="C2" t="s">
        <v>38</v>
      </c>
      <c r="D2" s="2">
        <v>67860</v>
      </c>
      <c r="E2">
        <v>170243</v>
      </c>
      <c r="F2">
        <f>E2/D2</f>
        <v>2.5087385794282344</v>
      </c>
      <c r="G2">
        <f>F2*45.36</f>
        <v>113.79638196286471</v>
      </c>
      <c r="H2">
        <v>1066.866886688669</v>
      </c>
      <c r="I2" t="s">
        <v>57</v>
      </c>
      <c r="J2">
        <f>H2/110</f>
        <v>9.698789878987899</v>
      </c>
    </row>
    <row r="3" spans="1:11" x14ac:dyDescent="0.35">
      <c r="A3" s="1">
        <v>36557</v>
      </c>
      <c r="B3" t="s">
        <v>2</v>
      </c>
      <c r="C3" t="s">
        <v>38</v>
      </c>
      <c r="D3" s="2">
        <v>15498</v>
      </c>
      <c r="E3">
        <v>35642</v>
      </c>
      <c r="F3">
        <f t="shared" ref="F3:F48" si="0">E3/D3</f>
        <v>2.2997806168537878</v>
      </c>
      <c r="G3">
        <f>F3*45.36</f>
        <v>104.31804878048781</v>
      </c>
      <c r="H3">
        <v>956.45544554455444</v>
      </c>
      <c r="I3" t="s">
        <v>57</v>
      </c>
      <c r="J3">
        <f t="shared" ref="J3:J13" si="1">H3/110</f>
        <v>8.6950495049504948</v>
      </c>
    </row>
    <row r="4" spans="1:11" x14ac:dyDescent="0.35">
      <c r="A4" s="1">
        <v>36586</v>
      </c>
      <c r="B4" t="s">
        <v>2</v>
      </c>
      <c r="C4" t="s">
        <v>38</v>
      </c>
      <c r="D4" s="2">
        <v>7902</v>
      </c>
      <c r="E4">
        <v>23368</v>
      </c>
      <c r="F4">
        <f t="shared" si="0"/>
        <v>2.9572260187294357</v>
      </c>
      <c r="G4">
        <f t="shared" ref="G3:G66" si="2">F4*45.36</f>
        <v>134.13977220956721</v>
      </c>
      <c r="H4">
        <v>1156.0770077007701</v>
      </c>
      <c r="I4" t="s">
        <v>57</v>
      </c>
      <c r="J4">
        <f t="shared" si="1"/>
        <v>10.509790979097909</v>
      </c>
    </row>
    <row r="5" spans="1:11" x14ac:dyDescent="0.35">
      <c r="A5" s="1">
        <v>36617</v>
      </c>
      <c r="B5" t="s">
        <v>2</v>
      </c>
      <c r="C5" t="s">
        <v>38</v>
      </c>
      <c r="D5" s="2">
        <v>37236</v>
      </c>
      <c r="E5">
        <v>139693</v>
      </c>
      <c r="F5">
        <f t="shared" si="0"/>
        <v>3.7515576323987538</v>
      </c>
      <c r="G5">
        <f t="shared" si="2"/>
        <v>170.17065420560746</v>
      </c>
      <c r="H5">
        <v>1093.4895489548953</v>
      </c>
      <c r="I5" t="s">
        <v>57</v>
      </c>
      <c r="J5">
        <f t="shared" si="1"/>
        <v>9.9408140814081385</v>
      </c>
    </row>
    <row r="6" spans="1:11" x14ac:dyDescent="0.35">
      <c r="A6" s="1">
        <v>36647</v>
      </c>
      <c r="B6" t="s">
        <v>2</v>
      </c>
      <c r="C6" t="s">
        <v>38</v>
      </c>
      <c r="D6" s="2">
        <v>222362</v>
      </c>
      <c r="E6">
        <v>1031097</v>
      </c>
      <c r="F6">
        <f t="shared" si="0"/>
        <v>4.6370198145366563</v>
      </c>
      <c r="G6">
        <f t="shared" si="2"/>
        <v>210.33521878738273</v>
      </c>
      <c r="H6">
        <v>1163.5313531353136</v>
      </c>
      <c r="I6" t="s">
        <v>57</v>
      </c>
      <c r="J6">
        <f t="shared" si="1"/>
        <v>10.577557755775578</v>
      </c>
    </row>
    <row r="7" spans="1:11" x14ac:dyDescent="0.35">
      <c r="A7" s="1">
        <v>36678</v>
      </c>
      <c r="B7" t="s">
        <v>2</v>
      </c>
      <c r="C7" t="s">
        <v>38</v>
      </c>
      <c r="D7" s="2">
        <v>340330</v>
      </c>
      <c r="E7">
        <v>1745864</v>
      </c>
      <c r="F7">
        <f t="shared" si="0"/>
        <v>5.1299150824200037</v>
      </c>
      <c r="G7">
        <f t="shared" si="2"/>
        <v>232.69294813857135</v>
      </c>
      <c r="H7">
        <v>1022.7942794279428</v>
      </c>
      <c r="I7" t="s">
        <v>57</v>
      </c>
      <c r="J7">
        <f t="shared" si="1"/>
        <v>9.2981298129812977</v>
      </c>
    </row>
    <row r="8" spans="1:11" x14ac:dyDescent="0.35">
      <c r="A8" s="1">
        <v>36708</v>
      </c>
      <c r="B8" t="s">
        <v>2</v>
      </c>
      <c r="C8" t="s">
        <v>38</v>
      </c>
      <c r="D8" s="2">
        <v>197810</v>
      </c>
      <c r="E8">
        <v>1051585</v>
      </c>
      <c r="F8">
        <f t="shared" si="0"/>
        <v>5.3161366968302914</v>
      </c>
      <c r="G8">
        <f t="shared" si="2"/>
        <v>241.13996056822202</v>
      </c>
      <c r="H8">
        <v>1087.8019801980197</v>
      </c>
      <c r="I8" t="s">
        <v>57</v>
      </c>
      <c r="J8">
        <f t="shared" si="1"/>
        <v>9.8891089108910872</v>
      </c>
    </row>
    <row r="9" spans="1:11" x14ac:dyDescent="0.35">
      <c r="A9" s="1">
        <v>36739</v>
      </c>
      <c r="B9" t="s">
        <v>2</v>
      </c>
      <c r="C9" t="s">
        <v>38</v>
      </c>
      <c r="D9" s="2">
        <v>126214</v>
      </c>
      <c r="E9">
        <v>612099</v>
      </c>
      <c r="F9">
        <f t="shared" si="0"/>
        <v>4.8496917933034371</v>
      </c>
      <c r="G9">
        <f t="shared" si="2"/>
        <v>219.9820197442439</v>
      </c>
      <c r="H9">
        <v>980.80308030803076</v>
      </c>
      <c r="I9" t="s">
        <v>57</v>
      </c>
      <c r="J9">
        <f t="shared" si="1"/>
        <v>8.9163916391639155</v>
      </c>
    </row>
    <row r="10" spans="1:11" x14ac:dyDescent="0.35">
      <c r="A10" s="1">
        <v>36770</v>
      </c>
      <c r="B10" t="s">
        <v>2</v>
      </c>
      <c r="C10" t="s">
        <v>38</v>
      </c>
      <c r="D10" s="2">
        <v>191615</v>
      </c>
      <c r="E10">
        <v>750970</v>
      </c>
      <c r="F10">
        <f t="shared" si="0"/>
        <v>3.919160817263784</v>
      </c>
      <c r="G10">
        <f t="shared" si="2"/>
        <v>177.77313467108524</v>
      </c>
      <c r="H10">
        <v>1007.2321232123213</v>
      </c>
      <c r="I10" t="s">
        <v>57</v>
      </c>
      <c r="J10">
        <f t="shared" si="1"/>
        <v>9.1566556655665572</v>
      </c>
    </row>
    <row r="11" spans="1:11" x14ac:dyDescent="0.35">
      <c r="A11" s="1">
        <v>36800</v>
      </c>
      <c r="B11" t="s">
        <v>2</v>
      </c>
      <c r="C11" t="s">
        <v>38</v>
      </c>
      <c r="D11" s="2">
        <v>322266</v>
      </c>
      <c r="E11">
        <v>1171356</v>
      </c>
      <c r="F11">
        <f t="shared" si="0"/>
        <v>3.6347489341103314</v>
      </c>
      <c r="G11">
        <f t="shared" si="2"/>
        <v>164.87221165124464</v>
      </c>
      <c r="H11">
        <v>944.81408140814074</v>
      </c>
      <c r="I11" t="s">
        <v>57</v>
      </c>
      <c r="J11">
        <f t="shared" si="1"/>
        <v>8.5892189218921882</v>
      </c>
    </row>
    <row r="12" spans="1:11" x14ac:dyDescent="0.35">
      <c r="A12" s="1">
        <v>36831</v>
      </c>
      <c r="B12" t="s">
        <v>2</v>
      </c>
      <c r="C12" t="s">
        <v>38</v>
      </c>
      <c r="D12" s="2">
        <v>300096</v>
      </c>
      <c r="E12">
        <v>1038734</v>
      </c>
      <c r="F12">
        <f t="shared" si="0"/>
        <v>3.4613390381744509</v>
      </c>
      <c r="G12">
        <f t="shared" si="2"/>
        <v>157.00633877159308</v>
      </c>
      <c r="H12">
        <v>996.65566556655654</v>
      </c>
      <c r="I12" t="s">
        <v>57</v>
      </c>
      <c r="J12">
        <f t="shared" si="1"/>
        <v>9.0605060506050599</v>
      </c>
    </row>
    <row r="13" spans="1:11" x14ac:dyDescent="0.35">
      <c r="A13" s="1">
        <v>36861</v>
      </c>
      <c r="B13" t="s">
        <v>2</v>
      </c>
      <c r="C13" t="s">
        <v>38</v>
      </c>
      <c r="D13" s="2">
        <v>164365</v>
      </c>
      <c r="E13">
        <v>546838</v>
      </c>
      <c r="F13">
        <f t="shared" si="0"/>
        <v>3.3269735040915038</v>
      </c>
      <c r="G13">
        <f t="shared" si="2"/>
        <v>150.91151814559061</v>
      </c>
      <c r="H13">
        <v>1068.8514851485147</v>
      </c>
      <c r="I13" t="s">
        <v>57</v>
      </c>
      <c r="J13">
        <f t="shared" si="1"/>
        <v>9.7168316831683157</v>
      </c>
    </row>
    <row r="14" spans="1:11" x14ac:dyDescent="0.35">
      <c r="A14" s="1">
        <v>36526</v>
      </c>
      <c r="B14" t="s">
        <v>5</v>
      </c>
      <c r="C14" t="s">
        <v>38</v>
      </c>
      <c r="D14">
        <v>28486</v>
      </c>
      <c r="E14">
        <v>47296</v>
      </c>
      <c r="F14">
        <f t="shared" si="0"/>
        <v>1.6603243698658989</v>
      </c>
      <c r="G14">
        <f t="shared" si="2"/>
        <v>75.312313417117181</v>
      </c>
      <c r="H14">
        <v>102.74449999999999</v>
      </c>
      <c r="I14" t="s">
        <v>38</v>
      </c>
      <c r="J14">
        <f>H14/45.36</f>
        <v>2.2650903880070543</v>
      </c>
    </row>
    <row r="15" spans="1:11" x14ac:dyDescent="0.35">
      <c r="A15" s="1">
        <v>36557</v>
      </c>
      <c r="B15" t="s">
        <v>5</v>
      </c>
      <c r="C15" t="s">
        <v>38</v>
      </c>
      <c r="D15">
        <v>32095</v>
      </c>
      <c r="E15">
        <v>59991</v>
      </c>
      <c r="F15">
        <f t="shared" si="0"/>
        <v>1.8691696525938619</v>
      </c>
      <c r="G15">
        <f t="shared" si="2"/>
        <v>84.785535441657572</v>
      </c>
      <c r="H15">
        <v>117.71300000000002</v>
      </c>
      <c r="I15" t="s">
        <v>38</v>
      </c>
      <c r="J15">
        <f t="shared" ref="J15:J78" si="3">H15/45.36</f>
        <v>2.5950837742504413</v>
      </c>
    </row>
    <row r="16" spans="1:11" x14ac:dyDescent="0.35">
      <c r="A16" s="1">
        <v>36586</v>
      </c>
      <c r="B16" t="s">
        <v>5</v>
      </c>
      <c r="C16" t="s">
        <v>38</v>
      </c>
      <c r="D16" s="2">
        <v>16370</v>
      </c>
      <c r="E16" s="2">
        <v>28986</v>
      </c>
      <c r="F16">
        <f t="shared" si="0"/>
        <v>1.7706780696395845</v>
      </c>
      <c r="G16">
        <f t="shared" si="2"/>
        <v>80.317957238851548</v>
      </c>
      <c r="H16">
        <v>124.80090000000001</v>
      </c>
      <c r="I16" t="s">
        <v>38</v>
      </c>
      <c r="J16">
        <f t="shared" si="3"/>
        <v>2.751342592592593</v>
      </c>
    </row>
    <row r="17" spans="1:10" x14ac:dyDescent="0.35">
      <c r="A17" s="1">
        <v>36617</v>
      </c>
      <c r="B17" t="s">
        <v>5</v>
      </c>
      <c r="C17" t="s">
        <v>38</v>
      </c>
      <c r="D17">
        <v>21666</v>
      </c>
      <c r="E17">
        <v>40527</v>
      </c>
      <c r="F17">
        <f t="shared" si="0"/>
        <v>1.8705344779839379</v>
      </c>
      <c r="G17">
        <f t="shared" si="2"/>
        <v>84.847443921351427</v>
      </c>
      <c r="H17">
        <v>155.20685714285713</v>
      </c>
      <c r="I17" t="s">
        <v>38</v>
      </c>
      <c r="J17">
        <f t="shared" si="3"/>
        <v>3.4216679264298309</v>
      </c>
    </row>
    <row r="18" spans="1:10" x14ac:dyDescent="0.35">
      <c r="A18" s="1">
        <v>36647</v>
      </c>
      <c r="B18" t="s">
        <v>5</v>
      </c>
      <c r="C18" t="s">
        <v>38</v>
      </c>
      <c r="D18">
        <v>15499</v>
      </c>
      <c r="E18">
        <v>30310</v>
      </c>
      <c r="F18">
        <f t="shared" si="0"/>
        <v>1.9556100393573779</v>
      </c>
      <c r="G18">
        <f t="shared" si="2"/>
        <v>88.706471385250666</v>
      </c>
      <c r="H18">
        <v>161.376</v>
      </c>
      <c r="I18" t="s">
        <v>38</v>
      </c>
      <c r="J18">
        <f t="shared" si="3"/>
        <v>3.5576719576719578</v>
      </c>
    </row>
    <row r="19" spans="1:10" x14ac:dyDescent="0.35">
      <c r="A19" s="1">
        <v>36678</v>
      </c>
      <c r="B19" t="s">
        <v>5</v>
      </c>
      <c r="C19" t="s">
        <v>38</v>
      </c>
      <c r="D19">
        <v>20946</v>
      </c>
      <c r="E19">
        <v>35647</v>
      </c>
      <c r="F19">
        <f t="shared" si="0"/>
        <v>1.7018523823164327</v>
      </c>
      <c r="G19">
        <f t="shared" si="2"/>
        <v>77.196024061873388</v>
      </c>
      <c r="H19">
        <v>143.10516000000001</v>
      </c>
      <c r="I19" t="s">
        <v>38</v>
      </c>
      <c r="J19">
        <f t="shared" si="3"/>
        <v>3.1548756613756619</v>
      </c>
    </row>
    <row r="20" spans="1:10" x14ac:dyDescent="0.35">
      <c r="A20" s="1">
        <v>36708</v>
      </c>
      <c r="B20" t="s">
        <v>5</v>
      </c>
      <c r="C20" t="s">
        <v>38</v>
      </c>
      <c r="D20">
        <v>20492</v>
      </c>
      <c r="E20">
        <v>33257</v>
      </c>
      <c r="F20">
        <f t="shared" si="0"/>
        <v>1.6229260199102089</v>
      </c>
      <c r="G20">
        <f t="shared" si="2"/>
        <v>73.61592426312707</v>
      </c>
      <c r="H20">
        <v>120.24</v>
      </c>
      <c r="I20" t="s">
        <v>38</v>
      </c>
      <c r="J20">
        <f t="shared" si="3"/>
        <v>2.6507936507936507</v>
      </c>
    </row>
    <row r="21" spans="1:10" x14ac:dyDescent="0.35">
      <c r="A21" s="1">
        <v>36739</v>
      </c>
      <c r="B21" t="s">
        <v>5</v>
      </c>
      <c r="C21" t="s">
        <v>38</v>
      </c>
      <c r="D21">
        <v>34200</v>
      </c>
      <c r="E21">
        <v>57065</v>
      </c>
      <c r="F21">
        <f t="shared" si="0"/>
        <v>1.6685672514619883</v>
      </c>
      <c r="G21">
        <f t="shared" si="2"/>
        <v>75.68621052631579</v>
      </c>
      <c r="H21">
        <v>114.89760000000001</v>
      </c>
      <c r="I21" t="s">
        <v>38</v>
      </c>
      <c r="J21">
        <f t="shared" si="3"/>
        <v>2.5330158730158732</v>
      </c>
    </row>
    <row r="22" spans="1:10" x14ac:dyDescent="0.35">
      <c r="A22" s="1">
        <v>36770</v>
      </c>
      <c r="B22" t="s">
        <v>5</v>
      </c>
      <c r="C22" t="s">
        <v>38</v>
      </c>
      <c r="D22">
        <v>24151</v>
      </c>
      <c r="E22">
        <v>39667</v>
      </c>
      <c r="F22">
        <f t="shared" si="0"/>
        <v>1.642457869239369</v>
      </c>
      <c r="G22">
        <f t="shared" si="2"/>
        <v>74.501888948697783</v>
      </c>
      <c r="H22">
        <v>130.06774999999999</v>
      </c>
      <c r="I22" t="s">
        <v>38</v>
      </c>
      <c r="J22">
        <f t="shared" si="3"/>
        <v>2.8674548059964726</v>
      </c>
    </row>
    <row r="23" spans="1:10" x14ac:dyDescent="0.35">
      <c r="A23" s="1">
        <v>36800</v>
      </c>
      <c r="B23" t="s">
        <v>5</v>
      </c>
      <c r="C23" t="s">
        <v>38</v>
      </c>
      <c r="D23">
        <v>29711</v>
      </c>
      <c r="E23">
        <v>50863</v>
      </c>
      <c r="F23">
        <f t="shared" si="0"/>
        <v>1.711924876308438</v>
      </c>
      <c r="G23">
        <f t="shared" si="2"/>
        <v>77.652912389350746</v>
      </c>
      <c r="H23">
        <v>107.06399999999999</v>
      </c>
      <c r="I23" t="s">
        <v>38</v>
      </c>
      <c r="J23">
        <f t="shared" si="3"/>
        <v>2.3603174603174604</v>
      </c>
    </row>
    <row r="24" spans="1:10" x14ac:dyDescent="0.35">
      <c r="A24" s="1">
        <v>36831</v>
      </c>
      <c r="B24" t="s">
        <v>5</v>
      </c>
      <c r="C24" t="s">
        <v>38</v>
      </c>
      <c r="D24">
        <v>36728</v>
      </c>
      <c r="E24">
        <v>63486</v>
      </c>
      <c r="F24">
        <f t="shared" si="0"/>
        <v>1.7285449793073404</v>
      </c>
      <c r="G24">
        <f t="shared" si="2"/>
        <v>78.406800261380965</v>
      </c>
      <c r="H24">
        <v>118.041</v>
      </c>
      <c r="I24" t="s">
        <v>38</v>
      </c>
      <c r="J24">
        <f t="shared" si="3"/>
        <v>2.602314814814815</v>
      </c>
    </row>
    <row r="25" spans="1:10" x14ac:dyDescent="0.35">
      <c r="A25" s="1">
        <v>36861</v>
      </c>
      <c r="B25" t="s">
        <v>5</v>
      </c>
      <c r="C25" t="s">
        <v>38</v>
      </c>
      <c r="D25">
        <v>27775</v>
      </c>
      <c r="E25">
        <v>40210</v>
      </c>
      <c r="F25">
        <f t="shared" si="0"/>
        <v>1.4477047704770476</v>
      </c>
      <c r="G25">
        <f t="shared" si="2"/>
        <v>65.667888388838875</v>
      </c>
      <c r="H25">
        <v>127.90208333333334</v>
      </c>
      <c r="I25" t="s">
        <v>38</v>
      </c>
      <c r="J25">
        <f t="shared" si="3"/>
        <v>2.8197108318636097</v>
      </c>
    </row>
    <row r="26" spans="1:10" x14ac:dyDescent="0.35">
      <c r="A26" s="1">
        <v>36526</v>
      </c>
      <c r="B26" t="s">
        <v>7</v>
      </c>
      <c r="C26" t="s">
        <v>38</v>
      </c>
      <c r="D26">
        <v>9640</v>
      </c>
      <c r="E26">
        <v>84657</v>
      </c>
      <c r="F26">
        <f t="shared" si="0"/>
        <v>8.7818464730290451</v>
      </c>
      <c r="G26">
        <f t="shared" si="2"/>
        <v>398.34455601659749</v>
      </c>
      <c r="H26">
        <v>115.5</v>
      </c>
      <c r="I26" t="s">
        <v>38</v>
      </c>
      <c r="J26">
        <f t="shared" si="3"/>
        <v>2.5462962962962963</v>
      </c>
    </row>
    <row r="27" spans="1:10" x14ac:dyDescent="0.35">
      <c r="A27" s="1">
        <v>36557</v>
      </c>
      <c r="B27" t="s">
        <v>7</v>
      </c>
      <c r="C27" t="s">
        <v>38</v>
      </c>
      <c r="D27">
        <v>11399</v>
      </c>
      <c r="E27">
        <v>91106</v>
      </c>
      <c r="F27">
        <f t="shared" si="0"/>
        <v>7.9924554785507498</v>
      </c>
      <c r="G27">
        <f t="shared" si="2"/>
        <v>362.537780507062</v>
      </c>
      <c r="H27">
        <v>107.81874999999999</v>
      </c>
      <c r="I27" t="s">
        <v>38</v>
      </c>
      <c r="J27">
        <f t="shared" si="3"/>
        <v>2.3769565696649031</v>
      </c>
    </row>
    <row r="28" spans="1:10" x14ac:dyDescent="0.35">
      <c r="A28" s="1">
        <v>36586</v>
      </c>
      <c r="B28" t="s">
        <v>7</v>
      </c>
      <c r="C28" t="s">
        <v>38</v>
      </c>
      <c r="D28">
        <v>13867</v>
      </c>
      <c r="E28">
        <v>91297</v>
      </c>
      <c r="F28">
        <f t="shared" si="0"/>
        <v>6.5837600057690917</v>
      </c>
      <c r="G28">
        <f t="shared" si="2"/>
        <v>298.639353861686</v>
      </c>
      <c r="H28">
        <v>115.08333333333333</v>
      </c>
      <c r="I28" t="s">
        <v>38</v>
      </c>
      <c r="J28">
        <f t="shared" si="3"/>
        <v>2.5371105232216342</v>
      </c>
    </row>
    <row r="29" spans="1:10" x14ac:dyDescent="0.35">
      <c r="A29" s="1">
        <v>36617</v>
      </c>
      <c r="B29" t="s">
        <v>7</v>
      </c>
      <c r="C29" t="s">
        <v>38</v>
      </c>
      <c r="D29">
        <v>14368</v>
      </c>
      <c r="E29">
        <v>121113</v>
      </c>
      <c r="F29">
        <f t="shared" si="0"/>
        <v>8.429356904231625</v>
      </c>
      <c r="G29">
        <f t="shared" si="2"/>
        <v>382.35562917594649</v>
      </c>
      <c r="H29">
        <v>123.71875</v>
      </c>
      <c r="I29" t="s">
        <v>38</v>
      </c>
      <c r="J29">
        <f t="shared" si="3"/>
        <v>2.7274856701940036</v>
      </c>
    </row>
    <row r="30" spans="1:10" x14ac:dyDescent="0.35">
      <c r="A30" s="1">
        <v>36647</v>
      </c>
      <c r="B30" t="s">
        <v>7</v>
      </c>
      <c r="C30" t="s">
        <v>38</v>
      </c>
      <c r="D30">
        <v>9374</v>
      </c>
      <c r="E30">
        <v>84337</v>
      </c>
      <c r="F30">
        <f t="shared" si="0"/>
        <v>8.9969063366759112</v>
      </c>
      <c r="G30">
        <f t="shared" si="2"/>
        <v>408.09967143161936</v>
      </c>
      <c r="H30">
        <v>134.25</v>
      </c>
      <c r="I30" t="s">
        <v>38</v>
      </c>
      <c r="J30">
        <f t="shared" si="3"/>
        <v>2.9596560846560847</v>
      </c>
    </row>
    <row r="31" spans="1:10" x14ac:dyDescent="0.35">
      <c r="A31" s="1">
        <v>36678</v>
      </c>
      <c r="B31" t="s">
        <v>7</v>
      </c>
      <c r="C31" t="s">
        <v>38</v>
      </c>
      <c r="D31">
        <v>6013</v>
      </c>
      <c r="E31">
        <v>51372</v>
      </c>
      <c r="F31">
        <f t="shared" si="0"/>
        <v>8.5434891069349739</v>
      </c>
      <c r="G31">
        <f t="shared" si="2"/>
        <v>387.5326658905704</v>
      </c>
      <c r="H31">
        <v>123.75</v>
      </c>
      <c r="I31" t="s">
        <v>38</v>
      </c>
      <c r="J31">
        <f t="shared" si="3"/>
        <v>2.7281746031746033</v>
      </c>
    </row>
    <row r="32" spans="1:10" x14ac:dyDescent="0.35">
      <c r="A32" s="1">
        <v>36708</v>
      </c>
      <c r="B32" t="s">
        <v>7</v>
      </c>
      <c r="C32" t="s">
        <v>38</v>
      </c>
      <c r="D32">
        <v>6060</v>
      </c>
      <c r="E32">
        <v>56115</v>
      </c>
      <c r="F32">
        <f t="shared" si="0"/>
        <v>9.259900990099009</v>
      </c>
      <c r="G32">
        <f t="shared" si="2"/>
        <v>420.02910891089107</v>
      </c>
      <c r="H32">
        <v>137</v>
      </c>
      <c r="I32" t="s">
        <v>38</v>
      </c>
      <c r="J32">
        <f t="shared" si="3"/>
        <v>3.0202821869488536</v>
      </c>
    </row>
    <row r="33" spans="1:10" x14ac:dyDescent="0.35">
      <c r="A33" s="1">
        <v>36739</v>
      </c>
      <c r="B33" t="s">
        <v>7</v>
      </c>
      <c r="C33" t="s">
        <v>38</v>
      </c>
      <c r="D33">
        <v>3293</v>
      </c>
      <c r="E33">
        <v>32040</v>
      </c>
      <c r="F33">
        <f t="shared" si="0"/>
        <v>9.7297297297297298</v>
      </c>
      <c r="G33">
        <f t="shared" si="2"/>
        <v>441.34054054054053</v>
      </c>
      <c r="H33">
        <v>165.02333333333334</v>
      </c>
      <c r="I33" t="s">
        <v>38</v>
      </c>
      <c r="J33">
        <f t="shared" si="3"/>
        <v>3.638080540858319</v>
      </c>
    </row>
    <row r="34" spans="1:10" x14ac:dyDescent="0.35">
      <c r="A34" s="1">
        <v>36770</v>
      </c>
      <c r="B34" t="s">
        <v>7</v>
      </c>
      <c r="C34" t="s">
        <v>38</v>
      </c>
      <c r="D34">
        <v>5172</v>
      </c>
      <c r="E34">
        <v>48392</v>
      </c>
      <c r="F34">
        <f t="shared" si="0"/>
        <v>9.3565351894818249</v>
      </c>
      <c r="G34">
        <f t="shared" si="2"/>
        <v>424.41243619489558</v>
      </c>
      <c r="H34">
        <v>164.79166666666666</v>
      </c>
      <c r="I34" t="s">
        <v>38</v>
      </c>
      <c r="J34">
        <f t="shared" si="3"/>
        <v>3.6329732510288064</v>
      </c>
    </row>
    <row r="35" spans="1:10" x14ac:dyDescent="0.35">
      <c r="A35" s="1">
        <v>36800</v>
      </c>
      <c r="B35" t="s">
        <v>7</v>
      </c>
      <c r="C35" t="s">
        <v>38</v>
      </c>
      <c r="D35">
        <v>5534</v>
      </c>
      <c r="E35">
        <v>52684</v>
      </c>
      <c r="F35">
        <f t="shared" si="0"/>
        <v>9.5200578243585117</v>
      </c>
      <c r="G35">
        <f t="shared" si="2"/>
        <v>431.8298229129021</v>
      </c>
      <c r="H35">
        <v>175.91749999999999</v>
      </c>
      <c r="I35" t="s">
        <v>38</v>
      </c>
      <c r="J35">
        <f t="shared" si="3"/>
        <v>3.8782517636684299</v>
      </c>
    </row>
    <row r="36" spans="1:10" x14ac:dyDescent="0.35">
      <c r="A36" s="1">
        <v>36831</v>
      </c>
      <c r="B36" t="s">
        <v>7</v>
      </c>
      <c r="C36" t="s">
        <v>38</v>
      </c>
      <c r="D36">
        <v>5259</v>
      </c>
      <c r="E36">
        <v>48016</v>
      </c>
      <c r="F36">
        <f t="shared" si="0"/>
        <v>9.1302528997908343</v>
      </c>
      <c r="G36">
        <f t="shared" si="2"/>
        <v>414.14827153451222</v>
      </c>
      <c r="H36">
        <v>168.36600000000001</v>
      </c>
      <c r="I36" t="s">
        <v>38</v>
      </c>
      <c r="J36">
        <f t="shared" si="3"/>
        <v>3.7117724867724871</v>
      </c>
    </row>
    <row r="37" spans="1:10" x14ac:dyDescent="0.35">
      <c r="A37" s="1">
        <v>36861</v>
      </c>
      <c r="B37" t="s">
        <v>7</v>
      </c>
      <c r="C37" t="s">
        <v>38</v>
      </c>
      <c r="D37">
        <v>6686</v>
      </c>
      <c r="E37">
        <v>50546</v>
      </c>
      <c r="F37">
        <f t="shared" si="0"/>
        <v>7.5599760693987434</v>
      </c>
      <c r="G37">
        <f t="shared" si="2"/>
        <v>342.92051450792701</v>
      </c>
      <c r="H37">
        <v>157.5</v>
      </c>
      <c r="I37" t="s">
        <v>38</v>
      </c>
      <c r="J37">
        <f t="shared" si="3"/>
        <v>3.4722222222222223</v>
      </c>
    </row>
    <row r="38" spans="1:10" x14ac:dyDescent="0.35">
      <c r="A38" s="1">
        <v>36526</v>
      </c>
      <c r="B38" t="s">
        <v>8</v>
      </c>
      <c r="C38" t="s">
        <v>38</v>
      </c>
      <c r="D38">
        <v>3329</v>
      </c>
      <c r="E38">
        <v>27225</v>
      </c>
      <c r="F38">
        <f t="shared" si="0"/>
        <v>8.1781315710423552</v>
      </c>
      <c r="G38">
        <f t="shared" si="2"/>
        <v>370.96004806248123</v>
      </c>
      <c r="H38">
        <v>403.125</v>
      </c>
      <c r="I38" t="s">
        <v>38</v>
      </c>
      <c r="J38">
        <f t="shared" si="3"/>
        <v>8.8872354497354493</v>
      </c>
    </row>
    <row r="39" spans="1:10" x14ac:dyDescent="0.35">
      <c r="A39" s="1">
        <v>36557</v>
      </c>
      <c r="B39" t="s">
        <v>8</v>
      </c>
      <c r="C39" t="s">
        <v>38</v>
      </c>
      <c r="D39">
        <v>2835</v>
      </c>
      <c r="E39">
        <v>22330</v>
      </c>
      <c r="F39">
        <f t="shared" si="0"/>
        <v>7.8765432098765435</v>
      </c>
      <c r="G39">
        <f t="shared" si="2"/>
        <v>357.28000000000003</v>
      </c>
      <c r="H39">
        <v>276.51428571428568</v>
      </c>
      <c r="I39" t="s">
        <v>38</v>
      </c>
      <c r="J39">
        <f t="shared" si="3"/>
        <v>6.0959939531368095</v>
      </c>
    </row>
    <row r="40" spans="1:10" x14ac:dyDescent="0.35">
      <c r="A40" s="1">
        <v>36586</v>
      </c>
      <c r="B40" t="s">
        <v>8</v>
      </c>
      <c r="C40" t="s">
        <v>38</v>
      </c>
      <c r="D40">
        <v>3221</v>
      </c>
      <c r="E40">
        <v>28232</v>
      </c>
      <c r="F40">
        <f t="shared" si="0"/>
        <v>8.7649798199316979</v>
      </c>
      <c r="G40">
        <f t="shared" si="2"/>
        <v>397.57948463210181</v>
      </c>
      <c r="H40">
        <v>274.26799999999997</v>
      </c>
      <c r="I40" t="s">
        <v>38</v>
      </c>
      <c r="J40">
        <f t="shared" si="3"/>
        <v>6.0464726631393289</v>
      </c>
    </row>
    <row r="41" spans="1:10" x14ac:dyDescent="0.35">
      <c r="A41" s="1">
        <v>36617</v>
      </c>
      <c r="B41" t="s">
        <v>8</v>
      </c>
      <c r="C41" t="s">
        <v>38</v>
      </c>
      <c r="D41">
        <v>1498</v>
      </c>
      <c r="E41">
        <v>11835</v>
      </c>
      <c r="F41">
        <f t="shared" si="0"/>
        <v>7.9005340453938588</v>
      </c>
      <c r="G41">
        <f t="shared" si="2"/>
        <v>358.36822429906545</v>
      </c>
      <c r="H41">
        <v>278.22166666666664</v>
      </c>
      <c r="I41" t="s">
        <v>38</v>
      </c>
      <c r="J41">
        <f t="shared" si="3"/>
        <v>6.1336346266901813</v>
      </c>
    </row>
    <row r="42" spans="1:10" x14ac:dyDescent="0.35">
      <c r="A42" s="1">
        <v>36647</v>
      </c>
      <c r="B42" t="s">
        <v>8</v>
      </c>
      <c r="C42" t="s">
        <v>38</v>
      </c>
      <c r="D42">
        <v>6458</v>
      </c>
      <c r="E42">
        <v>62292</v>
      </c>
      <c r="F42">
        <f t="shared" si="0"/>
        <v>9.645710746361102</v>
      </c>
      <c r="G42">
        <f t="shared" si="2"/>
        <v>437.52943945493956</v>
      </c>
      <c r="H42">
        <v>378.875</v>
      </c>
      <c r="I42" t="s">
        <v>38</v>
      </c>
      <c r="J42">
        <f t="shared" si="3"/>
        <v>8.3526234567901234</v>
      </c>
    </row>
    <row r="43" spans="1:10" x14ac:dyDescent="0.35">
      <c r="A43" s="1">
        <v>36678</v>
      </c>
      <c r="B43" t="s">
        <v>8</v>
      </c>
      <c r="C43" t="s">
        <v>38</v>
      </c>
      <c r="D43">
        <v>2583</v>
      </c>
      <c r="E43">
        <v>23404</v>
      </c>
      <c r="F43">
        <f t="shared" si="0"/>
        <v>9.0607820363917924</v>
      </c>
      <c r="G43">
        <f t="shared" si="2"/>
        <v>410.99707317073171</v>
      </c>
      <c r="H43">
        <v>329.125</v>
      </c>
      <c r="I43" t="s">
        <v>38</v>
      </c>
      <c r="J43">
        <f t="shared" si="3"/>
        <v>7.255842151675485</v>
      </c>
    </row>
    <row r="44" spans="1:10" x14ac:dyDescent="0.35">
      <c r="A44" s="1">
        <v>36708</v>
      </c>
      <c r="B44" t="s">
        <v>8</v>
      </c>
      <c r="C44" t="s">
        <v>38</v>
      </c>
      <c r="D44">
        <v>1378</v>
      </c>
      <c r="E44">
        <v>12338</v>
      </c>
      <c r="F44">
        <f t="shared" si="0"/>
        <v>8.9535558780841793</v>
      </c>
      <c r="G44">
        <f t="shared" si="2"/>
        <v>406.13329462989839</v>
      </c>
      <c r="H44">
        <v>344.77833333333336</v>
      </c>
      <c r="I44" t="s">
        <v>38</v>
      </c>
      <c r="J44">
        <f t="shared" si="3"/>
        <v>7.6009332745443867</v>
      </c>
    </row>
    <row r="45" spans="1:10" x14ac:dyDescent="0.35">
      <c r="A45" s="1">
        <v>36739</v>
      </c>
      <c r="B45" t="s">
        <v>8</v>
      </c>
      <c r="C45" t="s">
        <v>38</v>
      </c>
      <c r="D45">
        <v>4119</v>
      </c>
      <c r="E45">
        <v>40208</v>
      </c>
      <c r="F45">
        <f t="shared" si="0"/>
        <v>9.7615926195678568</v>
      </c>
      <c r="G45">
        <f t="shared" si="2"/>
        <v>442.78584122359797</v>
      </c>
      <c r="H45">
        <v>338.14400000000001</v>
      </c>
      <c r="I45" t="s">
        <v>38</v>
      </c>
      <c r="J45">
        <f t="shared" si="3"/>
        <v>7.454673721340388</v>
      </c>
    </row>
    <row r="46" spans="1:10" x14ac:dyDescent="0.35">
      <c r="A46" s="1">
        <v>36770</v>
      </c>
      <c r="B46" t="s">
        <v>8</v>
      </c>
      <c r="C46" t="s">
        <v>38</v>
      </c>
      <c r="D46">
        <v>3482</v>
      </c>
      <c r="E46">
        <v>33645</v>
      </c>
      <c r="F46">
        <f t="shared" si="0"/>
        <v>9.6625502584721428</v>
      </c>
      <c r="G46">
        <f t="shared" si="2"/>
        <v>438.29327972429638</v>
      </c>
      <c r="H46">
        <v>270.3125</v>
      </c>
      <c r="I46" t="s">
        <v>38</v>
      </c>
      <c r="J46">
        <f t="shared" si="3"/>
        <v>5.9592702821869485</v>
      </c>
    </row>
    <row r="47" spans="1:10" x14ac:dyDescent="0.35">
      <c r="A47" s="1">
        <v>36800</v>
      </c>
      <c r="B47" t="s">
        <v>8</v>
      </c>
      <c r="C47" t="s">
        <v>38</v>
      </c>
      <c r="D47">
        <v>896</v>
      </c>
      <c r="E47">
        <v>7952</v>
      </c>
      <c r="F47">
        <f t="shared" si="0"/>
        <v>8.875</v>
      </c>
      <c r="G47">
        <f t="shared" si="2"/>
        <v>402.57</v>
      </c>
      <c r="H47">
        <v>248.58499999999998</v>
      </c>
      <c r="I47" t="s">
        <v>38</v>
      </c>
      <c r="J47">
        <f t="shared" si="3"/>
        <v>5.4802689594356258</v>
      </c>
    </row>
    <row r="48" spans="1:10" x14ac:dyDescent="0.35">
      <c r="A48" s="1">
        <v>36831</v>
      </c>
      <c r="B48" t="s">
        <v>8</v>
      </c>
      <c r="C48" t="s">
        <v>38</v>
      </c>
      <c r="D48">
        <v>1685</v>
      </c>
      <c r="E48">
        <v>14424</v>
      </c>
      <c r="F48">
        <f t="shared" si="0"/>
        <v>8.5602373887240351</v>
      </c>
      <c r="G48">
        <f t="shared" si="2"/>
        <v>388.29236795252223</v>
      </c>
      <c r="H48">
        <v>195.9375</v>
      </c>
      <c r="I48" t="s">
        <v>38</v>
      </c>
      <c r="J48">
        <f t="shared" si="3"/>
        <v>4.3196097883597888</v>
      </c>
    </row>
    <row r="49" spans="1:10" x14ac:dyDescent="0.35">
      <c r="A49" s="1">
        <v>36861</v>
      </c>
      <c r="B49" t="s">
        <v>8</v>
      </c>
      <c r="C49" t="s">
        <v>38</v>
      </c>
      <c r="D49">
        <v>1781</v>
      </c>
      <c r="E49">
        <v>15535</v>
      </c>
      <c r="F49">
        <f>E49/D49</f>
        <v>8.7226277372262775</v>
      </c>
      <c r="G49">
        <f t="shared" si="2"/>
        <v>395.65839416058395</v>
      </c>
      <c r="H49">
        <v>187.91666666666669</v>
      </c>
      <c r="I49" t="s">
        <v>38</v>
      </c>
      <c r="J49">
        <f t="shared" si="3"/>
        <v>4.1427836566725462</v>
      </c>
    </row>
    <row r="50" spans="1:10" x14ac:dyDescent="0.35">
      <c r="A50" s="1">
        <v>36526</v>
      </c>
      <c r="B50" t="s">
        <v>9</v>
      </c>
      <c r="C50" t="s">
        <v>38</v>
      </c>
      <c r="D50">
        <v>2767</v>
      </c>
      <c r="E50">
        <v>41293</v>
      </c>
      <c r="F50">
        <f t="shared" ref="F50:F113" si="4">E50/D50</f>
        <v>14.923382724972894</v>
      </c>
      <c r="G50">
        <f t="shared" si="2"/>
        <v>676.92464040477046</v>
      </c>
      <c r="H50">
        <v>307.5</v>
      </c>
      <c r="I50" t="s">
        <v>38</v>
      </c>
      <c r="J50">
        <f t="shared" si="3"/>
        <v>6.7791005291005293</v>
      </c>
    </row>
    <row r="51" spans="1:10" x14ac:dyDescent="0.35">
      <c r="A51" s="1">
        <v>36557</v>
      </c>
      <c r="B51" t="s">
        <v>9</v>
      </c>
      <c r="C51" t="s">
        <v>38</v>
      </c>
      <c r="D51">
        <v>5755</v>
      </c>
      <c r="E51">
        <v>132689</v>
      </c>
      <c r="F51">
        <f t="shared" si="4"/>
        <v>23.056298870547351</v>
      </c>
      <c r="G51">
        <f t="shared" si="2"/>
        <v>1045.8337167680279</v>
      </c>
      <c r="H51">
        <v>332.8</v>
      </c>
      <c r="I51" t="s">
        <v>38</v>
      </c>
      <c r="J51">
        <f t="shared" si="3"/>
        <v>7.336860670194004</v>
      </c>
    </row>
    <row r="52" spans="1:10" x14ac:dyDescent="0.35">
      <c r="A52" s="1">
        <v>36586</v>
      </c>
      <c r="B52" t="s">
        <v>9</v>
      </c>
      <c r="C52" t="s">
        <v>38</v>
      </c>
      <c r="D52">
        <v>1566</v>
      </c>
      <c r="E52">
        <v>25493</v>
      </c>
      <c r="F52">
        <f t="shared" si="4"/>
        <v>16.279054916985952</v>
      </c>
      <c r="G52">
        <f t="shared" si="2"/>
        <v>738.41793103448276</v>
      </c>
      <c r="H52">
        <v>288.22500000000002</v>
      </c>
      <c r="I52" t="s">
        <v>38</v>
      </c>
      <c r="J52">
        <f t="shared" si="3"/>
        <v>6.354166666666667</v>
      </c>
    </row>
    <row r="53" spans="1:10" x14ac:dyDescent="0.35">
      <c r="A53" s="1">
        <v>36617</v>
      </c>
      <c r="B53" t="s">
        <v>9</v>
      </c>
      <c r="C53" t="s">
        <v>38</v>
      </c>
      <c r="D53">
        <v>2281</v>
      </c>
      <c r="E53">
        <v>39891</v>
      </c>
      <c r="F53">
        <f t="shared" si="4"/>
        <v>17.488382288469968</v>
      </c>
      <c r="G53">
        <f t="shared" si="2"/>
        <v>793.27302060499767</v>
      </c>
      <c r="H53">
        <v>302.40985000000001</v>
      </c>
      <c r="I53" t="s">
        <v>38</v>
      </c>
      <c r="J53">
        <f t="shared" si="3"/>
        <v>6.6668838183421517</v>
      </c>
    </row>
    <row r="54" spans="1:10" x14ac:dyDescent="0.35">
      <c r="A54" s="1">
        <v>36647</v>
      </c>
      <c r="B54" t="s">
        <v>9</v>
      </c>
      <c r="C54" t="s">
        <v>38</v>
      </c>
      <c r="D54">
        <v>2773</v>
      </c>
      <c r="E54">
        <v>59185</v>
      </c>
      <c r="F54">
        <f t="shared" si="4"/>
        <v>21.343310494049767</v>
      </c>
      <c r="G54">
        <f t="shared" si="2"/>
        <v>968.13256401009744</v>
      </c>
      <c r="H54">
        <v>269.77999999999997</v>
      </c>
      <c r="I54" t="s">
        <v>38</v>
      </c>
      <c r="J54">
        <f t="shared" si="3"/>
        <v>5.94753086419753</v>
      </c>
    </row>
    <row r="55" spans="1:10" x14ac:dyDescent="0.35">
      <c r="A55" s="1">
        <v>36678</v>
      </c>
      <c r="B55" t="s">
        <v>9</v>
      </c>
      <c r="C55" t="s">
        <v>38</v>
      </c>
      <c r="D55">
        <v>2589</v>
      </c>
      <c r="E55">
        <v>51034</v>
      </c>
      <c r="F55">
        <f t="shared" si="4"/>
        <v>19.711857860177673</v>
      </c>
      <c r="G55">
        <f t="shared" si="2"/>
        <v>894.12987253765925</v>
      </c>
      <c r="H55">
        <v>296.10000000000002</v>
      </c>
      <c r="I55" t="s">
        <v>38</v>
      </c>
      <c r="J55">
        <f t="shared" si="3"/>
        <v>6.5277777777777786</v>
      </c>
    </row>
    <row r="56" spans="1:10" x14ac:dyDescent="0.35">
      <c r="A56" s="1">
        <v>36708</v>
      </c>
      <c r="B56" t="s">
        <v>9</v>
      </c>
      <c r="C56" t="s">
        <v>38</v>
      </c>
      <c r="D56">
        <v>1426</v>
      </c>
      <c r="E56">
        <v>28465</v>
      </c>
      <c r="F56">
        <f t="shared" si="4"/>
        <v>19.961430575035063</v>
      </c>
      <c r="G56">
        <f t="shared" si="2"/>
        <v>905.45049088359042</v>
      </c>
      <c r="H56">
        <v>241.9</v>
      </c>
      <c r="I56" t="s">
        <v>38</v>
      </c>
      <c r="J56">
        <f t="shared" si="3"/>
        <v>5.3328924162257501</v>
      </c>
    </row>
    <row r="57" spans="1:10" x14ac:dyDescent="0.35">
      <c r="A57" s="1">
        <v>36739</v>
      </c>
      <c r="B57" t="s">
        <v>9</v>
      </c>
      <c r="C57" t="s">
        <v>38</v>
      </c>
      <c r="D57">
        <v>1269</v>
      </c>
      <c r="E57">
        <v>23192</v>
      </c>
      <c r="F57">
        <f t="shared" si="4"/>
        <v>18.275807722616232</v>
      </c>
      <c r="G57">
        <f t="shared" si="2"/>
        <v>828.99063829787224</v>
      </c>
      <c r="H57">
        <v>280.60649999999998</v>
      </c>
      <c r="I57" t="s">
        <v>38</v>
      </c>
      <c r="J57">
        <f t="shared" si="3"/>
        <v>6.1862103174603176</v>
      </c>
    </row>
    <row r="58" spans="1:10" x14ac:dyDescent="0.35">
      <c r="A58" s="1">
        <v>36770</v>
      </c>
      <c r="B58" t="s">
        <v>9</v>
      </c>
      <c r="C58" t="s">
        <v>38</v>
      </c>
      <c r="D58">
        <v>2130</v>
      </c>
      <c r="E58">
        <v>40834</v>
      </c>
      <c r="F58">
        <f t="shared" si="4"/>
        <v>19.170892018779341</v>
      </c>
      <c r="G58">
        <f t="shared" si="2"/>
        <v>869.59166197183094</v>
      </c>
      <c r="H58">
        <v>213.0641875</v>
      </c>
      <c r="I58" t="s">
        <v>38</v>
      </c>
      <c r="J58">
        <f t="shared" si="3"/>
        <v>4.6971822641093475</v>
      </c>
    </row>
    <row r="59" spans="1:10" x14ac:dyDescent="0.35">
      <c r="A59" s="1">
        <v>36800</v>
      </c>
      <c r="B59" t="s">
        <v>9</v>
      </c>
      <c r="C59" t="s">
        <v>38</v>
      </c>
      <c r="D59">
        <v>2303</v>
      </c>
      <c r="E59">
        <v>48566</v>
      </c>
      <c r="F59">
        <f t="shared" si="4"/>
        <v>21.088145896656535</v>
      </c>
      <c r="G59">
        <f t="shared" si="2"/>
        <v>956.5582978723404</v>
      </c>
      <c r="H59">
        <v>231.65</v>
      </c>
      <c r="I59" t="s">
        <v>38</v>
      </c>
      <c r="J59">
        <f t="shared" si="3"/>
        <v>5.1069223985890657</v>
      </c>
    </row>
    <row r="60" spans="1:10" x14ac:dyDescent="0.35">
      <c r="A60" s="1">
        <v>36831</v>
      </c>
      <c r="B60" t="s">
        <v>9</v>
      </c>
      <c r="C60" t="s">
        <v>38</v>
      </c>
      <c r="D60">
        <v>1066</v>
      </c>
      <c r="E60">
        <v>19142</v>
      </c>
      <c r="F60">
        <f t="shared" si="4"/>
        <v>17.956848030018762</v>
      </c>
      <c r="G60">
        <f t="shared" si="2"/>
        <v>814.52262664165107</v>
      </c>
      <c r="H60">
        <v>321.25</v>
      </c>
      <c r="I60" t="s">
        <v>38</v>
      </c>
      <c r="J60">
        <f t="shared" si="3"/>
        <v>7.0822310405643742</v>
      </c>
    </row>
    <row r="61" spans="1:10" x14ac:dyDescent="0.35">
      <c r="A61" s="1">
        <v>36861</v>
      </c>
      <c r="B61" t="s">
        <v>9</v>
      </c>
      <c r="C61" t="s">
        <v>38</v>
      </c>
      <c r="D61">
        <v>1869</v>
      </c>
      <c r="E61">
        <v>39010</v>
      </c>
      <c r="F61">
        <f t="shared" si="4"/>
        <v>20.872124130551096</v>
      </c>
      <c r="G61">
        <f t="shared" si="2"/>
        <v>946.75955056179771</v>
      </c>
      <c r="H61">
        <v>375</v>
      </c>
      <c r="I61" t="s">
        <v>38</v>
      </c>
      <c r="J61">
        <f t="shared" si="3"/>
        <v>8.2671957671957674</v>
      </c>
    </row>
    <row r="62" spans="1:10" x14ac:dyDescent="0.35">
      <c r="A62" s="1">
        <v>36526</v>
      </c>
      <c r="B62" t="s">
        <v>10</v>
      </c>
      <c r="C62" t="s">
        <v>38</v>
      </c>
      <c r="D62">
        <v>9454</v>
      </c>
      <c r="E62">
        <v>139054</v>
      </c>
      <c r="F62">
        <f t="shared" si="4"/>
        <v>14.708483181722022</v>
      </c>
      <c r="G62">
        <f t="shared" si="2"/>
        <v>667.1767971229109</v>
      </c>
      <c r="H62">
        <v>359.5</v>
      </c>
      <c r="I62" t="s">
        <v>38</v>
      </c>
      <c r="J62">
        <f t="shared" si="3"/>
        <v>7.9254850088183426</v>
      </c>
    </row>
    <row r="63" spans="1:10" x14ac:dyDescent="0.35">
      <c r="A63" s="1">
        <v>36557</v>
      </c>
      <c r="B63" t="s">
        <v>10</v>
      </c>
      <c r="C63" t="s">
        <v>38</v>
      </c>
      <c r="D63">
        <v>10903</v>
      </c>
      <c r="E63">
        <v>154124</v>
      </c>
      <c r="F63">
        <f t="shared" si="4"/>
        <v>14.135925891956342</v>
      </c>
      <c r="G63">
        <f t="shared" si="2"/>
        <v>641.20559845913965</v>
      </c>
      <c r="H63">
        <v>346.87571428571431</v>
      </c>
      <c r="I63" t="s">
        <v>38</v>
      </c>
      <c r="J63">
        <f t="shared" si="3"/>
        <v>7.6471718316956414</v>
      </c>
    </row>
    <row r="64" spans="1:10" x14ac:dyDescent="0.35">
      <c r="A64" s="1">
        <v>36586</v>
      </c>
      <c r="B64" t="s">
        <v>10</v>
      </c>
      <c r="C64" t="s">
        <v>38</v>
      </c>
      <c r="D64">
        <v>11749</v>
      </c>
      <c r="E64">
        <v>92784</v>
      </c>
      <c r="F64">
        <f t="shared" si="4"/>
        <v>7.8971827389565066</v>
      </c>
      <c r="G64">
        <f t="shared" si="2"/>
        <v>358.21620903906711</v>
      </c>
      <c r="H64">
        <v>298.60000000000002</v>
      </c>
      <c r="I64" t="s">
        <v>38</v>
      </c>
      <c r="J64">
        <f t="shared" si="3"/>
        <v>6.5828924162257501</v>
      </c>
    </row>
    <row r="65" spans="1:10" x14ac:dyDescent="0.35">
      <c r="A65" s="1">
        <v>36617</v>
      </c>
      <c r="B65" t="s">
        <v>10</v>
      </c>
      <c r="C65" t="s">
        <v>38</v>
      </c>
      <c r="D65">
        <v>10103</v>
      </c>
      <c r="E65">
        <v>94959</v>
      </c>
      <c r="F65">
        <f t="shared" si="4"/>
        <v>9.3990893793922599</v>
      </c>
      <c r="G65">
        <f t="shared" si="2"/>
        <v>426.34269424923292</v>
      </c>
      <c r="H65">
        <v>396.85714285714283</v>
      </c>
      <c r="I65" t="s">
        <v>38</v>
      </c>
      <c r="J65">
        <f t="shared" si="3"/>
        <v>8.7490551776266052</v>
      </c>
    </row>
    <row r="66" spans="1:10" x14ac:dyDescent="0.35">
      <c r="A66" s="1">
        <v>36647</v>
      </c>
      <c r="B66" t="s">
        <v>10</v>
      </c>
      <c r="C66" t="s">
        <v>38</v>
      </c>
      <c r="D66">
        <v>7340</v>
      </c>
      <c r="E66">
        <v>71602</v>
      </c>
      <c r="F66">
        <f t="shared" si="4"/>
        <v>9.7550408719346056</v>
      </c>
      <c r="G66">
        <f t="shared" si="2"/>
        <v>442.48865395095368</v>
      </c>
      <c r="H66">
        <v>334.8</v>
      </c>
      <c r="I66" t="s">
        <v>38</v>
      </c>
      <c r="J66">
        <f t="shared" si="3"/>
        <v>7.3809523809523814</v>
      </c>
    </row>
    <row r="67" spans="1:10" x14ac:dyDescent="0.35">
      <c r="A67" s="1">
        <v>36678</v>
      </c>
      <c r="B67" t="s">
        <v>10</v>
      </c>
      <c r="C67" t="s">
        <v>38</v>
      </c>
      <c r="D67">
        <v>7647</v>
      </c>
      <c r="E67">
        <v>94721</v>
      </c>
      <c r="F67">
        <f t="shared" si="4"/>
        <v>12.386687589904538</v>
      </c>
      <c r="G67">
        <f t="shared" ref="G67:G121" si="5">F67*45.36</f>
        <v>561.86014907806987</v>
      </c>
      <c r="H67">
        <v>336.3</v>
      </c>
      <c r="I67" t="s">
        <v>38</v>
      </c>
      <c r="J67">
        <f t="shared" si="3"/>
        <v>7.4140211640211646</v>
      </c>
    </row>
    <row r="68" spans="1:10" x14ac:dyDescent="0.35">
      <c r="A68" s="1">
        <v>36708</v>
      </c>
      <c r="B68" t="s">
        <v>10</v>
      </c>
      <c r="C68" t="s">
        <v>38</v>
      </c>
      <c r="D68">
        <v>5546</v>
      </c>
      <c r="E68">
        <v>75441</v>
      </c>
      <c r="F68">
        <f t="shared" si="4"/>
        <v>13.602776776054814</v>
      </c>
      <c r="G68">
        <f t="shared" si="5"/>
        <v>617.02195456184631</v>
      </c>
      <c r="H68">
        <v>358</v>
      </c>
      <c r="I68" t="s">
        <v>38</v>
      </c>
      <c r="J68">
        <f t="shared" si="3"/>
        <v>7.8924162257495594</v>
      </c>
    </row>
    <row r="69" spans="1:10" x14ac:dyDescent="0.35">
      <c r="A69" s="1">
        <v>36739</v>
      </c>
      <c r="B69" t="s">
        <v>10</v>
      </c>
      <c r="C69" t="s">
        <v>38</v>
      </c>
      <c r="D69">
        <v>6194</v>
      </c>
      <c r="E69">
        <v>60013</v>
      </c>
      <c r="F69">
        <f t="shared" si="4"/>
        <v>9.6888924765902491</v>
      </c>
      <c r="G69">
        <f t="shared" si="5"/>
        <v>439.48816273813367</v>
      </c>
      <c r="H69">
        <v>438.03499999999997</v>
      </c>
      <c r="I69" t="s">
        <v>38</v>
      </c>
      <c r="J69">
        <f t="shared" si="3"/>
        <v>9.6568562610229272</v>
      </c>
    </row>
    <row r="70" spans="1:10" x14ac:dyDescent="0.35">
      <c r="A70" s="1">
        <v>36770</v>
      </c>
      <c r="B70" t="s">
        <v>10</v>
      </c>
      <c r="C70" t="s">
        <v>38</v>
      </c>
      <c r="D70">
        <v>5700</v>
      </c>
      <c r="E70">
        <v>51975</v>
      </c>
      <c r="F70">
        <f t="shared" si="4"/>
        <v>9.1184210526315788</v>
      </c>
      <c r="G70">
        <f t="shared" si="5"/>
        <v>413.6115789473684</v>
      </c>
      <c r="H70">
        <v>525.3125</v>
      </c>
      <c r="I70" t="s">
        <v>38</v>
      </c>
      <c r="J70">
        <f t="shared" si="3"/>
        <v>11.580963403880071</v>
      </c>
    </row>
    <row r="71" spans="1:10" x14ac:dyDescent="0.35">
      <c r="A71" s="1">
        <v>36800</v>
      </c>
      <c r="B71" t="s">
        <v>10</v>
      </c>
      <c r="C71" t="s">
        <v>38</v>
      </c>
      <c r="D71">
        <v>7268</v>
      </c>
      <c r="E71">
        <v>72067</v>
      </c>
      <c r="F71">
        <f t="shared" si="4"/>
        <v>9.9156576774903691</v>
      </c>
      <c r="G71">
        <f t="shared" si="5"/>
        <v>449.77423225096311</v>
      </c>
      <c r="H71">
        <v>491.35</v>
      </c>
      <c r="I71" t="s">
        <v>38</v>
      </c>
      <c r="J71">
        <f t="shared" si="3"/>
        <v>10.832231040564375</v>
      </c>
    </row>
    <row r="72" spans="1:10" x14ac:dyDescent="0.35">
      <c r="A72" s="1">
        <v>36831</v>
      </c>
      <c r="B72" t="s">
        <v>10</v>
      </c>
      <c r="C72" t="s">
        <v>38</v>
      </c>
      <c r="D72">
        <v>7460</v>
      </c>
      <c r="E72">
        <v>80290</v>
      </c>
      <c r="F72">
        <f t="shared" si="4"/>
        <v>10.762734584450403</v>
      </c>
      <c r="G72">
        <f t="shared" si="5"/>
        <v>488.19764075067025</v>
      </c>
      <c r="H72">
        <v>594.41666666666663</v>
      </c>
      <c r="I72" t="s">
        <v>38</v>
      </c>
      <c r="J72">
        <f t="shared" si="3"/>
        <v>13.104423868312757</v>
      </c>
    </row>
    <row r="73" spans="1:10" x14ac:dyDescent="0.35">
      <c r="A73" s="1">
        <v>36861</v>
      </c>
      <c r="B73" t="s">
        <v>10</v>
      </c>
      <c r="C73" t="s">
        <v>38</v>
      </c>
      <c r="D73">
        <v>8894</v>
      </c>
      <c r="E73">
        <v>94196</v>
      </c>
      <c r="F73">
        <f t="shared" si="4"/>
        <v>10.590960197886215</v>
      </c>
      <c r="G73">
        <f t="shared" si="5"/>
        <v>480.40595457611869</v>
      </c>
      <c r="H73">
        <v>649.25</v>
      </c>
      <c r="I73" t="s">
        <v>38</v>
      </c>
      <c r="J73">
        <f t="shared" si="3"/>
        <v>14.313271604938272</v>
      </c>
    </row>
    <row r="74" spans="1:10" x14ac:dyDescent="0.35">
      <c r="A74" s="1">
        <v>36526</v>
      </c>
      <c r="B74" t="s">
        <v>11</v>
      </c>
      <c r="C74" t="s">
        <v>38</v>
      </c>
      <c r="D74">
        <v>30974</v>
      </c>
      <c r="E74">
        <v>265622</v>
      </c>
      <c r="F74">
        <f t="shared" si="4"/>
        <v>8.5756440885904315</v>
      </c>
      <c r="G74">
        <f t="shared" si="5"/>
        <v>388.99121585846194</v>
      </c>
      <c r="H74">
        <v>117.5975</v>
      </c>
      <c r="I74" t="s">
        <v>38</v>
      </c>
      <c r="J74">
        <f t="shared" si="3"/>
        <v>2.5925374779541448</v>
      </c>
    </row>
    <row r="75" spans="1:10" x14ac:dyDescent="0.35">
      <c r="A75" s="1">
        <v>36557</v>
      </c>
      <c r="B75" t="s">
        <v>11</v>
      </c>
      <c r="C75" t="s">
        <v>38</v>
      </c>
      <c r="D75">
        <v>37142</v>
      </c>
      <c r="E75">
        <v>338748</v>
      </c>
      <c r="F75">
        <f t="shared" si="4"/>
        <v>9.1203489311291808</v>
      </c>
      <c r="G75">
        <f t="shared" si="5"/>
        <v>413.69902751601961</v>
      </c>
      <c r="H75">
        <v>115.8666875</v>
      </c>
      <c r="I75" t="s">
        <v>38</v>
      </c>
      <c r="J75">
        <f t="shared" si="3"/>
        <v>2.5543802358906524</v>
      </c>
    </row>
    <row r="76" spans="1:10" x14ac:dyDescent="0.35">
      <c r="A76" s="1">
        <v>36586</v>
      </c>
      <c r="B76" t="s">
        <v>11</v>
      </c>
      <c r="C76" t="s">
        <v>38</v>
      </c>
      <c r="D76">
        <v>24871</v>
      </c>
      <c r="E76">
        <v>221327</v>
      </c>
      <c r="F76">
        <f t="shared" si="4"/>
        <v>8.8989988339833541</v>
      </c>
      <c r="G76">
        <f t="shared" si="5"/>
        <v>403.65858710948493</v>
      </c>
      <c r="H76">
        <v>119.53125</v>
      </c>
      <c r="I76" t="s">
        <v>38</v>
      </c>
      <c r="J76">
        <f t="shared" si="3"/>
        <v>2.6351686507936507</v>
      </c>
    </row>
    <row r="77" spans="1:10" x14ac:dyDescent="0.35">
      <c r="A77" s="1">
        <v>36617</v>
      </c>
      <c r="B77" t="s">
        <v>11</v>
      </c>
      <c r="C77" t="s">
        <v>38</v>
      </c>
      <c r="D77">
        <v>28209</v>
      </c>
      <c r="E77">
        <v>245067</v>
      </c>
      <c r="F77">
        <f t="shared" si="4"/>
        <v>8.6875465277039243</v>
      </c>
      <c r="G77">
        <f t="shared" si="5"/>
        <v>394.06711049665</v>
      </c>
      <c r="H77">
        <v>122.18800000000002</v>
      </c>
      <c r="I77" t="s">
        <v>38</v>
      </c>
      <c r="J77">
        <f t="shared" si="3"/>
        <v>2.6937389770723108</v>
      </c>
    </row>
    <row r="78" spans="1:10" x14ac:dyDescent="0.35">
      <c r="A78" s="1">
        <v>36647</v>
      </c>
      <c r="B78" t="s">
        <v>11</v>
      </c>
      <c r="C78" t="s">
        <v>38</v>
      </c>
      <c r="D78">
        <v>26089</v>
      </c>
      <c r="E78">
        <v>240472</v>
      </c>
      <c r="F78">
        <f t="shared" si="4"/>
        <v>9.2173713059143694</v>
      </c>
      <c r="G78">
        <f t="shared" si="5"/>
        <v>418.0999624362758</v>
      </c>
      <c r="H78">
        <v>110.4</v>
      </c>
      <c r="I78" t="s">
        <v>38</v>
      </c>
      <c r="J78">
        <f t="shared" si="3"/>
        <v>2.4338624338624339</v>
      </c>
    </row>
    <row r="79" spans="1:10" x14ac:dyDescent="0.35">
      <c r="A79" s="1">
        <v>36678</v>
      </c>
      <c r="B79" t="s">
        <v>11</v>
      </c>
      <c r="C79" t="s">
        <v>38</v>
      </c>
      <c r="D79">
        <v>21360</v>
      </c>
      <c r="E79">
        <v>200573</v>
      </c>
      <c r="F79">
        <f t="shared" si="4"/>
        <v>9.3901217228464411</v>
      </c>
      <c r="G79">
        <f t="shared" si="5"/>
        <v>425.93592134831454</v>
      </c>
      <c r="H79">
        <v>119.47500000000001</v>
      </c>
      <c r="I79" t="s">
        <v>38</v>
      </c>
      <c r="J79">
        <f t="shared" ref="J79:J109" si="6">H79/45.36</f>
        <v>2.6339285714285716</v>
      </c>
    </row>
    <row r="80" spans="1:10" x14ac:dyDescent="0.35">
      <c r="A80" s="1">
        <v>36708</v>
      </c>
      <c r="B80" t="s">
        <v>11</v>
      </c>
      <c r="C80" t="s">
        <v>38</v>
      </c>
      <c r="D80">
        <v>18408</v>
      </c>
      <c r="E80">
        <v>170147</v>
      </c>
      <c r="F80">
        <f t="shared" si="4"/>
        <v>9.2431008257279448</v>
      </c>
      <c r="G80">
        <f t="shared" si="5"/>
        <v>419.26705345501955</v>
      </c>
      <c r="H80">
        <v>136</v>
      </c>
      <c r="I80" t="s">
        <v>38</v>
      </c>
      <c r="J80">
        <f t="shared" si="6"/>
        <v>2.998236331569665</v>
      </c>
    </row>
    <row r="81" spans="1:10" x14ac:dyDescent="0.35">
      <c r="A81" s="1">
        <v>36739</v>
      </c>
      <c r="B81" t="s">
        <v>11</v>
      </c>
      <c r="C81" t="s">
        <v>38</v>
      </c>
      <c r="D81">
        <v>19070</v>
      </c>
      <c r="E81">
        <v>171834</v>
      </c>
      <c r="F81">
        <f t="shared" si="4"/>
        <v>9.0106974305191407</v>
      </c>
      <c r="G81">
        <f t="shared" si="5"/>
        <v>408.7252354483482</v>
      </c>
      <c r="H81">
        <v>131.28149999999999</v>
      </c>
      <c r="I81" t="s">
        <v>38</v>
      </c>
      <c r="J81">
        <f t="shared" si="6"/>
        <v>2.8942129629629627</v>
      </c>
    </row>
    <row r="82" spans="1:10" x14ac:dyDescent="0.35">
      <c r="A82" s="1">
        <v>36770</v>
      </c>
      <c r="B82" t="s">
        <v>11</v>
      </c>
      <c r="C82" t="s">
        <v>38</v>
      </c>
      <c r="D82">
        <v>26072</v>
      </c>
      <c r="E82">
        <v>217348</v>
      </c>
      <c r="F82">
        <f>E82/D82</f>
        <v>8.3364528996624738</v>
      </c>
      <c r="G82">
        <f t="shared" si="5"/>
        <v>378.14150352868978</v>
      </c>
      <c r="H82">
        <v>136</v>
      </c>
      <c r="I82" t="s">
        <v>38</v>
      </c>
      <c r="J82">
        <f t="shared" si="6"/>
        <v>2.998236331569665</v>
      </c>
    </row>
    <row r="83" spans="1:10" x14ac:dyDescent="0.35">
      <c r="A83" s="1">
        <v>36800</v>
      </c>
      <c r="B83" t="s">
        <v>11</v>
      </c>
      <c r="C83" t="s">
        <v>38</v>
      </c>
      <c r="D83">
        <v>22130</v>
      </c>
      <c r="E83">
        <v>197559</v>
      </c>
      <c r="F83">
        <f t="shared" si="4"/>
        <v>8.9272028920018069</v>
      </c>
      <c r="G83">
        <f t="shared" si="5"/>
        <v>404.93792318120194</v>
      </c>
      <c r="H83">
        <v>129.71249999999998</v>
      </c>
      <c r="I83" t="s">
        <v>38</v>
      </c>
      <c r="J83">
        <f t="shared" si="6"/>
        <v>2.8596230158730154</v>
      </c>
    </row>
    <row r="84" spans="1:10" x14ac:dyDescent="0.35">
      <c r="A84" s="1">
        <v>36831</v>
      </c>
      <c r="B84" t="s">
        <v>11</v>
      </c>
      <c r="C84" t="s">
        <v>38</v>
      </c>
      <c r="D84">
        <v>24844</v>
      </c>
      <c r="E84">
        <v>246411</v>
      </c>
      <c r="F84">
        <f t="shared" si="4"/>
        <v>9.9183303815810664</v>
      </c>
      <c r="G84">
        <f t="shared" si="5"/>
        <v>449.89546610851716</v>
      </c>
      <c r="H84">
        <v>117.125</v>
      </c>
      <c r="I84" t="s">
        <v>38</v>
      </c>
      <c r="J84">
        <f t="shared" si="6"/>
        <v>2.5821208112874778</v>
      </c>
    </row>
    <row r="85" spans="1:10" x14ac:dyDescent="0.35">
      <c r="A85" s="1">
        <v>36861</v>
      </c>
      <c r="B85" t="s">
        <v>11</v>
      </c>
      <c r="C85" t="s">
        <v>38</v>
      </c>
      <c r="D85">
        <v>24997</v>
      </c>
      <c r="E85">
        <v>241651</v>
      </c>
      <c r="F85">
        <f t="shared" si="4"/>
        <v>9.6672000640076803</v>
      </c>
      <c r="G85">
        <f t="shared" si="5"/>
        <v>438.5041949033884</v>
      </c>
      <c r="H85">
        <v>109.75416666666666</v>
      </c>
      <c r="I85" t="s">
        <v>38</v>
      </c>
      <c r="J85">
        <f t="shared" si="6"/>
        <v>2.419624485596708</v>
      </c>
    </row>
    <row r="86" spans="1:10" x14ac:dyDescent="0.35">
      <c r="A86" s="1">
        <v>36526</v>
      </c>
      <c r="B86" t="s">
        <v>12</v>
      </c>
      <c r="C86" t="s">
        <v>38</v>
      </c>
      <c r="D86">
        <v>6739</v>
      </c>
      <c r="E86">
        <v>36842</v>
      </c>
      <c r="F86">
        <f t="shared" si="4"/>
        <v>5.4669832319335212</v>
      </c>
      <c r="G86">
        <f t="shared" si="5"/>
        <v>247.98235940050452</v>
      </c>
      <c r="H86">
        <v>220.85</v>
      </c>
      <c r="I86" t="s">
        <v>38</v>
      </c>
      <c r="J86">
        <f t="shared" si="6"/>
        <v>4.8688271604938267</v>
      </c>
    </row>
    <row r="87" spans="1:10" x14ac:dyDescent="0.35">
      <c r="A87" s="1">
        <v>36557</v>
      </c>
      <c r="B87" t="s">
        <v>12</v>
      </c>
      <c r="C87" t="s">
        <v>38</v>
      </c>
      <c r="D87">
        <v>8155</v>
      </c>
      <c r="E87">
        <v>67208</v>
      </c>
      <c r="F87">
        <f t="shared" si="4"/>
        <v>8.2413243408951562</v>
      </c>
      <c r="G87">
        <f t="shared" si="5"/>
        <v>373.82647210300428</v>
      </c>
      <c r="H87">
        <v>259.90750000000003</v>
      </c>
      <c r="I87" t="s">
        <v>38</v>
      </c>
      <c r="J87">
        <f t="shared" si="6"/>
        <v>5.7298831569664905</v>
      </c>
    </row>
    <row r="88" spans="1:10" x14ac:dyDescent="0.35">
      <c r="A88" s="1">
        <v>36586</v>
      </c>
      <c r="B88" t="s">
        <v>12</v>
      </c>
      <c r="C88" t="s">
        <v>38</v>
      </c>
      <c r="D88">
        <v>7968</v>
      </c>
      <c r="E88">
        <v>50813</v>
      </c>
      <c r="F88">
        <f t="shared" si="4"/>
        <v>6.3771335341365463</v>
      </c>
      <c r="G88">
        <f t="shared" si="5"/>
        <v>289.26677710843376</v>
      </c>
      <c r="H88">
        <v>247.6</v>
      </c>
      <c r="I88" t="s">
        <v>38</v>
      </c>
      <c r="J88">
        <f t="shared" si="6"/>
        <v>5.458553791887125</v>
      </c>
    </row>
    <row r="89" spans="1:10" x14ac:dyDescent="0.35">
      <c r="A89" s="1">
        <v>36617</v>
      </c>
      <c r="B89" t="s">
        <v>12</v>
      </c>
      <c r="C89" t="s">
        <v>38</v>
      </c>
      <c r="D89">
        <v>6741</v>
      </c>
      <c r="E89">
        <v>47481</v>
      </c>
      <c r="F89">
        <f t="shared" si="4"/>
        <v>7.0436137071651093</v>
      </c>
      <c r="G89">
        <f t="shared" si="5"/>
        <v>319.49831775700937</v>
      </c>
      <c r="H89">
        <v>257.7716666666667</v>
      </c>
      <c r="I89" t="s">
        <v>38</v>
      </c>
      <c r="J89">
        <f t="shared" si="6"/>
        <v>5.6827968841857741</v>
      </c>
    </row>
    <row r="90" spans="1:10" x14ac:dyDescent="0.35">
      <c r="A90" s="1">
        <v>36647</v>
      </c>
      <c r="B90" t="s">
        <v>12</v>
      </c>
      <c r="C90" t="s">
        <v>38</v>
      </c>
      <c r="D90">
        <v>3370</v>
      </c>
      <c r="E90">
        <v>20037</v>
      </c>
      <c r="F90">
        <f t="shared" si="4"/>
        <v>5.9456973293768547</v>
      </c>
      <c r="G90">
        <f t="shared" si="5"/>
        <v>269.69683086053413</v>
      </c>
      <c r="H90">
        <v>235</v>
      </c>
      <c r="I90" t="s">
        <v>38</v>
      </c>
      <c r="J90">
        <f t="shared" si="6"/>
        <v>5.1807760141093473</v>
      </c>
    </row>
    <row r="91" spans="1:10" x14ac:dyDescent="0.35">
      <c r="A91" s="1">
        <v>36678</v>
      </c>
      <c r="B91" t="s">
        <v>12</v>
      </c>
      <c r="C91" t="s">
        <v>38</v>
      </c>
      <c r="D91">
        <v>7286</v>
      </c>
      <c r="E91">
        <v>39484</v>
      </c>
      <c r="F91">
        <f t="shared" si="4"/>
        <v>5.4191600329398844</v>
      </c>
      <c r="G91">
        <f t="shared" si="5"/>
        <v>245.81309909415316</v>
      </c>
      <c r="H91">
        <v>273.8</v>
      </c>
      <c r="I91" t="s">
        <v>38</v>
      </c>
      <c r="J91">
        <f t="shared" si="6"/>
        <v>6.0361552028218695</v>
      </c>
    </row>
    <row r="92" spans="1:10" x14ac:dyDescent="0.35">
      <c r="A92" s="1">
        <v>36708</v>
      </c>
      <c r="B92" t="s">
        <v>12</v>
      </c>
      <c r="C92" t="s">
        <v>38</v>
      </c>
      <c r="D92">
        <v>6384</v>
      </c>
      <c r="E92">
        <v>32832</v>
      </c>
      <c r="F92">
        <f t="shared" si="4"/>
        <v>5.1428571428571432</v>
      </c>
      <c r="G92">
        <f t="shared" si="5"/>
        <v>233.28</v>
      </c>
      <c r="H92">
        <v>258.76599999999996</v>
      </c>
      <c r="I92" t="s">
        <v>38</v>
      </c>
      <c r="J92">
        <f t="shared" si="6"/>
        <v>5.704717813051146</v>
      </c>
    </row>
    <row r="93" spans="1:10" x14ac:dyDescent="0.35">
      <c r="A93" s="1">
        <v>36739</v>
      </c>
      <c r="B93" t="s">
        <v>12</v>
      </c>
      <c r="C93" t="s">
        <v>38</v>
      </c>
      <c r="D93">
        <v>7191</v>
      </c>
      <c r="E93">
        <v>33959</v>
      </c>
      <c r="F93">
        <f t="shared" si="4"/>
        <v>4.7224308162981501</v>
      </c>
      <c r="G93">
        <f t="shared" si="5"/>
        <v>214.20946182728409</v>
      </c>
      <c r="H93">
        <v>226.25</v>
      </c>
      <c r="I93" t="s">
        <v>38</v>
      </c>
      <c r="J93">
        <f t="shared" si="6"/>
        <v>4.9878747795414462</v>
      </c>
    </row>
    <row r="94" spans="1:10" x14ac:dyDescent="0.35">
      <c r="A94" s="1">
        <v>36770</v>
      </c>
      <c r="B94" t="s">
        <v>12</v>
      </c>
      <c r="C94" t="s">
        <v>38</v>
      </c>
      <c r="D94">
        <v>8580</v>
      </c>
      <c r="E94">
        <v>56090</v>
      </c>
      <c r="F94">
        <f t="shared" si="4"/>
        <v>6.5372960372960369</v>
      </c>
      <c r="G94">
        <f t="shared" si="5"/>
        <v>296.53174825174824</v>
      </c>
      <c r="H94">
        <v>266.33333333333331</v>
      </c>
      <c r="I94" t="s">
        <v>38</v>
      </c>
      <c r="J94">
        <f t="shared" si="6"/>
        <v>5.8715461493239269</v>
      </c>
    </row>
    <row r="95" spans="1:10" x14ac:dyDescent="0.35">
      <c r="A95" s="1">
        <v>36800</v>
      </c>
      <c r="B95" t="s">
        <v>12</v>
      </c>
      <c r="C95" t="s">
        <v>38</v>
      </c>
      <c r="D95">
        <v>8835</v>
      </c>
      <c r="E95">
        <v>41294</v>
      </c>
      <c r="F95">
        <f t="shared" si="4"/>
        <v>4.6739105829088849</v>
      </c>
      <c r="G95">
        <f t="shared" si="5"/>
        <v>212.00858404074702</v>
      </c>
      <c r="H95">
        <v>188.09200000000001</v>
      </c>
      <c r="I95" t="s">
        <v>38</v>
      </c>
      <c r="J95">
        <f t="shared" si="6"/>
        <v>4.1466490299823633</v>
      </c>
    </row>
    <row r="96" spans="1:10" x14ac:dyDescent="0.35">
      <c r="A96" s="1">
        <v>36831</v>
      </c>
      <c r="B96" t="s">
        <v>12</v>
      </c>
      <c r="C96" t="s">
        <v>38</v>
      </c>
      <c r="D96">
        <v>8240</v>
      </c>
      <c r="E96">
        <v>44695</v>
      </c>
      <c r="F96">
        <f t="shared" si="4"/>
        <v>5.4241504854368934</v>
      </c>
      <c r="G96">
        <f t="shared" si="5"/>
        <v>246.03946601941749</v>
      </c>
      <c r="H96">
        <v>198.52428571428572</v>
      </c>
      <c r="I96" t="s">
        <v>38</v>
      </c>
      <c r="J96">
        <f t="shared" si="6"/>
        <v>4.3766376921138832</v>
      </c>
    </row>
    <row r="97" spans="1:10" x14ac:dyDescent="0.35">
      <c r="A97" s="1">
        <v>36861</v>
      </c>
      <c r="B97" t="s">
        <v>12</v>
      </c>
      <c r="C97" t="s">
        <v>38</v>
      </c>
      <c r="D97">
        <v>9718</v>
      </c>
      <c r="E97">
        <v>57852</v>
      </c>
      <c r="F97">
        <f t="shared" si="4"/>
        <v>5.9530767647664131</v>
      </c>
      <c r="G97">
        <f t="shared" si="5"/>
        <v>270.03156204980451</v>
      </c>
      <c r="H97">
        <v>167.9</v>
      </c>
      <c r="I97" t="s">
        <v>38</v>
      </c>
      <c r="J97">
        <f t="shared" si="6"/>
        <v>3.7014991181657848</v>
      </c>
    </row>
    <row r="98" spans="1:10" x14ac:dyDescent="0.35">
      <c r="A98" s="1">
        <v>36526</v>
      </c>
      <c r="B98" t="s">
        <v>13</v>
      </c>
      <c r="C98" t="s">
        <v>38</v>
      </c>
      <c r="D98">
        <v>2017</v>
      </c>
      <c r="E98">
        <v>14764</v>
      </c>
      <c r="F98">
        <f t="shared" si="4"/>
        <v>7.3197818542389683</v>
      </c>
      <c r="G98">
        <f t="shared" si="5"/>
        <v>332.02530490827962</v>
      </c>
      <c r="H98">
        <v>146.75</v>
      </c>
      <c r="I98" t="s">
        <v>38</v>
      </c>
      <c r="J98">
        <f t="shared" si="6"/>
        <v>3.2352292768959434</v>
      </c>
    </row>
    <row r="99" spans="1:10" x14ac:dyDescent="0.35">
      <c r="A99" s="1">
        <v>36557</v>
      </c>
      <c r="B99" t="s">
        <v>13</v>
      </c>
      <c r="C99" t="s">
        <v>38</v>
      </c>
      <c r="D99">
        <v>2203</v>
      </c>
      <c r="E99">
        <v>18654</v>
      </c>
      <c r="F99">
        <f t="shared" si="4"/>
        <v>8.467544257830232</v>
      </c>
      <c r="G99">
        <f t="shared" si="5"/>
        <v>384.08780753517931</v>
      </c>
      <c r="H99">
        <v>185.27375000000001</v>
      </c>
      <c r="I99" t="s">
        <v>38</v>
      </c>
      <c r="J99">
        <f t="shared" si="6"/>
        <v>4.0845182980599652</v>
      </c>
    </row>
    <row r="100" spans="1:10" x14ac:dyDescent="0.35">
      <c r="A100" s="1">
        <v>36586</v>
      </c>
      <c r="B100" t="s">
        <v>13</v>
      </c>
      <c r="C100" t="s">
        <v>38</v>
      </c>
      <c r="D100">
        <v>2320</v>
      </c>
      <c r="E100">
        <v>22697</v>
      </c>
      <c r="F100">
        <f t="shared" si="4"/>
        <v>9.7831896551724142</v>
      </c>
      <c r="G100">
        <f t="shared" si="5"/>
        <v>443.76548275862069</v>
      </c>
      <c r="H100">
        <v>187.6</v>
      </c>
      <c r="I100" t="s">
        <v>38</v>
      </c>
      <c r="J100">
        <f t="shared" si="6"/>
        <v>4.1358024691358022</v>
      </c>
    </row>
    <row r="101" spans="1:10" x14ac:dyDescent="0.35">
      <c r="A101" s="1">
        <v>36617</v>
      </c>
      <c r="B101" t="s">
        <v>13</v>
      </c>
      <c r="C101" t="s">
        <v>38</v>
      </c>
      <c r="D101">
        <v>3181</v>
      </c>
      <c r="E101">
        <v>36044</v>
      </c>
      <c r="F101">
        <f t="shared" si="4"/>
        <v>11.331027978623075</v>
      </c>
      <c r="G101">
        <f t="shared" si="5"/>
        <v>513.9754291103427</v>
      </c>
      <c r="H101">
        <v>137.31285714285715</v>
      </c>
      <c r="I101" t="s">
        <v>38</v>
      </c>
      <c r="J101">
        <f t="shared" si="6"/>
        <v>3.0271793902746285</v>
      </c>
    </row>
    <row r="102" spans="1:10" x14ac:dyDescent="0.35">
      <c r="A102" s="1">
        <v>36647</v>
      </c>
      <c r="B102" t="s">
        <v>13</v>
      </c>
      <c r="C102" t="s">
        <v>38</v>
      </c>
      <c r="D102">
        <v>2534</v>
      </c>
      <c r="E102">
        <v>26423</v>
      </c>
      <c r="F102">
        <f t="shared" si="4"/>
        <v>10.427387529597475</v>
      </c>
      <c r="G102">
        <f t="shared" si="5"/>
        <v>472.98629834254143</v>
      </c>
      <c r="H102">
        <v>144.1</v>
      </c>
      <c r="I102" t="s">
        <v>38</v>
      </c>
      <c r="J102">
        <f t="shared" si="6"/>
        <v>3.1768077601410933</v>
      </c>
    </row>
    <row r="103" spans="1:10" x14ac:dyDescent="0.35">
      <c r="A103" s="1">
        <v>36678</v>
      </c>
      <c r="B103" t="s">
        <v>13</v>
      </c>
      <c r="C103" t="s">
        <v>38</v>
      </c>
      <c r="D103">
        <v>1827</v>
      </c>
      <c r="E103">
        <v>18059</v>
      </c>
      <c r="F103">
        <f t="shared" si="4"/>
        <v>9.8845101258894363</v>
      </c>
      <c r="G103">
        <f t="shared" si="5"/>
        <v>448.36137931034483</v>
      </c>
      <c r="H103">
        <v>129.30000000000001</v>
      </c>
      <c r="I103" t="s">
        <v>38</v>
      </c>
      <c r="J103">
        <f t="shared" si="6"/>
        <v>2.8505291005291009</v>
      </c>
    </row>
    <row r="104" spans="1:10" x14ac:dyDescent="0.35">
      <c r="A104" s="1">
        <v>36708</v>
      </c>
      <c r="B104" t="s">
        <v>13</v>
      </c>
      <c r="C104" t="s">
        <v>38</v>
      </c>
      <c r="D104">
        <v>2130</v>
      </c>
      <c r="E104">
        <v>16578</v>
      </c>
      <c r="F104">
        <f t="shared" si="4"/>
        <v>7.7830985915492956</v>
      </c>
      <c r="G104">
        <f t="shared" si="5"/>
        <v>353.04135211267607</v>
      </c>
      <c r="H104">
        <v>147.65</v>
      </c>
      <c r="I104" t="s">
        <v>38</v>
      </c>
      <c r="J104">
        <f t="shared" si="6"/>
        <v>3.2550705467372136</v>
      </c>
    </row>
    <row r="105" spans="1:10" x14ac:dyDescent="0.35">
      <c r="A105" s="1">
        <v>36739</v>
      </c>
      <c r="B105" t="s">
        <v>13</v>
      </c>
      <c r="C105" t="s">
        <v>38</v>
      </c>
      <c r="D105">
        <v>1614</v>
      </c>
      <c r="E105">
        <v>11938</v>
      </c>
      <c r="F105">
        <f t="shared" si="4"/>
        <v>7.396530359355638</v>
      </c>
      <c r="G105">
        <f t="shared" si="5"/>
        <v>335.50661710037173</v>
      </c>
      <c r="H105">
        <v>155.16666666666666</v>
      </c>
      <c r="I105" t="s">
        <v>38</v>
      </c>
      <c r="J105">
        <f t="shared" si="6"/>
        <v>3.4207818930041149</v>
      </c>
    </row>
    <row r="106" spans="1:10" x14ac:dyDescent="0.35">
      <c r="A106" s="1">
        <v>36770</v>
      </c>
      <c r="B106" t="s">
        <v>13</v>
      </c>
      <c r="C106" t="s">
        <v>38</v>
      </c>
      <c r="D106">
        <v>1447</v>
      </c>
      <c r="E106">
        <v>13622</v>
      </c>
      <c r="F106">
        <f t="shared" si="4"/>
        <v>9.4139599170697998</v>
      </c>
      <c r="G106">
        <f t="shared" si="5"/>
        <v>427.0172218382861</v>
      </c>
      <c r="H106">
        <v>181.13400000000001</v>
      </c>
      <c r="I106" t="s">
        <v>38</v>
      </c>
      <c r="J106">
        <f t="shared" si="6"/>
        <v>3.9932539682539687</v>
      </c>
    </row>
    <row r="107" spans="1:10" x14ac:dyDescent="0.35">
      <c r="A107" s="1">
        <v>36800</v>
      </c>
      <c r="B107" t="s">
        <v>13</v>
      </c>
      <c r="C107" t="s">
        <v>38</v>
      </c>
      <c r="D107">
        <v>2235</v>
      </c>
      <c r="E107">
        <v>17199</v>
      </c>
      <c r="F107">
        <f t="shared" si="4"/>
        <v>7.6953020134228192</v>
      </c>
      <c r="G107">
        <f t="shared" si="5"/>
        <v>349.05889932885907</v>
      </c>
      <c r="H107">
        <v>179.815</v>
      </c>
      <c r="I107" t="s">
        <v>38</v>
      </c>
      <c r="J107">
        <f t="shared" si="6"/>
        <v>3.9641754850088184</v>
      </c>
    </row>
    <row r="108" spans="1:10" x14ac:dyDescent="0.35">
      <c r="A108" s="1">
        <v>36831</v>
      </c>
      <c r="B108" t="s">
        <v>13</v>
      </c>
      <c r="C108" t="s">
        <v>38</v>
      </c>
      <c r="D108">
        <v>1954</v>
      </c>
      <c r="E108">
        <v>12127</v>
      </c>
      <c r="F108">
        <f t="shared" si="4"/>
        <v>6.206243602865916</v>
      </c>
      <c r="G108">
        <f t="shared" si="5"/>
        <v>281.51520982599794</v>
      </c>
      <c r="H108">
        <v>164.58333333333334</v>
      </c>
      <c r="I108" t="s">
        <v>38</v>
      </c>
      <c r="J108">
        <f t="shared" si="6"/>
        <v>3.6283803644914761</v>
      </c>
    </row>
    <row r="109" spans="1:10" x14ac:dyDescent="0.35">
      <c r="A109" s="1">
        <v>36861</v>
      </c>
      <c r="B109" t="s">
        <v>13</v>
      </c>
      <c r="C109" t="s">
        <v>38</v>
      </c>
      <c r="D109">
        <v>2277</v>
      </c>
      <c r="E109">
        <v>18817</v>
      </c>
      <c r="F109">
        <f t="shared" si="4"/>
        <v>8.2639437856829154</v>
      </c>
      <c r="G109">
        <f t="shared" si="5"/>
        <v>374.85249011857707</v>
      </c>
      <c r="H109">
        <v>148.16666666666666</v>
      </c>
      <c r="I109" t="s">
        <v>38</v>
      </c>
      <c r="J109">
        <f t="shared" si="6"/>
        <v>3.2664609053497942</v>
      </c>
    </row>
    <row r="110" spans="1:10" x14ac:dyDescent="0.35">
      <c r="A110" s="1">
        <v>36526</v>
      </c>
      <c r="B110" t="s">
        <v>14</v>
      </c>
      <c r="C110" t="s">
        <v>38</v>
      </c>
      <c r="D110">
        <v>6878</v>
      </c>
      <c r="E110">
        <v>7434</v>
      </c>
      <c r="F110">
        <f t="shared" si="4"/>
        <v>1.0808374527478919</v>
      </c>
      <c r="G110">
        <f t="shared" si="5"/>
        <v>49.026786856644378</v>
      </c>
      <c r="H110">
        <v>1262.5</v>
      </c>
      <c r="I110" t="s">
        <v>40</v>
      </c>
      <c r="J110">
        <f>(H110/1000)/0.56234</f>
        <v>2.2450830458441513</v>
      </c>
    </row>
    <row r="111" spans="1:10" x14ac:dyDescent="0.35">
      <c r="A111" s="1">
        <v>36557</v>
      </c>
      <c r="B111" t="s">
        <v>14</v>
      </c>
      <c r="C111" t="s">
        <v>38</v>
      </c>
      <c r="D111">
        <v>1157</v>
      </c>
      <c r="E111">
        <v>1610</v>
      </c>
      <c r="F111">
        <f t="shared" si="4"/>
        <v>1.3915298184961107</v>
      </c>
      <c r="G111">
        <f t="shared" si="5"/>
        <v>63.119792566983577</v>
      </c>
      <c r="H111">
        <v>1840</v>
      </c>
      <c r="I111" t="s">
        <v>40</v>
      </c>
      <c r="J111">
        <f t="shared" ref="J111:J120" si="7">(H111/1000)/0.56234</f>
        <v>3.2720418252302883</v>
      </c>
    </row>
    <row r="112" spans="1:10" x14ac:dyDescent="0.35">
      <c r="A112" s="1">
        <v>36586</v>
      </c>
      <c r="B112" t="s">
        <v>14</v>
      </c>
      <c r="C112" t="s">
        <v>38</v>
      </c>
      <c r="D112">
        <v>356</v>
      </c>
      <c r="E112">
        <v>367</v>
      </c>
      <c r="F112">
        <f t="shared" si="4"/>
        <v>1.0308988764044944</v>
      </c>
      <c r="G112">
        <f t="shared" si="5"/>
        <v>46.761573033707869</v>
      </c>
      <c r="H112">
        <v>1917.38</v>
      </c>
      <c r="I112" t="s">
        <v>40</v>
      </c>
      <c r="J112">
        <f t="shared" si="7"/>
        <v>3.4096454102500271</v>
      </c>
    </row>
    <row r="113" spans="1:10" x14ac:dyDescent="0.35">
      <c r="A113" s="1">
        <v>36617</v>
      </c>
      <c r="B113" t="s">
        <v>14</v>
      </c>
      <c r="C113" t="s">
        <v>38</v>
      </c>
      <c r="D113">
        <v>113</v>
      </c>
      <c r="E113">
        <v>36</v>
      </c>
      <c r="F113">
        <f t="shared" si="4"/>
        <v>0.31858407079646017</v>
      </c>
      <c r="G113">
        <f t="shared" si="5"/>
        <v>14.450973451327433</v>
      </c>
      <c r="H113">
        <v>1325</v>
      </c>
      <c r="I113" t="s">
        <v>40</v>
      </c>
      <c r="J113">
        <f t="shared" si="7"/>
        <v>2.3562257708859411</v>
      </c>
    </row>
    <row r="114" spans="1:10" x14ac:dyDescent="0.35">
      <c r="A114" s="1">
        <v>36647</v>
      </c>
      <c r="B114" t="s">
        <v>14</v>
      </c>
      <c r="C114" t="s">
        <v>38</v>
      </c>
      <c r="D114">
        <v>79</v>
      </c>
      <c r="E114">
        <v>46</v>
      </c>
      <c r="F114">
        <f t="shared" ref="F114:F177" si="8">E114/D114</f>
        <v>0.58227848101265822</v>
      </c>
      <c r="G114">
        <f t="shared" si="5"/>
        <v>26.412151898734177</v>
      </c>
      <c r="H114">
        <v>1924.1</v>
      </c>
      <c r="I114" t="s">
        <v>40</v>
      </c>
      <c r="J114">
        <f t="shared" si="7"/>
        <v>3.4215954760465199</v>
      </c>
    </row>
    <row r="115" spans="1:10" x14ac:dyDescent="0.35">
      <c r="A115" s="1">
        <v>36678</v>
      </c>
      <c r="B115" t="s">
        <v>14</v>
      </c>
      <c r="C115" t="s">
        <v>38</v>
      </c>
      <c r="D115">
        <v>70</v>
      </c>
      <c r="E115">
        <v>112</v>
      </c>
      <c r="F115">
        <f t="shared" si="8"/>
        <v>1.6</v>
      </c>
      <c r="G115">
        <f t="shared" si="5"/>
        <v>72.576000000000008</v>
      </c>
      <c r="H115">
        <v>1716.5</v>
      </c>
      <c r="I115" t="s">
        <v>40</v>
      </c>
      <c r="J115">
        <f t="shared" si="7"/>
        <v>3.0524238005477113</v>
      </c>
    </row>
    <row r="116" spans="1:10" x14ac:dyDescent="0.35">
      <c r="A116" s="1">
        <v>36708</v>
      </c>
      <c r="B116" t="s">
        <v>14</v>
      </c>
      <c r="C116" t="s">
        <v>38</v>
      </c>
      <c r="D116">
        <v>5988</v>
      </c>
      <c r="E116">
        <v>5178</v>
      </c>
      <c r="F116">
        <f t="shared" si="8"/>
        <v>0.8647294589178357</v>
      </c>
      <c r="G116">
        <f t="shared" si="5"/>
        <v>39.224128256513026</v>
      </c>
      <c r="H116">
        <v>953.39</v>
      </c>
      <c r="I116" t="s">
        <v>40</v>
      </c>
      <c r="J116">
        <f t="shared" si="7"/>
        <v>1.6953978020414697</v>
      </c>
    </row>
    <row r="117" spans="1:10" x14ac:dyDescent="0.35">
      <c r="A117" s="1">
        <v>36739</v>
      </c>
      <c r="B117" t="s">
        <v>14</v>
      </c>
      <c r="C117" t="s">
        <v>38</v>
      </c>
      <c r="D117">
        <v>12066</v>
      </c>
      <c r="E117">
        <v>22422</v>
      </c>
      <c r="F117">
        <f t="shared" si="8"/>
        <v>1.8582794629537545</v>
      </c>
      <c r="G117">
        <f t="shared" si="5"/>
        <v>84.291556439582294</v>
      </c>
      <c r="H117">
        <v>954.13</v>
      </c>
      <c r="I117" t="s">
        <v>40</v>
      </c>
      <c r="J117">
        <f t="shared" si="7"/>
        <v>1.6967137319059646</v>
      </c>
    </row>
    <row r="118" spans="1:10" x14ac:dyDescent="0.35">
      <c r="A118" s="1">
        <v>36770</v>
      </c>
      <c r="B118" t="s">
        <v>14</v>
      </c>
      <c r="C118" t="s">
        <v>38</v>
      </c>
      <c r="D118">
        <v>21733</v>
      </c>
      <c r="E118">
        <v>45092</v>
      </c>
      <c r="F118">
        <f t="shared" si="8"/>
        <v>2.0748170984217551</v>
      </c>
      <c r="G118">
        <f t="shared" si="5"/>
        <v>94.113703584410814</v>
      </c>
      <c r="H118">
        <v>927.18</v>
      </c>
      <c r="I118" t="s">
        <v>40</v>
      </c>
      <c r="J118">
        <f t="shared" si="7"/>
        <v>1.6487889888679448</v>
      </c>
    </row>
    <row r="119" spans="1:10" x14ac:dyDescent="0.35">
      <c r="A119" s="1">
        <v>36800</v>
      </c>
      <c r="B119" t="s">
        <v>14</v>
      </c>
      <c r="C119" t="s">
        <v>38</v>
      </c>
      <c r="D119">
        <v>18849</v>
      </c>
      <c r="E119">
        <v>34864</v>
      </c>
      <c r="F119">
        <f t="shared" si="8"/>
        <v>1.8496471961377261</v>
      </c>
      <c r="G119">
        <f t="shared" si="5"/>
        <v>83.89999681680726</v>
      </c>
      <c r="H119">
        <v>943.33400000000006</v>
      </c>
      <c r="I119" t="s">
        <v>40</v>
      </c>
      <c r="J119">
        <f t="shared" si="7"/>
        <v>1.6775153821531459</v>
      </c>
    </row>
    <row r="120" spans="1:10" x14ac:dyDescent="0.35">
      <c r="A120" s="1">
        <v>36831</v>
      </c>
      <c r="B120" t="s">
        <v>14</v>
      </c>
      <c r="C120" t="s">
        <v>38</v>
      </c>
      <c r="D120">
        <v>14085</v>
      </c>
      <c r="E120">
        <v>25207</v>
      </c>
      <c r="F120">
        <f t="shared" si="8"/>
        <v>1.7896343627973021</v>
      </c>
      <c r="G120">
        <f t="shared" si="5"/>
        <v>81.177814696485626</v>
      </c>
      <c r="H120">
        <v>1960</v>
      </c>
      <c r="I120" t="s">
        <v>40</v>
      </c>
      <c r="J120">
        <f t="shared" si="7"/>
        <v>3.4854358573105242</v>
      </c>
    </row>
    <row r="121" spans="1:10" x14ac:dyDescent="0.35">
      <c r="A121" s="1">
        <v>36861</v>
      </c>
      <c r="B121" t="s">
        <v>14</v>
      </c>
      <c r="C121" t="s">
        <v>38</v>
      </c>
      <c r="D121">
        <v>15627</v>
      </c>
      <c r="E121">
        <v>37827</v>
      </c>
      <c r="F121">
        <f t="shared" si="8"/>
        <v>2.4206181608754078</v>
      </c>
      <c r="G121">
        <f>F121*45.36</f>
        <v>109.7992397773085</v>
      </c>
      <c r="H121">
        <v>2662.5</v>
      </c>
      <c r="I121" t="s">
        <v>40</v>
      </c>
      <c r="J121">
        <f>(H121/1000)/0.56234</f>
        <v>4.7346800867802399</v>
      </c>
    </row>
    <row r="122" spans="1:10" x14ac:dyDescent="0.35">
      <c r="A122" s="1">
        <v>36526</v>
      </c>
      <c r="B122" t="s">
        <v>15</v>
      </c>
      <c r="C122" t="s">
        <v>41</v>
      </c>
      <c r="D122">
        <v>213160</v>
      </c>
      <c r="E122">
        <v>1394241</v>
      </c>
      <c r="F122">
        <f t="shared" si="8"/>
        <v>6.5408191030212048</v>
      </c>
      <c r="G122">
        <f>F122*27.21</f>
        <v>177.97568779320699</v>
      </c>
      <c r="H122">
        <v>18.625</v>
      </c>
      <c r="I122" t="s">
        <v>58</v>
      </c>
      <c r="J122">
        <f>H122/27.21</f>
        <v>0.68449099595736862</v>
      </c>
    </row>
    <row r="123" spans="1:10" x14ac:dyDescent="0.35">
      <c r="A123" s="1">
        <v>36557</v>
      </c>
      <c r="B123" t="s">
        <v>15</v>
      </c>
      <c r="C123" t="s">
        <v>41</v>
      </c>
      <c r="D123">
        <v>212414</v>
      </c>
      <c r="E123">
        <v>1123980</v>
      </c>
      <c r="F123">
        <f t="shared" si="8"/>
        <v>5.2914591316956505</v>
      </c>
      <c r="G123">
        <f t="shared" ref="G123:G132" si="9">F123*27.21</f>
        <v>143.98060297343866</v>
      </c>
      <c r="H123">
        <v>21.46125</v>
      </c>
      <c r="I123" t="s">
        <v>58</v>
      </c>
      <c r="J123">
        <f t="shared" ref="J123:J133" si="10">H123/27.21</f>
        <v>0.78872657111356115</v>
      </c>
    </row>
    <row r="124" spans="1:10" x14ac:dyDescent="0.35">
      <c r="A124" s="1">
        <v>36586</v>
      </c>
      <c r="B124" t="s">
        <v>15</v>
      </c>
      <c r="C124" t="s">
        <v>41</v>
      </c>
      <c r="D124">
        <v>207839</v>
      </c>
      <c r="E124">
        <v>1205187</v>
      </c>
      <c r="F124">
        <f t="shared" si="8"/>
        <v>5.7986566525050645</v>
      </c>
      <c r="G124">
        <f t="shared" si="9"/>
        <v>157.7814475146628</v>
      </c>
      <c r="H124">
        <v>21.486666666666668</v>
      </c>
      <c r="I124" t="s">
        <v>58</v>
      </c>
      <c r="J124">
        <f t="shared" si="10"/>
        <v>0.78966066397157908</v>
      </c>
    </row>
    <row r="125" spans="1:10" x14ac:dyDescent="0.35">
      <c r="A125" s="1">
        <v>36617</v>
      </c>
      <c r="B125" t="s">
        <v>15</v>
      </c>
      <c r="C125" t="s">
        <v>41</v>
      </c>
      <c r="D125">
        <v>213090</v>
      </c>
      <c r="E125">
        <v>954582</v>
      </c>
      <c r="F125">
        <f t="shared" si="8"/>
        <v>4.4797127974095456</v>
      </c>
      <c r="G125">
        <f t="shared" si="9"/>
        <v>121.89298521751374</v>
      </c>
      <c r="H125">
        <v>21.364285714285717</v>
      </c>
      <c r="I125" t="s">
        <v>58</v>
      </c>
      <c r="J125">
        <f t="shared" si="10"/>
        <v>0.78516301779807851</v>
      </c>
    </row>
    <row r="126" spans="1:10" x14ac:dyDescent="0.35">
      <c r="A126" s="1">
        <v>36647</v>
      </c>
      <c r="B126" t="s">
        <v>15</v>
      </c>
      <c r="C126" t="s">
        <v>41</v>
      </c>
      <c r="D126">
        <v>225717</v>
      </c>
      <c r="E126">
        <v>1405260</v>
      </c>
      <c r="F126">
        <f t="shared" si="8"/>
        <v>6.2257605762968673</v>
      </c>
      <c r="G126">
        <f t="shared" si="9"/>
        <v>169.40294528103777</v>
      </c>
      <c r="H126">
        <v>19.240000000000002</v>
      </c>
      <c r="I126" t="s">
        <v>58</v>
      </c>
      <c r="J126">
        <f t="shared" si="10"/>
        <v>0.70709298052186698</v>
      </c>
    </row>
    <row r="127" spans="1:10" x14ac:dyDescent="0.35">
      <c r="A127" s="1">
        <v>36678</v>
      </c>
      <c r="B127" t="s">
        <v>15</v>
      </c>
      <c r="C127" t="s">
        <v>41</v>
      </c>
      <c r="D127">
        <v>232389</v>
      </c>
      <c r="E127">
        <v>1622628</v>
      </c>
      <c r="F127">
        <f t="shared" si="8"/>
        <v>6.9823786840168856</v>
      </c>
      <c r="G127">
        <f t="shared" si="9"/>
        <v>189.99052399209947</v>
      </c>
      <c r="H127">
        <v>15.8</v>
      </c>
      <c r="I127" t="s">
        <v>58</v>
      </c>
      <c r="J127">
        <f t="shared" si="10"/>
        <v>0.58066887173833148</v>
      </c>
    </row>
    <row r="128" spans="1:10" x14ac:dyDescent="0.35">
      <c r="A128" s="1">
        <v>36708</v>
      </c>
      <c r="B128" t="s">
        <v>15</v>
      </c>
      <c r="C128" t="s">
        <v>41</v>
      </c>
      <c r="D128">
        <v>239144</v>
      </c>
      <c r="E128">
        <v>1720290</v>
      </c>
      <c r="F128">
        <f t="shared" si="8"/>
        <v>7.1935319305523029</v>
      </c>
      <c r="G128">
        <f t="shared" si="9"/>
        <v>195.73600383032817</v>
      </c>
      <c r="H128">
        <v>13.916666666666666</v>
      </c>
      <c r="I128" t="s">
        <v>58</v>
      </c>
      <c r="J128">
        <f t="shared" si="10"/>
        <v>0.51145412225897335</v>
      </c>
    </row>
    <row r="129" spans="1:10" x14ac:dyDescent="0.35">
      <c r="A129" s="1">
        <v>36739</v>
      </c>
      <c r="B129" t="s">
        <v>15</v>
      </c>
      <c r="C129" t="s">
        <v>41</v>
      </c>
      <c r="D129">
        <v>235687</v>
      </c>
      <c r="E129">
        <v>1704829</v>
      </c>
      <c r="F129">
        <f t="shared" si="8"/>
        <v>7.2334452048691693</v>
      </c>
      <c r="G129">
        <f>F129*27.21</f>
        <v>196.82204402449011</v>
      </c>
      <c r="H129">
        <v>15.083333333333334</v>
      </c>
      <c r="I129" t="s">
        <v>58</v>
      </c>
      <c r="J129">
        <f t="shared" si="10"/>
        <v>0.55433051574176162</v>
      </c>
    </row>
    <row r="130" spans="1:10" x14ac:dyDescent="0.35">
      <c r="A130" s="1">
        <v>36770</v>
      </c>
      <c r="B130" t="s">
        <v>15</v>
      </c>
      <c r="C130" t="s">
        <v>41</v>
      </c>
      <c r="D130">
        <v>236876</v>
      </c>
      <c r="E130">
        <v>1514718</v>
      </c>
      <c r="F130">
        <f t="shared" si="8"/>
        <v>6.3945608672892149</v>
      </c>
      <c r="G130">
        <f t="shared" si="9"/>
        <v>173.99600119893955</v>
      </c>
      <c r="H130">
        <v>24.916666666666668</v>
      </c>
      <c r="I130" t="s">
        <v>58</v>
      </c>
      <c r="J130">
        <f t="shared" si="10"/>
        <v>0.91571726081097637</v>
      </c>
    </row>
    <row r="131" spans="1:10" x14ac:dyDescent="0.35">
      <c r="A131" s="1">
        <v>36800</v>
      </c>
      <c r="B131" t="s">
        <v>15</v>
      </c>
      <c r="C131" t="s">
        <v>41</v>
      </c>
      <c r="D131">
        <v>235362</v>
      </c>
      <c r="E131">
        <v>1479204</v>
      </c>
      <c r="F131">
        <f t="shared" si="8"/>
        <v>6.2848038340938643</v>
      </c>
      <c r="G131">
        <f t="shared" si="9"/>
        <v>171.00951232569406</v>
      </c>
      <c r="H131">
        <v>23.442</v>
      </c>
      <c r="I131" t="s">
        <v>58</v>
      </c>
      <c r="J131">
        <f t="shared" si="10"/>
        <v>0.86152149944873202</v>
      </c>
    </row>
    <row r="132" spans="1:10" x14ac:dyDescent="0.35">
      <c r="A132" s="1">
        <v>36831</v>
      </c>
      <c r="B132" t="s">
        <v>15</v>
      </c>
      <c r="C132" t="s">
        <v>41</v>
      </c>
      <c r="D132">
        <v>324794</v>
      </c>
      <c r="E132">
        <v>1583062</v>
      </c>
      <c r="F132">
        <f t="shared" si="8"/>
        <v>4.8740493974642387</v>
      </c>
      <c r="G132">
        <f t="shared" si="9"/>
        <v>132.62288410500193</v>
      </c>
      <c r="H132">
        <v>23.011428571428571</v>
      </c>
      <c r="I132" t="s">
        <v>58</v>
      </c>
      <c r="J132">
        <f t="shared" si="10"/>
        <v>0.84569748516826793</v>
      </c>
    </row>
    <row r="133" spans="1:10" x14ac:dyDescent="0.35">
      <c r="A133" s="1">
        <v>36861</v>
      </c>
      <c r="B133" t="s">
        <v>15</v>
      </c>
      <c r="C133" t="s">
        <v>41</v>
      </c>
      <c r="D133">
        <v>259643</v>
      </c>
      <c r="E133">
        <v>1533707</v>
      </c>
      <c r="F133">
        <f t="shared" si="8"/>
        <v>5.9069838200914333</v>
      </c>
      <c r="G133">
        <f>F133*27.21</f>
        <v>160.72902974468789</v>
      </c>
      <c r="H133">
        <v>24.125</v>
      </c>
      <c r="I133" t="s">
        <v>58</v>
      </c>
      <c r="J133">
        <f t="shared" si="10"/>
        <v>0.88662256523337002</v>
      </c>
    </row>
    <row r="134" spans="1:10" x14ac:dyDescent="0.35">
      <c r="A134" s="1">
        <v>36526</v>
      </c>
      <c r="B134" t="s">
        <v>18</v>
      </c>
      <c r="C134" t="s">
        <v>40</v>
      </c>
      <c r="D134">
        <v>539995</v>
      </c>
      <c r="E134">
        <v>90274</v>
      </c>
      <c r="F134">
        <f t="shared" si="8"/>
        <v>0.16717562199649996</v>
      </c>
      <c r="G134">
        <f>F134*408.15</f>
        <v>68.232730117871455</v>
      </c>
      <c r="H134">
        <v>918</v>
      </c>
      <c r="I134" t="s">
        <v>40</v>
      </c>
      <c r="J134">
        <f>(H134/1000)/0.40815</f>
        <v>2.2491730981256892</v>
      </c>
    </row>
    <row r="135" spans="1:10" x14ac:dyDescent="0.35">
      <c r="A135" s="1">
        <v>36557</v>
      </c>
      <c r="B135" t="s">
        <v>18</v>
      </c>
      <c r="C135" t="s">
        <v>40</v>
      </c>
      <c r="D135">
        <v>472088</v>
      </c>
      <c r="E135">
        <v>91179</v>
      </c>
      <c r="F135">
        <f t="shared" si="8"/>
        <v>0.19313983833522563</v>
      </c>
      <c r="G135">
        <f t="shared" ref="G135:G144" si="11">F135*408.15</f>
        <v>78.830025016522342</v>
      </c>
      <c r="H135">
        <v>1075.31375</v>
      </c>
      <c r="I135" t="s">
        <v>40</v>
      </c>
      <c r="J135">
        <f t="shared" ref="J135:J145" si="12">(H135/1000)/0.40815</f>
        <v>2.6346043121401448</v>
      </c>
    </row>
    <row r="136" spans="1:10" x14ac:dyDescent="0.35">
      <c r="A136" s="1">
        <v>36586</v>
      </c>
      <c r="B136" t="s">
        <v>18</v>
      </c>
      <c r="C136" t="s">
        <v>40</v>
      </c>
      <c r="D136">
        <v>556635</v>
      </c>
      <c r="E136">
        <v>91839</v>
      </c>
      <c r="F136">
        <f t="shared" si="8"/>
        <v>0.16498962515831739</v>
      </c>
      <c r="G136">
        <f t="shared" si="11"/>
        <v>67.340515508367233</v>
      </c>
      <c r="H136">
        <v>1229.8616666666667</v>
      </c>
      <c r="I136" t="s">
        <v>40</v>
      </c>
      <c r="J136">
        <f t="shared" si="12"/>
        <v>3.0132590142512963</v>
      </c>
    </row>
    <row r="137" spans="1:10" x14ac:dyDescent="0.35">
      <c r="A137" s="1">
        <v>36617</v>
      </c>
      <c r="B137" t="s">
        <v>18</v>
      </c>
      <c r="C137" t="s">
        <v>40</v>
      </c>
      <c r="D137">
        <v>572998</v>
      </c>
      <c r="E137">
        <v>101244</v>
      </c>
      <c r="F137">
        <f t="shared" si="8"/>
        <v>0.17669171620145271</v>
      </c>
      <c r="G137">
        <f t="shared" si="11"/>
        <v>72.116723967622917</v>
      </c>
      <c r="H137">
        <v>1013.885</v>
      </c>
      <c r="I137" t="s">
        <v>40</v>
      </c>
      <c r="J137">
        <f t="shared" si="12"/>
        <v>2.4840989832169544</v>
      </c>
    </row>
    <row r="138" spans="1:10" x14ac:dyDescent="0.35">
      <c r="A138" s="1">
        <v>36647</v>
      </c>
      <c r="B138" t="s">
        <v>18</v>
      </c>
      <c r="C138" t="s">
        <v>40</v>
      </c>
      <c r="D138">
        <v>595034</v>
      </c>
      <c r="E138">
        <v>120962</v>
      </c>
      <c r="F138">
        <f t="shared" si="8"/>
        <v>0.20328586265658768</v>
      </c>
      <c r="G138">
        <f t="shared" si="11"/>
        <v>82.971124843286262</v>
      </c>
      <c r="H138">
        <v>725.9</v>
      </c>
      <c r="I138" t="s">
        <v>40</v>
      </c>
      <c r="J138">
        <f t="shared" si="12"/>
        <v>1.7785128016660541</v>
      </c>
    </row>
    <row r="139" spans="1:10" x14ac:dyDescent="0.35">
      <c r="A139" s="1">
        <v>36678</v>
      </c>
      <c r="B139" t="s">
        <v>18</v>
      </c>
      <c r="C139" t="s">
        <v>40</v>
      </c>
      <c r="D139">
        <v>579293</v>
      </c>
      <c r="E139">
        <v>123619</v>
      </c>
      <c r="F139">
        <f t="shared" si="8"/>
        <v>0.21339632966391792</v>
      </c>
      <c r="G139">
        <f t="shared" si="11"/>
        <v>87.097711952328098</v>
      </c>
      <c r="H139">
        <v>471</v>
      </c>
      <c r="I139" t="s">
        <v>40</v>
      </c>
      <c r="J139">
        <f t="shared" si="12"/>
        <v>1.1539875045938992</v>
      </c>
    </row>
    <row r="140" spans="1:10" x14ac:dyDescent="0.35">
      <c r="A140" s="1">
        <v>36708</v>
      </c>
      <c r="B140" t="s">
        <v>18</v>
      </c>
      <c r="C140" t="s">
        <v>40</v>
      </c>
      <c r="D140">
        <v>592826</v>
      </c>
      <c r="E140">
        <v>140447</v>
      </c>
      <c r="F140">
        <f t="shared" si="8"/>
        <v>0.2369109991801979</v>
      </c>
      <c r="G140">
        <f t="shared" si="11"/>
        <v>96.695224315397766</v>
      </c>
      <c r="H140">
        <v>490.83333333333331</v>
      </c>
      <c r="I140" t="s">
        <v>40</v>
      </c>
      <c r="J140">
        <f t="shared" si="12"/>
        <v>1.2025807505410591</v>
      </c>
    </row>
    <row r="141" spans="1:10" x14ac:dyDescent="0.35">
      <c r="A141" s="1">
        <v>36739</v>
      </c>
      <c r="B141" t="s">
        <v>18</v>
      </c>
      <c r="C141" t="s">
        <v>40</v>
      </c>
      <c r="D141">
        <v>565020</v>
      </c>
      <c r="E141">
        <v>116357</v>
      </c>
      <c r="F141">
        <f t="shared" si="8"/>
        <v>0.20593430321050582</v>
      </c>
      <c r="G141">
        <f t="shared" si="11"/>
        <v>84.052085855367949</v>
      </c>
      <c r="H141">
        <v>575.08333333333337</v>
      </c>
      <c r="I141" t="s">
        <v>40</v>
      </c>
      <c r="J141">
        <f t="shared" si="12"/>
        <v>1.4089999591653397</v>
      </c>
    </row>
    <row r="142" spans="1:10" x14ac:dyDescent="0.35">
      <c r="A142" s="1">
        <v>36770</v>
      </c>
      <c r="B142" t="s">
        <v>18</v>
      </c>
      <c r="C142" t="s">
        <v>40</v>
      </c>
      <c r="D142">
        <v>541982</v>
      </c>
      <c r="E142">
        <v>103566</v>
      </c>
      <c r="F142">
        <f t="shared" si="8"/>
        <v>0.19108752689203701</v>
      </c>
      <c r="G142">
        <f t="shared" si="11"/>
        <v>77.992374100984904</v>
      </c>
      <c r="H142">
        <v>1278.3466666666666</v>
      </c>
      <c r="I142" t="s">
        <v>40</v>
      </c>
      <c r="J142">
        <f t="shared" si="12"/>
        <v>3.132051124994895</v>
      </c>
    </row>
    <row r="143" spans="1:10" x14ac:dyDescent="0.35">
      <c r="A143" s="1">
        <v>36800</v>
      </c>
      <c r="B143" t="s">
        <v>18</v>
      </c>
      <c r="C143" t="s">
        <v>40</v>
      </c>
      <c r="D143">
        <v>570834</v>
      </c>
      <c r="E143">
        <v>107808</v>
      </c>
      <c r="F143">
        <f t="shared" si="8"/>
        <v>0.18886050935998908</v>
      </c>
      <c r="G143">
        <f t="shared" si="11"/>
        <v>77.083416895279541</v>
      </c>
      <c r="H143">
        <v>1266.5160000000001</v>
      </c>
      <c r="I143" t="s">
        <v>40</v>
      </c>
      <c r="J143">
        <f t="shared" si="12"/>
        <v>3.1030650496141123</v>
      </c>
    </row>
    <row r="144" spans="1:10" x14ac:dyDescent="0.35">
      <c r="A144" s="1">
        <v>36831</v>
      </c>
      <c r="B144" t="s">
        <v>18</v>
      </c>
      <c r="C144" t="s">
        <v>40</v>
      </c>
      <c r="D144">
        <v>575291</v>
      </c>
      <c r="E144">
        <v>76017</v>
      </c>
      <c r="F144">
        <f t="shared" si="8"/>
        <v>0.13213660564827193</v>
      </c>
      <c r="G144">
        <f t="shared" si="11"/>
        <v>53.931555595342182</v>
      </c>
      <c r="H144">
        <v>1496.7385714285715</v>
      </c>
      <c r="I144" t="s">
        <v>40</v>
      </c>
      <c r="J144">
        <f t="shared" si="12"/>
        <v>3.6671286816821547</v>
      </c>
    </row>
    <row r="145" spans="1:10" x14ac:dyDescent="0.35">
      <c r="A145" s="1">
        <v>36861</v>
      </c>
      <c r="B145" t="s">
        <v>18</v>
      </c>
      <c r="C145" t="s">
        <v>40</v>
      </c>
      <c r="D145">
        <v>562094</v>
      </c>
      <c r="E145">
        <v>78057</v>
      </c>
      <c r="F145">
        <f t="shared" si="8"/>
        <v>0.13886823200389969</v>
      </c>
      <c r="G145">
        <f>F145*408.15</f>
        <v>56.679068892391655</v>
      </c>
      <c r="H145">
        <v>1429.75</v>
      </c>
      <c r="I145" t="s">
        <v>40</v>
      </c>
      <c r="J145">
        <f t="shared" si="12"/>
        <v>3.5030013475437953</v>
      </c>
    </row>
    <row r="146" spans="1:10" x14ac:dyDescent="0.35">
      <c r="A146" s="1">
        <v>36892</v>
      </c>
      <c r="B146" t="s">
        <v>2</v>
      </c>
      <c r="C146" t="s">
        <v>38</v>
      </c>
      <c r="D146">
        <v>58745</v>
      </c>
      <c r="E146">
        <v>175343</v>
      </c>
      <c r="F146">
        <f t="shared" si="8"/>
        <v>2.9848157289982127</v>
      </c>
      <c r="G146">
        <f>F146*45.36</f>
        <v>135.39124146735892</v>
      </c>
      <c r="H146">
        <v>968.29042904290407</v>
      </c>
      <c r="I146" t="s">
        <v>59</v>
      </c>
      <c r="J146">
        <f>H146/110</f>
        <v>8.802640264026401</v>
      </c>
    </row>
    <row r="147" spans="1:10" x14ac:dyDescent="0.35">
      <c r="A147" s="1">
        <v>36923</v>
      </c>
      <c r="B147" t="s">
        <v>2</v>
      </c>
      <c r="C147" t="s">
        <v>38</v>
      </c>
      <c r="D147">
        <v>16321</v>
      </c>
      <c r="E147">
        <v>53626</v>
      </c>
      <c r="F147">
        <f t="shared" si="8"/>
        <v>3.2857055327492186</v>
      </c>
      <c r="G147">
        <f t="shared" ref="G147:G210" si="13">F147*45.36</f>
        <v>149.03960296550454</v>
      </c>
      <c r="H147">
        <v>1210.12101210121</v>
      </c>
      <c r="I147" t="s">
        <v>59</v>
      </c>
      <c r="J147">
        <f t="shared" ref="J147:J161" si="14">H147/110</f>
        <v>11.001100110011</v>
      </c>
    </row>
    <row r="148" spans="1:10" x14ac:dyDescent="0.35">
      <c r="A148" s="1">
        <v>36951</v>
      </c>
      <c r="B148" t="s">
        <v>2</v>
      </c>
      <c r="C148" t="s">
        <v>38</v>
      </c>
      <c r="D148">
        <v>5760</v>
      </c>
      <c r="E148">
        <v>22549</v>
      </c>
      <c r="F148">
        <f t="shared" si="8"/>
        <v>3.9147569444444446</v>
      </c>
      <c r="G148">
        <f t="shared" si="13"/>
        <v>177.573375</v>
      </c>
      <c r="H148">
        <v>1111.3025302530255</v>
      </c>
      <c r="I148" t="s">
        <v>59</v>
      </c>
      <c r="J148">
        <f t="shared" si="14"/>
        <v>10.102750275027503</v>
      </c>
    </row>
    <row r="149" spans="1:10" x14ac:dyDescent="0.35">
      <c r="A149" s="1">
        <v>36982</v>
      </c>
      <c r="B149" t="s">
        <v>2</v>
      </c>
      <c r="C149" t="s">
        <v>38</v>
      </c>
      <c r="D149">
        <v>25713</v>
      </c>
      <c r="E149">
        <v>120636</v>
      </c>
      <c r="F149">
        <f t="shared" si="8"/>
        <v>4.6916345817290868</v>
      </c>
      <c r="G149">
        <f t="shared" si="13"/>
        <v>212.81254462723138</v>
      </c>
      <c r="H149">
        <v>1060.0660066006601</v>
      </c>
      <c r="I149" t="s">
        <v>59</v>
      </c>
      <c r="J149">
        <f t="shared" si="14"/>
        <v>9.6369636963696372</v>
      </c>
    </row>
    <row r="150" spans="1:10" x14ac:dyDescent="0.35">
      <c r="A150" s="1">
        <v>37012</v>
      </c>
      <c r="B150" t="s">
        <v>2</v>
      </c>
      <c r="C150" t="s">
        <v>38</v>
      </c>
      <c r="D150">
        <v>121993</v>
      </c>
      <c r="E150">
        <v>581527</v>
      </c>
      <c r="F150">
        <f t="shared" si="8"/>
        <v>4.766888264080726</v>
      </c>
      <c r="G150">
        <f t="shared" si="13"/>
        <v>216.22605165870172</v>
      </c>
      <c r="H150">
        <v>1004.2068206820682</v>
      </c>
      <c r="I150" t="s">
        <v>59</v>
      </c>
      <c r="J150">
        <f t="shared" si="14"/>
        <v>9.1291529152915292</v>
      </c>
    </row>
    <row r="151" spans="1:10" x14ac:dyDescent="0.35">
      <c r="A151" s="1">
        <v>37043</v>
      </c>
      <c r="B151" t="s">
        <v>2</v>
      </c>
      <c r="C151" t="s">
        <v>38</v>
      </c>
      <c r="D151">
        <v>470883</v>
      </c>
      <c r="E151">
        <v>2424189</v>
      </c>
      <c r="F151">
        <f t="shared" si="8"/>
        <v>5.1481769356719189</v>
      </c>
      <c r="G151">
        <f t="shared" si="13"/>
        <v>233.52130580207825</v>
      </c>
      <c r="H151">
        <v>1096.3696369636964</v>
      </c>
      <c r="I151" t="s">
        <v>59</v>
      </c>
      <c r="J151">
        <f t="shared" si="14"/>
        <v>9.9669966996699664</v>
      </c>
    </row>
    <row r="152" spans="1:10" x14ac:dyDescent="0.35">
      <c r="A152" s="1">
        <v>37073</v>
      </c>
      <c r="B152" t="s">
        <v>2</v>
      </c>
      <c r="C152" t="s">
        <v>38</v>
      </c>
      <c r="D152">
        <v>374523</v>
      </c>
      <c r="E152">
        <v>2049275</v>
      </c>
      <c r="F152">
        <f t="shared" si="8"/>
        <v>5.4716933272455899</v>
      </c>
      <c r="G152">
        <f t="shared" si="13"/>
        <v>248.19600932385995</v>
      </c>
      <c r="H152">
        <v>797.13091309130903</v>
      </c>
      <c r="I152" t="s">
        <v>59</v>
      </c>
      <c r="J152">
        <f t="shared" si="14"/>
        <v>7.2466446644664453</v>
      </c>
    </row>
    <row r="153" spans="1:10" x14ac:dyDescent="0.35">
      <c r="A153" s="1">
        <v>37104</v>
      </c>
      <c r="B153" t="s">
        <v>2</v>
      </c>
      <c r="C153" t="s">
        <v>38</v>
      </c>
      <c r="D153">
        <v>138680</v>
      </c>
      <c r="E153">
        <v>657907</v>
      </c>
      <c r="F153">
        <f t="shared" si="8"/>
        <v>4.7440654744736079</v>
      </c>
      <c r="G153">
        <f t="shared" si="13"/>
        <v>215.19080992212287</v>
      </c>
      <c r="H153">
        <v>971.4851485148514</v>
      </c>
      <c r="I153" t="s">
        <v>59</v>
      </c>
      <c r="J153">
        <f t="shared" si="14"/>
        <v>8.8316831683168306</v>
      </c>
    </row>
    <row r="154" spans="1:10" x14ac:dyDescent="0.35">
      <c r="A154" s="1">
        <v>37135</v>
      </c>
      <c r="B154" t="s">
        <v>2</v>
      </c>
      <c r="C154" t="s">
        <v>38</v>
      </c>
      <c r="D154">
        <v>279516</v>
      </c>
      <c r="E154">
        <v>1076858</v>
      </c>
      <c r="F154">
        <f t="shared" si="8"/>
        <v>3.8525808898238383</v>
      </c>
      <c r="G154">
        <f t="shared" si="13"/>
        <v>174.7530691624093</v>
      </c>
      <c r="H154">
        <v>790.1848184818482</v>
      </c>
      <c r="I154" t="s">
        <v>59</v>
      </c>
      <c r="J154">
        <f t="shared" si="14"/>
        <v>7.1834983498349834</v>
      </c>
    </row>
    <row r="155" spans="1:10" x14ac:dyDescent="0.35">
      <c r="A155" s="1">
        <v>37165</v>
      </c>
      <c r="B155" t="s">
        <v>2</v>
      </c>
      <c r="C155" t="s">
        <v>38</v>
      </c>
      <c r="D155">
        <v>377707</v>
      </c>
      <c r="E155">
        <v>1421548</v>
      </c>
      <c r="F155">
        <f t="shared" si="8"/>
        <v>3.7636263029279311</v>
      </c>
      <c r="G155">
        <f t="shared" si="13"/>
        <v>170.71808910081094</v>
      </c>
      <c r="H155">
        <v>978.74587458745862</v>
      </c>
      <c r="I155" t="s">
        <v>59</v>
      </c>
      <c r="J155">
        <f t="shared" si="14"/>
        <v>8.8976897689768961</v>
      </c>
    </row>
    <row r="156" spans="1:10" x14ac:dyDescent="0.35">
      <c r="A156" s="1">
        <v>37196</v>
      </c>
      <c r="B156" t="s">
        <v>2</v>
      </c>
      <c r="C156" t="s">
        <v>38</v>
      </c>
      <c r="D156">
        <v>309597</v>
      </c>
      <c r="E156">
        <v>1183247</v>
      </c>
      <c r="F156">
        <f t="shared" si="8"/>
        <v>3.8218942690013145</v>
      </c>
      <c r="G156">
        <f t="shared" si="13"/>
        <v>173.36112404189961</v>
      </c>
      <c r="H156">
        <v>848.48844884488437</v>
      </c>
      <c r="I156" t="s">
        <v>59</v>
      </c>
      <c r="J156">
        <f t="shared" si="14"/>
        <v>7.7135313531353127</v>
      </c>
    </row>
    <row r="157" spans="1:10" x14ac:dyDescent="0.35">
      <c r="A157" s="1">
        <v>37226</v>
      </c>
      <c r="B157" t="s">
        <v>2</v>
      </c>
      <c r="C157" t="s">
        <v>38</v>
      </c>
      <c r="D157">
        <v>164699</v>
      </c>
      <c r="E157">
        <v>574718</v>
      </c>
      <c r="F157">
        <f t="shared" si="8"/>
        <v>3.489505097177275</v>
      </c>
      <c r="G157">
        <f t="shared" si="13"/>
        <v>158.28395120796119</v>
      </c>
      <c r="H157">
        <v>1036.7106710671067</v>
      </c>
      <c r="I157" t="s">
        <v>59</v>
      </c>
      <c r="J157">
        <f t="shared" si="14"/>
        <v>9.4246424642464248</v>
      </c>
    </row>
    <row r="158" spans="1:10" x14ac:dyDescent="0.35">
      <c r="A158" s="1">
        <v>36892</v>
      </c>
      <c r="B158" t="s">
        <v>5</v>
      </c>
      <c r="C158" t="s">
        <v>38</v>
      </c>
      <c r="D158">
        <v>30716</v>
      </c>
      <c r="E158">
        <v>48838</v>
      </c>
      <c r="F158">
        <f t="shared" si="8"/>
        <v>1.5899856752181274</v>
      </c>
      <c r="G158">
        <f t="shared" si="13"/>
        <v>72.121750227894253</v>
      </c>
      <c r="H158">
        <v>134.58316666666667</v>
      </c>
      <c r="I158" t="s">
        <v>38</v>
      </c>
      <c r="J158">
        <f>H158/45.36</f>
        <v>2.9670010288065845</v>
      </c>
    </row>
    <row r="159" spans="1:10" x14ac:dyDescent="0.35">
      <c r="A159" s="1">
        <v>36923</v>
      </c>
      <c r="B159" t="s">
        <v>5</v>
      </c>
      <c r="C159" t="s">
        <v>38</v>
      </c>
      <c r="D159">
        <v>29076</v>
      </c>
      <c r="E159">
        <v>48309</v>
      </c>
      <c r="F159">
        <f t="shared" si="8"/>
        <v>1.6614733801073049</v>
      </c>
      <c r="G159">
        <f t="shared" si="13"/>
        <v>75.364432521667354</v>
      </c>
      <c r="H159">
        <v>128.94323750000001</v>
      </c>
      <c r="I159" t="s">
        <v>38</v>
      </c>
      <c r="J159">
        <f t="shared" ref="J159:J222" si="15">H159/45.36</f>
        <v>2.8426639660493831</v>
      </c>
    </row>
    <row r="160" spans="1:10" x14ac:dyDescent="0.35">
      <c r="A160" s="1">
        <v>36951</v>
      </c>
      <c r="B160" t="s">
        <v>5</v>
      </c>
      <c r="C160" t="s">
        <v>38</v>
      </c>
      <c r="D160">
        <v>28827</v>
      </c>
      <c r="E160">
        <v>48561</v>
      </c>
      <c r="F160">
        <f t="shared" si="8"/>
        <v>1.6845665521906545</v>
      </c>
      <c r="G160">
        <f t="shared" si="13"/>
        <v>76.411938807368088</v>
      </c>
      <c r="H160">
        <v>136.21941666666666</v>
      </c>
      <c r="I160" t="s">
        <v>38</v>
      </c>
      <c r="J160">
        <f t="shared" si="15"/>
        <v>3.0030735596707818</v>
      </c>
    </row>
    <row r="161" spans="1:10" x14ac:dyDescent="0.35">
      <c r="A161" s="1">
        <v>36982</v>
      </c>
      <c r="B161" t="s">
        <v>5</v>
      </c>
      <c r="C161" t="s">
        <v>38</v>
      </c>
      <c r="D161">
        <v>54214</v>
      </c>
      <c r="E161">
        <v>126837</v>
      </c>
      <c r="F161">
        <f t="shared" si="8"/>
        <v>2.3395617368207473</v>
      </c>
      <c r="G161">
        <f t="shared" si="13"/>
        <v>106.12252038218909</v>
      </c>
      <c r="H161">
        <v>132.35428571428571</v>
      </c>
      <c r="I161" t="s">
        <v>38</v>
      </c>
      <c r="J161">
        <f t="shared" si="15"/>
        <v>2.9178634416729654</v>
      </c>
    </row>
    <row r="162" spans="1:10" x14ac:dyDescent="0.35">
      <c r="A162" s="1">
        <v>37012</v>
      </c>
      <c r="B162" t="s">
        <v>5</v>
      </c>
      <c r="C162" t="s">
        <v>38</v>
      </c>
      <c r="D162">
        <v>22982</v>
      </c>
      <c r="E162">
        <v>44654</v>
      </c>
      <c r="F162">
        <f t="shared" si="8"/>
        <v>1.9429988686798363</v>
      </c>
      <c r="G162">
        <f t="shared" si="13"/>
        <v>88.134428683317367</v>
      </c>
      <c r="H162">
        <v>135.97499999999999</v>
      </c>
      <c r="I162" t="s">
        <v>38</v>
      </c>
      <c r="J162">
        <f t="shared" si="15"/>
        <v>2.9976851851851851</v>
      </c>
    </row>
    <row r="163" spans="1:10" x14ac:dyDescent="0.35">
      <c r="A163" s="1">
        <v>37043</v>
      </c>
      <c r="B163" t="s">
        <v>5</v>
      </c>
      <c r="C163" t="s">
        <v>38</v>
      </c>
      <c r="D163">
        <v>24680</v>
      </c>
      <c r="E163">
        <v>77617</v>
      </c>
      <c r="F163">
        <f t="shared" si="8"/>
        <v>3.1449351701782819</v>
      </c>
      <c r="G163">
        <f t="shared" si="13"/>
        <v>142.65425931928687</v>
      </c>
      <c r="H163">
        <v>137.16999999999999</v>
      </c>
      <c r="I163" t="s">
        <v>38</v>
      </c>
      <c r="J163">
        <f t="shared" si="15"/>
        <v>3.0240299823633157</v>
      </c>
    </row>
    <row r="164" spans="1:10" x14ac:dyDescent="0.35">
      <c r="A164" s="1">
        <v>37073</v>
      </c>
      <c r="B164" t="s">
        <v>5</v>
      </c>
      <c r="C164" t="s">
        <v>38</v>
      </c>
      <c r="D164">
        <v>34223</v>
      </c>
      <c r="E164">
        <v>65214</v>
      </c>
      <c r="F164">
        <f t="shared" si="8"/>
        <v>1.9055605879087163</v>
      </c>
      <c r="G164">
        <f t="shared" si="13"/>
        <v>86.436228267539377</v>
      </c>
      <c r="H164">
        <v>120.38428571428571</v>
      </c>
      <c r="I164" t="s">
        <v>38</v>
      </c>
      <c r="J164">
        <f t="shared" si="15"/>
        <v>2.6539745527840766</v>
      </c>
    </row>
    <row r="165" spans="1:10" x14ac:dyDescent="0.35">
      <c r="A165" s="1">
        <v>37104</v>
      </c>
      <c r="B165" t="s">
        <v>5</v>
      </c>
      <c r="C165" t="s">
        <v>38</v>
      </c>
      <c r="D165">
        <v>51040</v>
      </c>
      <c r="E165">
        <v>93556</v>
      </c>
      <c r="F165">
        <f t="shared" si="8"/>
        <v>1.8329937304075234</v>
      </c>
      <c r="G165">
        <f t="shared" si="13"/>
        <v>83.144595611285268</v>
      </c>
      <c r="H165">
        <v>110.54811428571428</v>
      </c>
      <c r="I165" t="s">
        <v>38</v>
      </c>
      <c r="J165">
        <f t="shared" si="15"/>
        <v>2.4371277399848825</v>
      </c>
    </row>
    <row r="166" spans="1:10" x14ac:dyDescent="0.35">
      <c r="A166" s="1">
        <v>37135</v>
      </c>
      <c r="B166" t="s">
        <v>5</v>
      </c>
      <c r="C166" t="s">
        <v>38</v>
      </c>
      <c r="D166">
        <v>46369</v>
      </c>
      <c r="E166">
        <v>74587</v>
      </c>
      <c r="F166">
        <f t="shared" si="8"/>
        <v>1.6085531281675258</v>
      </c>
      <c r="G166">
        <f t="shared" si="13"/>
        <v>72.963969893678964</v>
      </c>
      <c r="H166">
        <v>117.21324999999999</v>
      </c>
      <c r="I166" t="s">
        <v>38</v>
      </c>
      <c r="J166">
        <f t="shared" si="15"/>
        <v>2.5840663580246912</v>
      </c>
    </row>
    <row r="167" spans="1:10" x14ac:dyDescent="0.35">
      <c r="A167" s="1">
        <v>37165</v>
      </c>
      <c r="B167" t="s">
        <v>5</v>
      </c>
      <c r="C167" t="s">
        <v>38</v>
      </c>
      <c r="D167">
        <v>44100</v>
      </c>
      <c r="E167">
        <v>78742</v>
      </c>
      <c r="F167">
        <f t="shared" si="8"/>
        <v>1.7855328798185941</v>
      </c>
      <c r="G167">
        <f t="shared" si="13"/>
        <v>80.991771428571425</v>
      </c>
      <c r="H167">
        <v>109.21281428571429</v>
      </c>
      <c r="I167" t="s">
        <v>38</v>
      </c>
      <c r="J167">
        <f t="shared" si="15"/>
        <v>2.4076899092970523</v>
      </c>
    </row>
    <row r="168" spans="1:10" x14ac:dyDescent="0.35">
      <c r="A168" s="1">
        <v>37196</v>
      </c>
      <c r="B168" t="s">
        <v>5</v>
      </c>
      <c r="C168" t="s">
        <v>38</v>
      </c>
      <c r="D168">
        <v>25543</v>
      </c>
      <c r="E168">
        <v>41579</v>
      </c>
      <c r="F168">
        <f t="shared" si="8"/>
        <v>1.6278040950553967</v>
      </c>
      <c r="G168">
        <f t="shared" si="13"/>
        <v>73.837193751712789</v>
      </c>
      <c r="H168">
        <v>119.33973333333333</v>
      </c>
      <c r="I168" t="s">
        <v>38</v>
      </c>
      <c r="J168">
        <f t="shared" si="15"/>
        <v>2.630946502057613</v>
      </c>
    </row>
    <row r="169" spans="1:10" x14ac:dyDescent="0.35">
      <c r="A169" s="1">
        <v>37226</v>
      </c>
      <c r="B169" t="s">
        <v>5</v>
      </c>
      <c r="C169" t="s">
        <v>38</v>
      </c>
      <c r="D169">
        <v>41842</v>
      </c>
      <c r="E169">
        <v>56517</v>
      </c>
      <c r="F169">
        <f t="shared" si="8"/>
        <v>1.3507241527651641</v>
      </c>
      <c r="G169">
        <f t="shared" si="13"/>
        <v>61.268847569427841</v>
      </c>
      <c r="H169">
        <v>121.85999999999999</v>
      </c>
      <c r="I169" t="s">
        <v>38</v>
      </c>
      <c r="J169">
        <f t="shared" si="15"/>
        <v>2.6865079365079363</v>
      </c>
    </row>
    <row r="170" spans="1:10" x14ac:dyDescent="0.35">
      <c r="A170" s="1">
        <v>36892</v>
      </c>
      <c r="B170" t="s">
        <v>7</v>
      </c>
      <c r="C170" t="s">
        <v>38</v>
      </c>
      <c r="D170">
        <v>5227</v>
      </c>
      <c r="E170">
        <v>43395</v>
      </c>
      <c r="F170">
        <f t="shared" si="8"/>
        <v>8.302085326190932</v>
      </c>
      <c r="G170">
        <f t="shared" si="13"/>
        <v>376.58259039602069</v>
      </c>
      <c r="H170">
        <v>161.76</v>
      </c>
      <c r="I170" t="s">
        <v>38</v>
      </c>
      <c r="J170">
        <f t="shared" si="15"/>
        <v>3.5661375661375661</v>
      </c>
    </row>
    <row r="171" spans="1:10" x14ac:dyDescent="0.35">
      <c r="A171" s="1">
        <v>36923</v>
      </c>
      <c r="B171" t="s">
        <v>7</v>
      </c>
      <c r="C171" t="s">
        <v>38</v>
      </c>
      <c r="D171">
        <v>8354</v>
      </c>
      <c r="E171">
        <v>67789</v>
      </c>
      <c r="F171">
        <f t="shared" si="8"/>
        <v>8.114555901364616</v>
      </c>
      <c r="G171">
        <f t="shared" si="13"/>
        <v>368.07625568589896</v>
      </c>
      <c r="H171">
        <v>169.07142857142858</v>
      </c>
      <c r="I171" t="s">
        <v>38</v>
      </c>
      <c r="J171">
        <f t="shared" si="15"/>
        <v>3.727324263038549</v>
      </c>
    </row>
    <row r="172" spans="1:10" x14ac:dyDescent="0.35">
      <c r="A172" s="1">
        <v>36951</v>
      </c>
      <c r="B172" t="s">
        <v>7</v>
      </c>
      <c r="C172" t="s">
        <v>38</v>
      </c>
      <c r="D172">
        <v>9326</v>
      </c>
      <c r="E172">
        <v>76307</v>
      </c>
      <c r="F172">
        <f t="shared" si="8"/>
        <v>8.1821788548144969</v>
      </c>
      <c r="G172">
        <f t="shared" si="13"/>
        <v>371.1436328543856</v>
      </c>
      <c r="H172">
        <v>164.22399999999999</v>
      </c>
      <c r="I172" t="s">
        <v>38</v>
      </c>
      <c r="J172">
        <f t="shared" si="15"/>
        <v>3.6204585537918867</v>
      </c>
    </row>
    <row r="173" spans="1:10" x14ac:dyDescent="0.35">
      <c r="A173" s="1">
        <v>36982</v>
      </c>
      <c r="B173" t="s">
        <v>7</v>
      </c>
      <c r="C173" t="s">
        <v>38</v>
      </c>
      <c r="D173">
        <v>9745</v>
      </c>
      <c r="E173">
        <v>77871</v>
      </c>
      <c r="F173">
        <f t="shared" si="8"/>
        <v>7.9908671113391483</v>
      </c>
      <c r="G173">
        <f t="shared" si="13"/>
        <v>362.46573217034376</v>
      </c>
      <c r="H173">
        <v>134.10399999999998</v>
      </c>
      <c r="I173" t="s">
        <v>38</v>
      </c>
      <c r="J173">
        <f t="shared" si="15"/>
        <v>2.956437389770723</v>
      </c>
    </row>
    <row r="174" spans="1:10" x14ac:dyDescent="0.35">
      <c r="A174" s="1">
        <v>37012</v>
      </c>
      <c r="B174" t="s">
        <v>7</v>
      </c>
      <c r="C174" t="s">
        <v>38</v>
      </c>
      <c r="D174">
        <v>10000</v>
      </c>
      <c r="E174">
        <v>86355</v>
      </c>
      <c r="F174">
        <f t="shared" si="8"/>
        <v>8.6355000000000004</v>
      </c>
      <c r="G174">
        <f t="shared" si="13"/>
        <v>391.70627999999999</v>
      </c>
      <c r="H174">
        <v>135.29250000000002</v>
      </c>
      <c r="I174" t="s">
        <v>38</v>
      </c>
      <c r="J174">
        <f t="shared" si="15"/>
        <v>2.9826388888888893</v>
      </c>
    </row>
    <row r="175" spans="1:10" x14ac:dyDescent="0.35">
      <c r="A175" s="1">
        <v>37043</v>
      </c>
      <c r="B175" t="s">
        <v>7</v>
      </c>
      <c r="C175" t="s">
        <v>38</v>
      </c>
      <c r="D175">
        <v>6041</v>
      </c>
      <c r="E175">
        <v>59122</v>
      </c>
      <c r="F175">
        <f t="shared" si="8"/>
        <v>9.7867902665121669</v>
      </c>
      <c r="G175">
        <f t="shared" si="13"/>
        <v>443.92880648899188</v>
      </c>
      <c r="H175">
        <v>123.355</v>
      </c>
      <c r="I175" t="s">
        <v>38</v>
      </c>
      <c r="J175">
        <f t="shared" si="15"/>
        <v>2.7194664902998236</v>
      </c>
    </row>
    <row r="176" spans="1:10" x14ac:dyDescent="0.35">
      <c r="A176" s="1">
        <v>37073</v>
      </c>
      <c r="B176" t="s">
        <v>7</v>
      </c>
      <c r="C176" t="s">
        <v>38</v>
      </c>
      <c r="D176">
        <v>5658</v>
      </c>
      <c r="E176">
        <v>48819</v>
      </c>
      <c r="F176">
        <f t="shared" si="8"/>
        <v>8.628313891834571</v>
      </c>
      <c r="G176">
        <f t="shared" si="13"/>
        <v>391.38031813361613</v>
      </c>
      <c r="H176">
        <v>135.27833333333334</v>
      </c>
      <c r="I176" t="s">
        <v>38</v>
      </c>
      <c r="J176">
        <f t="shared" si="15"/>
        <v>2.9823265726043506</v>
      </c>
    </row>
    <row r="177" spans="1:10" x14ac:dyDescent="0.35">
      <c r="A177" s="1">
        <v>37104</v>
      </c>
      <c r="B177" t="s">
        <v>7</v>
      </c>
      <c r="C177" t="s">
        <v>38</v>
      </c>
      <c r="D177">
        <v>7206</v>
      </c>
      <c r="E177">
        <v>63961</v>
      </c>
      <c r="F177">
        <f t="shared" si="8"/>
        <v>8.8760754926450183</v>
      </c>
      <c r="G177">
        <f t="shared" si="13"/>
        <v>402.61878434637805</v>
      </c>
      <c r="H177">
        <v>149.81199999999998</v>
      </c>
      <c r="I177" t="s">
        <v>38</v>
      </c>
      <c r="J177">
        <f t="shared" si="15"/>
        <v>3.3027336860670191</v>
      </c>
    </row>
    <row r="178" spans="1:10" x14ac:dyDescent="0.35">
      <c r="A178" s="1">
        <v>37135</v>
      </c>
      <c r="B178" t="s">
        <v>7</v>
      </c>
      <c r="C178" t="s">
        <v>38</v>
      </c>
      <c r="D178">
        <v>4703</v>
      </c>
      <c r="E178">
        <v>40441</v>
      </c>
      <c r="F178">
        <f t="shared" ref="F178:F204" si="16">E178/D178</f>
        <v>8.5989793748671062</v>
      </c>
      <c r="G178">
        <f t="shared" si="13"/>
        <v>390.0497044439719</v>
      </c>
      <c r="H178">
        <v>180.125</v>
      </c>
      <c r="I178" t="s">
        <v>38</v>
      </c>
      <c r="J178">
        <f t="shared" si="15"/>
        <v>3.9710097001763667</v>
      </c>
    </row>
    <row r="179" spans="1:10" x14ac:dyDescent="0.35">
      <c r="A179" s="1">
        <v>37165</v>
      </c>
      <c r="B179" t="s">
        <v>7</v>
      </c>
      <c r="C179" t="s">
        <v>38</v>
      </c>
      <c r="D179">
        <v>5903</v>
      </c>
      <c r="E179">
        <v>51211</v>
      </c>
      <c r="F179">
        <f t="shared" si="16"/>
        <v>8.6754192783330506</v>
      </c>
      <c r="G179">
        <f t="shared" si="13"/>
        <v>393.51701846518716</v>
      </c>
      <c r="H179">
        <v>175.81666666666669</v>
      </c>
      <c r="I179" t="s">
        <v>38</v>
      </c>
      <c r="J179">
        <f t="shared" si="15"/>
        <v>3.8760288065843627</v>
      </c>
    </row>
    <row r="180" spans="1:10" x14ac:dyDescent="0.35">
      <c r="A180" s="1">
        <v>37196</v>
      </c>
      <c r="B180" t="s">
        <v>7</v>
      </c>
      <c r="C180" t="s">
        <v>38</v>
      </c>
      <c r="D180">
        <v>6770</v>
      </c>
      <c r="E180">
        <v>47835</v>
      </c>
      <c r="F180">
        <f t="shared" si="16"/>
        <v>7.0657311669128511</v>
      </c>
      <c r="G180">
        <f t="shared" si="13"/>
        <v>320.50156573116692</v>
      </c>
      <c r="H180">
        <v>156.18</v>
      </c>
      <c r="I180" t="s">
        <v>38</v>
      </c>
      <c r="J180">
        <f t="shared" si="15"/>
        <v>3.4431216931216935</v>
      </c>
    </row>
    <row r="181" spans="1:10" x14ac:dyDescent="0.35">
      <c r="A181" s="1">
        <v>37226</v>
      </c>
      <c r="B181" t="s">
        <v>7</v>
      </c>
      <c r="C181" t="s">
        <v>38</v>
      </c>
      <c r="D181">
        <v>6387</v>
      </c>
      <c r="E181">
        <v>49643</v>
      </c>
      <c r="F181">
        <f t="shared" si="16"/>
        <v>7.7725066541412247</v>
      </c>
      <c r="G181">
        <f t="shared" si="13"/>
        <v>352.56090183184597</v>
      </c>
      <c r="H181">
        <v>166.25</v>
      </c>
      <c r="I181" t="s">
        <v>38</v>
      </c>
      <c r="J181">
        <f t="shared" si="15"/>
        <v>3.6651234567901234</v>
      </c>
    </row>
    <row r="182" spans="1:10" x14ac:dyDescent="0.35">
      <c r="A182" s="1">
        <v>36892</v>
      </c>
      <c r="B182" t="s">
        <v>8</v>
      </c>
      <c r="C182" t="s">
        <v>38</v>
      </c>
      <c r="D182">
        <v>3270</v>
      </c>
      <c r="E182">
        <v>29165</v>
      </c>
      <c r="F182">
        <f t="shared" si="16"/>
        <v>8.9189602446483178</v>
      </c>
      <c r="G182">
        <f t="shared" si="13"/>
        <v>404.56403669724767</v>
      </c>
      <c r="H182">
        <v>350.13600000000002</v>
      </c>
      <c r="I182" t="s">
        <v>38</v>
      </c>
      <c r="J182">
        <f t="shared" si="15"/>
        <v>7.71904761904762</v>
      </c>
    </row>
    <row r="183" spans="1:10" x14ac:dyDescent="0.35">
      <c r="A183" s="1">
        <v>36923</v>
      </c>
      <c r="B183" t="s">
        <v>8</v>
      </c>
      <c r="C183" t="s">
        <v>38</v>
      </c>
      <c r="D183">
        <v>5299</v>
      </c>
      <c r="E183">
        <v>48567</v>
      </c>
      <c r="F183">
        <f t="shared" si="16"/>
        <v>9.1653142102283454</v>
      </c>
      <c r="G183">
        <f t="shared" si="13"/>
        <v>415.73865257595776</v>
      </c>
      <c r="H183">
        <v>259.60000000000002</v>
      </c>
      <c r="I183" t="s">
        <v>38</v>
      </c>
      <c r="J183">
        <f t="shared" si="15"/>
        <v>5.7231040564373901</v>
      </c>
    </row>
    <row r="184" spans="1:10" x14ac:dyDescent="0.35">
      <c r="A184" s="1">
        <v>36951</v>
      </c>
      <c r="B184" t="s">
        <v>8</v>
      </c>
      <c r="C184" t="s">
        <v>38</v>
      </c>
      <c r="D184">
        <v>4433</v>
      </c>
      <c r="E184">
        <v>39635</v>
      </c>
      <c r="F184">
        <f t="shared" si="16"/>
        <v>8.940897811865554</v>
      </c>
      <c r="G184">
        <f t="shared" si="13"/>
        <v>405.55912474622153</v>
      </c>
      <c r="H184">
        <v>342.76333333333332</v>
      </c>
      <c r="I184" t="s">
        <v>38</v>
      </c>
      <c r="J184">
        <f t="shared" si="15"/>
        <v>7.5565108759553201</v>
      </c>
    </row>
    <row r="185" spans="1:10" x14ac:dyDescent="0.35">
      <c r="A185" s="1">
        <v>36982</v>
      </c>
      <c r="B185" t="s">
        <v>8</v>
      </c>
      <c r="C185" t="s">
        <v>38</v>
      </c>
      <c r="D185">
        <v>3993</v>
      </c>
      <c r="E185">
        <v>33781</v>
      </c>
      <c r="F185">
        <f t="shared" si="16"/>
        <v>8.4600550964187331</v>
      </c>
      <c r="G185">
        <f t="shared" si="13"/>
        <v>383.74809917355373</v>
      </c>
      <c r="H185">
        <v>360</v>
      </c>
      <c r="I185" t="s">
        <v>38</v>
      </c>
      <c r="J185">
        <f t="shared" si="15"/>
        <v>7.9365079365079367</v>
      </c>
    </row>
    <row r="186" spans="1:10" x14ac:dyDescent="0.35">
      <c r="A186" s="1">
        <v>37012</v>
      </c>
      <c r="B186" t="s">
        <v>8</v>
      </c>
      <c r="C186" t="s">
        <v>38</v>
      </c>
      <c r="D186">
        <v>3149</v>
      </c>
      <c r="E186">
        <v>28343</v>
      </c>
      <c r="F186">
        <f t="shared" si="16"/>
        <v>9.0006351222610359</v>
      </c>
      <c r="G186">
        <f t="shared" si="13"/>
        <v>408.2688091457606</v>
      </c>
      <c r="H186">
        <v>380</v>
      </c>
      <c r="I186" t="s">
        <v>38</v>
      </c>
      <c r="J186">
        <f t="shared" si="15"/>
        <v>8.3774250440917104</v>
      </c>
    </row>
    <row r="187" spans="1:10" x14ac:dyDescent="0.35">
      <c r="A187" s="1">
        <v>37043</v>
      </c>
      <c r="B187" t="s">
        <v>8</v>
      </c>
      <c r="C187" t="s">
        <v>38</v>
      </c>
      <c r="D187">
        <v>2865</v>
      </c>
      <c r="E187">
        <v>25377</v>
      </c>
      <c r="F187">
        <f t="shared" si="16"/>
        <v>8.8575916230366492</v>
      </c>
      <c r="G187">
        <f t="shared" si="13"/>
        <v>401.78035602094241</v>
      </c>
      <c r="H187">
        <v>362.33333333333331</v>
      </c>
      <c r="I187" t="s">
        <v>38</v>
      </c>
      <c r="J187">
        <f t="shared" si="15"/>
        <v>7.9879482657260432</v>
      </c>
    </row>
    <row r="188" spans="1:10" x14ac:dyDescent="0.35">
      <c r="A188" s="1">
        <v>37073</v>
      </c>
      <c r="B188" t="s">
        <v>8</v>
      </c>
      <c r="C188" t="s">
        <v>38</v>
      </c>
      <c r="D188">
        <v>5031</v>
      </c>
      <c r="E188">
        <v>33899</v>
      </c>
      <c r="F188">
        <f t="shared" si="16"/>
        <v>6.738024249652157</v>
      </c>
      <c r="G188">
        <f t="shared" si="13"/>
        <v>305.63677996422183</v>
      </c>
      <c r="H188">
        <v>262.5</v>
      </c>
      <c r="I188" t="s">
        <v>38</v>
      </c>
      <c r="J188">
        <f t="shared" si="15"/>
        <v>5.7870370370370372</v>
      </c>
    </row>
    <row r="189" spans="1:10" x14ac:dyDescent="0.35">
      <c r="A189" s="1">
        <v>37104</v>
      </c>
      <c r="B189" t="s">
        <v>8</v>
      </c>
      <c r="C189" t="s">
        <v>38</v>
      </c>
      <c r="D189">
        <v>3883</v>
      </c>
      <c r="E189">
        <v>33965</v>
      </c>
      <c r="F189">
        <f t="shared" si="16"/>
        <v>8.7471027556013397</v>
      </c>
      <c r="G189">
        <f t="shared" si="13"/>
        <v>396.76858099407679</v>
      </c>
      <c r="H189">
        <v>199.0625</v>
      </c>
      <c r="I189" t="s">
        <v>38</v>
      </c>
      <c r="J189">
        <f t="shared" si="15"/>
        <v>4.3885030864197532</v>
      </c>
    </row>
    <row r="190" spans="1:10" x14ac:dyDescent="0.35">
      <c r="A190" s="1">
        <v>37135</v>
      </c>
      <c r="B190" t="s">
        <v>8</v>
      </c>
      <c r="C190" t="s">
        <v>38</v>
      </c>
      <c r="D190">
        <v>1936</v>
      </c>
      <c r="E190">
        <v>17395</v>
      </c>
      <c r="F190">
        <f t="shared" si="16"/>
        <v>8.9850206611570247</v>
      </c>
      <c r="G190">
        <f t="shared" si="13"/>
        <v>407.56053719008264</v>
      </c>
      <c r="H190">
        <v>246.4</v>
      </c>
      <c r="I190" t="s">
        <v>38</v>
      </c>
      <c r="J190">
        <f t="shared" si="15"/>
        <v>5.4320987654320989</v>
      </c>
    </row>
    <row r="191" spans="1:10" x14ac:dyDescent="0.35">
      <c r="A191" s="1">
        <v>37165</v>
      </c>
      <c r="B191" t="s">
        <v>8</v>
      </c>
      <c r="C191" t="s">
        <v>38</v>
      </c>
      <c r="D191">
        <v>3283</v>
      </c>
      <c r="E191">
        <v>30808</v>
      </c>
      <c r="F191">
        <f t="shared" si="16"/>
        <v>9.3840999086201649</v>
      </c>
      <c r="G191">
        <f t="shared" si="13"/>
        <v>425.66277185501065</v>
      </c>
      <c r="H191">
        <v>184.86049999999997</v>
      </c>
      <c r="I191" t="s">
        <v>38</v>
      </c>
      <c r="J191">
        <f t="shared" si="15"/>
        <v>4.0754078483245149</v>
      </c>
    </row>
    <row r="192" spans="1:10" x14ac:dyDescent="0.35">
      <c r="A192" s="1">
        <v>37196</v>
      </c>
      <c r="B192" t="s">
        <v>8</v>
      </c>
      <c r="C192" t="s">
        <v>38</v>
      </c>
      <c r="D192">
        <v>3949</v>
      </c>
      <c r="E192">
        <v>36257</v>
      </c>
      <c r="F192">
        <f t="shared" si="16"/>
        <v>9.1813117244872124</v>
      </c>
      <c r="G192">
        <f t="shared" si="13"/>
        <v>416.46429982273997</v>
      </c>
      <c r="H192">
        <v>184.03</v>
      </c>
      <c r="I192" t="s">
        <v>38</v>
      </c>
      <c r="J192">
        <f t="shared" si="15"/>
        <v>4.0570987654320989</v>
      </c>
    </row>
    <row r="193" spans="1:10" x14ac:dyDescent="0.35">
      <c r="A193" s="1">
        <v>37226</v>
      </c>
      <c r="B193" t="s">
        <v>8</v>
      </c>
      <c r="C193" t="s">
        <v>38</v>
      </c>
      <c r="D193">
        <v>4611</v>
      </c>
      <c r="E193">
        <v>40569</v>
      </c>
      <c r="F193">
        <f t="shared" si="16"/>
        <v>8.7983083929733255</v>
      </c>
      <c r="G193">
        <f t="shared" si="13"/>
        <v>399.09126870527001</v>
      </c>
      <c r="H193">
        <v>211.11066666666665</v>
      </c>
      <c r="I193" t="s">
        <v>38</v>
      </c>
      <c r="J193">
        <f t="shared" si="15"/>
        <v>4.6541152263374483</v>
      </c>
    </row>
    <row r="194" spans="1:10" x14ac:dyDescent="0.35">
      <c r="A194" s="1">
        <v>36892</v>
      </c>
      <c r="B194" t="s">
        <v>9</v>
      </c>
      <c r="C194" t="s">
        <v>38</v>
      </c>
      <c r="D194">
        <v>2216</v>
      </c>
      <c r="E194">
        <v>35568</v>
      </c>
      <c r="F194">
        <f t="shared" si="16"/>
        <v>16.050541516245488</v>
      </c>
      <c r="G194">
        <f t="shared" si="13"/>
        <v>728.05256317689532</v>
      </c>
      <c r="H194">
        <v>389.51249999999999</v>
      </c>
      <c r="I194" t="s">
        <v>38</v>
      </c>
      <c r="J194">
        <f t="shared" si="15"/>
        <v>8.5871362433862437</v>
      </c>
    </row>
    <row r="195" spans="1:10" x14ac:dyDescent="0.35">
      <c r="A195" s="1">
        <v>36923</v>
      </c>
      <c r="B195" t="s">
        <v>9</v>
      </c>
      <c r="C195" t="s">
        <v>38</v>
      </c>
      <c r="D195">
        <v>2156</v>
      </c>
      <c r="E195">
        <v>49676</v>
      </c>
      <c r="F195">
        <f t="shared" si="16"/>
        <v>23.040816326530614</v>
      </c>
      <c r="G195">
        <f t="shared" si="13"/>
        <v>1045.1314285714286</v>
      </c>
      <c r="H195">
        <v>304.16666666666669</v>
      </c>
      <c r="I195" t="s">
        <v>38</v>
      </c>
      <c r="J195">
        <f t="shared" si="15"/>
        <v>6.7056143445032337</v>
      </c>
    </row>
    <row r="196" spans="1:10" x14ac:dyDescent="0.35">
      <c r="A196" s="1">
        <v>36951</v>
      </c>
      <c r="B196" t="s">
        <v>9</v>
      </c>
      <c r="C196" t="s">
        <v>38</v>
      </c>
      <c r="D196">
        <v>4906</v>
      </c>
      <c r="E196">
        <v>133411</v>
      </c>
      <c r="F196">
        <f t="shared" si="16"/>
        <v>27.193436608234816</v>
      </c>
      <c r="G196">
        <f t="shared" si="13"/>
        <v>1233.4942845495311</v>
      </c>
      <c r="H196">
        <v>234.04750000000001</v>
      </c>
      <c r="I196" t="s">
        <v>38</v>
      </c>
      <c r="J196">
        <f t="shared" si="15"/>
        <v>5.159777336860671</v>
      </c>
    </row>
    <row r="197" spans="1:10" x14ac:dyDescent="0.35">
      <c r="A197" s="1">
        <v>36982</v>
      </c>
      <c r="B197" t="s">
        <v>9</v>
      </c>
      <c r="C197" t="s">
        <v>38</v>
      </c>
      <c r="D197">
        <v>9997</v>
      </c>
      <c r="E197">
        <v>228159</v>
      </c>
      <c r="F197">
        <f t="shared" si="16"/>
        <v>22.822746824047215</v>
      </c>
      <c r="G197">
        <f t="shared" si="13"/>
        <v>1035.2397959387818</v>
      </c>
      <c r="H197">
        <v>350</v>
      </c>
      <c r="I197" t="s">
        <v>38</v>
      </c>
      <c r="J197">
        <f t="shared" si="15"/>
        <v>7.7160493827160499</v>
      </c>
    </row>
    <row r="198" spans="1:10" x14ac:dyDescent="0.35">
      <c r="A198" s="1">
        <v>37012</v>
      </c>
      <c r="B198" t="s">
        <v>9</v>
      </c>
      <c r="C198" t="s">
        <v>38</v>
      </c>
      <c r="D198">
        <v>5645</v>
      </c>
      <c r="E198">
        <v>147612</v>
      </c>
      <c r="F198">
        <f t="shared" si="16"/>
        <v>26.149158547387067</v>
      </c>
      <c r="G198">
        <f t="shared" si="13"/>
        <v>1186.1258317094773</v>
      </c>
      <c r="H198">
        <v>238.75</v>
      </c>
      <c r="I198" t="s">
        <v>38</v>
      </c>
      <c r="J198">
        <f t="shared" si="15"/>
        <v>5.2634479717813054</v>
      </c>
    </row>
    <row r="199" spans="1:10" x14ac:dyDescent="0.35">
      <c r="A199" s="1">
        <v>37043</v>
      </c>
      <c r="B199" t="s">
        <v>9</v>
      </c>
      <c r="C199" t="s">
        <v>38</v>
      </c>
      <c r="D199">
        <v>5385</v>
      </c>
      <c r="E199">
        <v>126813</v>
      </c>
      <c r="F199">
        <f t="shared" si="16"/>
        <v>23.549303621169916</v>
      </c>
      <c r="G199">
        <f t="shared" si="13"/>
        <v>1068.1964122562674</v>
      </c>
      <c r="H199">
        <v>292.25</v>
      </c>
      <c r="I199" t="s">
        <v>38</v>
      </c>
      <c r="J199">
        <f t="shared" si="15"/>
        <v>6.4429012345679011</v>
      </c>
    </row>
    <row r="200" spans="1:10" x14ac:dyDescent="0.35">
      <c r="A200" s="1">
        <v>37073</v>
      </c>
      <c r="B200" t="s">
        <v>9</v>
      </c>
      <c r="C200" t="s">
        <v>38</v>
      </c>
      <c r="D200">
        <v>5020</v>
      </c>
      <c r="E200">
        <v>136075</v>
      </c>
      <c r="F200">
        <f t="shared" si="16"/>
        <v>27.106573705179283</v>
      </c>
      <c r="G200">
        <f t="shared" si="13"/>
        <v>1229.5541832669323</v>
      </c>
      <c r="H200">
        <v>282.66666666666669</v>
      </c>
      <c r="I200" t="s">
        <v>38</v>
      </c>
      <c r="J200">
        <f t="shared" si="15"/>
        <v>6.2316284538506768</v>
      </c>
    </row>
    <row r="201" spans="1:10" x14ac:dyDescent="0.35">
      <c r="A201" s="1">
        <v>37104</v>
      </c>
      <c r="B201" t="s">
        <v>9</v>
      </c>
      <c r="C201" t="s">
        <v>38</v>
      </c>
      <c r="D201">
        <v>3135</v>
      </c>
      <c r="E201">
        <v>86986</v>
      </c>
      <c r="F201">
        <f t="shared" si="16"/>
        <v>27.746730462519935</v>
      </c>
      <c r="G201">
        <f t="shared" si="13"/>
        <v>1258.5916937799043</v>
      </c>
      <c r="H201">
        <v>214</v>
      </c>
      <c r="I201" t="s">
        <v>38</v>
      </c>
      <c r="J201">
        <f t="shared" si="15"/>
        <v>4.7178130511463845</v>
      </c>
    </row>
    <row r="202" spans="1:10" x14ac:dyDescent="0.35">
      <c r="A202" s="1">
        <v>37135</v>
      </c>
      <c r="B202" t="s">
        <v>9</v>
      </c>
      <c r="C202" t="s">
        <v>38</v>
      </c>
      <c r="D202">
        <v>4838</v>
      </c>
      <c r="E202">
        <v>181062</v>
      </c>
      <c r="F202">
        <f t="shared" si="16"/>
        <v>37.424968995452666</v>
      </c>
      <c r="G202">
        <f t="shared" si="13"/>
        <v>1697.5965936337329</v>
      </c>
      <c r="H202">
        <v>272.265625</v>
      </c>
      <c r="I202" t="s">
        <v>38</v>
      </c>
      <c r="J202">
        <f t="shared" si="15"/>
        <v>6.0023285934744273</v>
      </c>
    </row>
    <row r="203" spans="1:10" x14ac:dyDescent="0.35">
      <c r="A203" s="1">
        <v>37165</v>
      </c>
      <c r="B203" t="s">
        <v>9</v>
      </c>
      <c r="C203" t="s">
        <v>38</v>
      </c>
      <c r="D203">
        <v>5025</v>
      </c>
      <c r="E203">
        <v>119208</v>
      </c>
      <c r="F203">
        <f t="shared" si="16"/>
        <v>23.722985074626866</v>
      </c>
      <c r="G203">
        <f t="shared" si="13"/>
        <v>1076.0746029850745</v>
      </c>
      <c r="H203">
        <v>264.5</v>
      </c>
      <c r="I203" t="s">
        <v>38</v>
      </c>
      <c r="J203">
        <f t="shared" si="15"/>
        <v>5.8311287477954146</v>
      </c>
    </row>
    <row r="204" spans="1:10" x14ac:dyDescent="0.35">
      <c r="A204" s="1">
        <v>37196</v>
      </c>
      <c r="B204" t="s">
        <v>9</v>
      </c>
      <c r="C204" t="s">
        <v>38</v>
      </c>
      <c r="D204">
        <v>4067</v>
      </c>
      <c r="E204">
        <v>110684</v>
      </c>
      <c r="F204">
        <f t="shared" si="16"/>
        <v>27.215146299483649</v>
      </c>
      <c r="G204">
        <f t="shared" si="13"/>
        <v>1234.4790361445782</v>
      </c>
      <c r="H204">
        <v>287.625</v>
      </c>
      <c r="I204" t="s">
        <v>38</v>
      </c>
      <c r="J204">
        <f t="shared" si="15"/>
        <v>6.3409391534391535</v>
      </c>
    </row>
    <row r="205" spans="1:10" x14ac:dyDescent="0.35">
      <c r="A205" s="1">
        <v>37226</v>
      </c>
      <c r="B205" t="s">
        <v>9</v>
      </c>
      <c r="C205" t="s">
        <v>38</v>
      </c>
      <c r="D205">
        <v>3582</v>
      </c>
      <c r="E205">
        <v>71213</v>
      </c>
      <c r="F205">
        <f>E205/D205</f>
        <v>19.880792853154663</v>
      </c>
      <c r="G205">
        <f t="shared" si="13"/>
        <v>901.79276381909551</v>
      </c>
      <c r="H205">
        <v>300</v>
      </c>
      <c r="I205" t="s">
        <v>38</v>
      </c>
      <c r="J205">
        <f t="shared" si="15"/>
        <v>6.6137566137566139</v>
      </c>
    </row>
    <row r="206" spans="1:10" x14ac:dyDescent="0.35">
      <c r="A206" s="1">
        <v>36892</v>
      </c>
      <c r="B206" t="s">
        <v>10</v>
      </c>
      <c r="C206" t="s">
        <v>38</v>
      </c>
      <c r="D206">
        <v>8013</v>
      </c>
      <c r="E206">
        <v>86422</v>
      </c>
      <c r="F206">
        <f t="shared" ref="F206:F269" si="17">E206/D206</f>
        <v>10.785224010982153</v>
      </c>
      <c r="G206">
        <f t="shared" si="13"/>
        <v>489.21776113815048</v>
      </c>
      <c r="H206">
        <v>382</v>
      </c>
      <c r="I206" t="s">
        <v>38</v>
      </c>
      <c r="J206">
        <f t="shared" si="15"/>
        <v>8.4215167548500887</v>
      </c>
    </row>
    <row r="207" spans="1:10" x14ac:dyDescent="0.35">
      <c r="A207" s="1">
        <v>36923</v>
      </c>
      <c r="B207" t="s">
        <v>10</v>
      </c>
      <c r="C207" t="s">
        <v>38</v>
      </c>
      <c r="D207">
        <v>7970</v>
      </c>
      <c r="E207">
        <v>83859</v>
      </c>
      <c r="F207">
        <f t="shared" si="17"/>
        <v>10.521831869510665</v>
      </c>
      <c r="G207">
        <f t="shared" si="13"/>
        <v>477.27029360100374</v>
      </c>
      <c r="H207">
        <v>509.16666666666669</v>
      </c>
      <c r="I207" t="s">
        <v>38</v>
      </c>
      <c r="J207">
        <f t="shared" si="15"/>
        <v>11.22501469723692</v>
      </c>
    </row>
    <row r="208" spans="1:10" x14ac:dyDescent="0.35">
      <c r="A208" s="1">
        <v>36951</v>
      </c>
      <c r="B208" t="s">
        <v>10</v>
      </c>
      <c r="C208" t="s">
        <v>38</v>
      </c>
      <c r="D208">
        <v>6831</v>
      </c>
      <c r="E208">
        <v>57763</v>
      </c>
      <c r="F208">
        <f t="shared" si="17"/>
        <v>8.4560093690528468</v>
      </c>
      <c r="G208">
        <f t="shared" si="13"/>
        <v>383.5645849802371</v>
      </c>
      <c r="H208">
        <v>465.65333333333336</v>
      </c>
      <c r="I208" t="s">
        <v>38</v>
      </c>
      <c r="J208">
        <f t="shared" si="15"/>
        <v>10.265726043503822</v>
      </c>
    </row>
    <row r="209" spans="1:10" x14ac:dyDescent="0.35">
      <c r="A209" s="1">
        <v>36982</v>
      </c>
      <c r="B209" t="s">
        <v>10</v>
      </c>
      <c r="C209" t="s">
        <v>38</v>
      </c>
      <c r="D209">
        <v>7875</v>
      </c>
      <c r="E209">
        <v>68714</v>
      </c>
      <c r="F209">
        <f t="shared" si="17"/>
        <v>8.7255873015873018</v>
      </c>
      <c r="G209">
        <f t="shared" si="13"/>
        <v>395.79264000000001</v>
      </c>
      <c r="H209">
        <v>449.11857142857144</v>
      </c>
      <c r="I209" t="s">
        <v>38</v>
      </c>
      <c r="J209">
        <f t="shared" si="15"/>
        <v>9.9012030738221224</v>
      </c>
    </row>
    <row r="210" spans="1:10" x14ac:dyDescent="0.35">
      <c r="A210" s="1">
        <v>37012</v>
      </c>
      <c r="B210" t="s">
        <v>10</v>
      </c>
      <c r="C210" t="s">
        <v>38</v>
      </c>
      <c r="D210">
        <v>7842</v>
      </c>
      <c r="E210">
        <v>128221</v>
      </c>
      <c r="F210">
        <f t="shared" si="17"/>
        <v>16.350548329507777</v>
      </c>
      <c r="G210">
        <f t="shared" si="13"/>
        <v>741.66087222647275</v>
      </c>
      <c r="H210">
        <v>466.66666666666669</v>
      </c>
      <c r="I210" t="s">
        <v>38</v>
      </c>
      <c r="J210">
        <f t="shared" si="15"/>
        <v>10.2880658436214</v>
      </c>
    </row>
    <row r="211" spans="1:10" x14ac:dyDescent="0.35">
      <c r="A211" s="1">
        <v>37043</v>
      </c>
      <c r="B211" t="s">
        <v>10</v>
      </c>
      <c r="C211" t="s">
        <v>38</v>
      </c>
      <c r="D211">
        <v>5985</v>
      </c>
      <c r="E211">
        <v>63275</v>
      </c>
      <c r="F211">
        <f t="shared" si="17"/>
        <v>10.572263993316625</v>
      </c>
      <c r="G211">
        <f t="shared" ref="G211:G264" si="18">F211*45.36</f>
        <v>479.55789473684212</v>
      </c>
      <c r="H211">
        <v>449.9375</v>
      </c>
      <c r="I211" t="s">
        <v>38</v>
      </c>
      <c r="J211">
        <f t="shared" si="15"/>
        <v>9.9192570546737215</v>
      </c>
    </row>
    <row r="212" spans="1:10" x14ac:dyDescent="0.35">
      <c r="A212" s="1">
        <v>37073</v>
      </c>
      <c r="B212" t="s">
        <v>10</v>
      </c>
      <c r="C212" t="s">
        <v>38</v>
      </c>
      <c r="D212">
        <v>4604</v>
      </c>
      <c r="E212">
        <v>47357</v>
      </c>
      <c r="F212">
        <f t="shared" si="17"/>
        <v>10.286055603822764</v>
      </c>
      <c r="G212">
        <f t="shared" si="18"/>
        <v>466.57548218940053</v>
      </c>
      <c r="H212">
        <v>535.43166666666673</v>
      </c>
      <c r="I212" t="s">
        <v>38</v>
      </c>
      <c r="J212">
        <f t="shared" si="15"/>
        <v>11.804049088771313</v>
      </c>
    </row>
    <row r="213" spans="1:10" x14ac:dyDescent="0.35">
      <c r="A213" s="1">
        <v>37104</v>
      </c>
      <c r="B213" t="s">
        <v>10</v>
      </c>
      <c r="C213" t="s">
        <v>38</v>
      </c>
      <c r="D213">
        <v>5206</v>
      </c>
      <c r="E213">
        <v>51589</v>
      </c>
      <c r="F213">
        <f t="shared" si="17"/>
        <v>9.9095274683058001</v>
      </c>
      <c r="G213">
        <f t="shared" si="18"/>
        <v>449.49616596235109</v>
      </c>
      <c r="H213">
        <v>529.93399999999997</v>
      </c>
      <c r="I213" t="s">
        <v>38</v>
      </c>
      <c r="J213">
        <f t="shared" si="15"/>
        <v>11.682848324514991</v>
      </c>
    </row>
    <row r="214" spans="1:10" x14ac:dyDescent="0.35">
      <c r="A214" s="1">
        <v>37135</v>
      </c>
      <c r="B214" t="s">
        <v>10</v>
      </c>
      <c r="C214" t="s">
        <v>38</v>
      </c>
      <c r="D214">
        <v>5664</v>
      </c>
      <c r="E214">
        <v>58868</v>
      </c>
      <c r="F214">
        <f t="shared" si="17"/>
        <v>10.393361581920903</v>
      </c>
      <c r="G214">
        <f t="shared" si="18"/>
        <v>471.44288135593217</v>
      </c>
      <c r="H214">
        <v>569.25</v>
      </c>
      <c r="I214" t="s">
        <v>38</v>
      </c>
      <c r="J214">
        <f t="shared" si="15"/>
        <v>12.549603174603174</v>
      </c>
    </row>
    <row r="215" spans="1:10" x14ac:dyDescent="0.35">
      <c r="A215" s="1">
        <v>37165</v>
      </c>
      <c r="B215" t="s">
        <v>10</v>
      </c>
      <c r="C215" t="s">
        <v>38</v>
      </c>
      <c r="D215">
        <v>6508</v>
      </c>
      <c r="E215">
        <v>62342</v>
      </c>
      <c r="F215">
        <f t="shared" si="17"/>
        <v>9.5792870313460359</v>
      </c>
      <c r="G215">
        <f t="shared" si="18"/>
        <v>434.51645974185618</v>
      </c>
      <c r="H215">
        <v>496.94499999999999</v>
      </c>
      <c r="I215" t="s">
        <v>38</v>
      </c>
      <c r="J215">
        <f t="shared" si="15"/>
        <v>10.955577601410935</v>
      </c>
    </row>
    <row r="216" spans="1:10" x14ac:dyDescent="0.35">
      <c r="A216" s="1">
        <v>37196</v>
      </c>
      <c r="B216" t="s">
        <v>10</v>
      </c>
      <c r="C216" t="s">
        <v>38</v>
      </c>
      <c r="D216">
        <v>7642</v>
      </c>
      <c r="E216">
        <v>73244</v>
      </c>
      <c r="F216">
        <f t="shared" si="17"/>
        <v>9.5844019890081125</v>
      </c>
      <c r="G216">
        <f t="shared" si="18"/>
        <v>434.748474221408</v>
      </c>
      <c r="H216">
        <v>488.93333333333328</v>
      </c>
      <c r="I216" t="s">
        <v>38</v>
      </c>
      <c r="J216">
        <f t="shared" si="15"/>
        <v>10.778953556731333</v>
      </c>
    </row>
    <row r="217" spans="1:10" x14ac:dyDescent="0.35">
      <c r="A217" s="1">
        <v>37226</v>
      </c>
      <c r="B217" t="s">
        <v>10</v>
      </c>
      <c r="C217" t="s">
        <v>38</v>
      </c>
      <c r="D217">
        <v>7810</v>
      </c>
      <c r="E217">
        <v>88976</v>
      </c>
      <c r="F217">
        <f t="shared" si="17"/>
        <v>11.392573623559539</v>
      </c>
      <c r="G217">
        <f t="shared" si="18"/>
        <v>516.76713956466062</v>
      </c>
      <c r="H217">
        <v>476</v>
      </c>
      <c r="I217" t="s">
        <v>38</v>
      </c>
      <c r="J217">
        <f t="shared" si="15"/>
        <v>10.493827160493828</v>
      </c>
    </row>
    <row r="218" spans="1:10" x14ac:dyDescent="0.35">
      <c r="A218" s="1">
        <v>36892</v>
      </c>
      <c r="B218" t="s">
        <v>11</v>
      </c>
      <c r="C218" t="s">
        <v>38</v>
      </c>
      <c r="D218">
        <v>26496</v>
      </c>
      <c r="E218">
        <v>254180</v>
      </c>
      <c r="F218">
        <f t="shared" si="17"/>
        <v>9.5931461352656999</v>
      </c>
      <c r="G218">
        <f t="shared" si="18"/>
        <v>435.14510869565214</v>
      </c>
      <c r="H218">
        <v>107.48500000000001</v>
      </c>
      <c r="I218" t="s">
        <v>38</v>
      </c>
      <c r="J218">
        <f t="shared" si="15"/>
        <v>2.3695987654320989</v>
      </c>
    </row>
    <row r="219" spans="1:10" x14ac:dyDescent="0.35">
      <c r="A219" s="1">
        <v>36923</v>
      </c>
      <c r="B219" t="s">
        <v>11</v>
      </c>
      <c r="C219" t="s">
        <v>38</v>
      </c>
      <c r="D219">
        <v>32251</v>
      </c>
      <c r="E219">
        <v>339467</v>
      </c>
      <c r="F219">
        <f t="shared" si="17"/>
        <v>10.525782146290037</v>
      </c>
      <c r="G219">
        <f t="shared" si="18"/>
        <v>477.44947815571606</v>
      </c>
      <c r="H219">
        <v>103.57521428571428</v>
      </c>
      <c r="I219" t="s">
        <v>38</v>
      </c>
      <c r="J219">
        <f t="shared" si="15"/>
        <v>2.2834041950113377</v>
      </c>
    </row>
    <row r="220" spans="1:10" x14ac:dyDescent="0.35">
      <c r="A220" s="1">
        <v>36951</v>
      </c>
      <c r="B220" t="s">
        <v>11</v>
      </c>
      <c r="C220" t="s">
        <v>38</v>
      </c>
      <c r="D220">
        <v>25982</v>
      </c>
      <c r="E220">
        <v>263920</v>
      </c>
      <c r="F220">
        <f t="shared" si="17"/>
        <v>10.157801554922639</v>
      </c>
      <c r="G220">
        <f t="shared" si="18"/>
        <v>460.75787853129088</v>
      </c>
      <c r="H220">
        <v>91.964568500000013</v>
      </c>
      <c r="I220" t="s">
        <v>38</v>
      </c>
      <c r="J220">
        <f t="shared" si="15"/>
        <v>2.027437577160494</v>
      </c>
    </row>
    <row r="221" spans="1:10" x14ac:dyDescent="0.35">
      <c r="A221" s="1">
        <v>36982</v>
      </c>
      <c r="B221" t="s">
        <v>11</v>
      </c>
      <c r="C221" t="s">
        <v>38</v>
      </c>
      <c r="D221">
        <v>27183</v>
      </c>
      <c r="E221">
        <v>264286</v>
      </c>
      <c r="F221">
        <f t="shared" si="17"/>
        <v>9.7224736048265452</v>
      </c>
      <c r="G221">
        <f t="shared" si="18"/>
        <v>441.0114027149321</v>
      </c>
      <c r="H221">
        <v>101.892</v>
      </c>
      <c r="I221" t="s">
        <v>38</v>
      </c>
      <c r="J221">
        <f t="shared" si="15"/>
        <v>2.246296296296296</v>
      </c>
    </row>
    <row r="222" spans="1:10" x14ac:dyDescent="0.35">
      <c r="A222" s="1">
        <v>37012</v>
      </c>
      <c r="B222" t="s">
        <v>11</v>
      </c>
      <c r="C222" t="s">
        <v>38</v>
      </c>
      <c r="D222">
        <v>23264</v>
      </c>
      <c r="E222">
        <v>213820</v>
      </c>
      <c r="F222">
        <f t="shared" si="17"/>
        <v>9.1910247592847316</v>
      </c>
      <c r="G222">
        <f t="shared" si="18"/>
        <v>416.90488308115545</v>
      </c>
      <c r="H222">
        <v>143.78233333333333</v>
      </c>
      <c r="I222" t="s">
        <v>38</v>
      </c>
      <c r="J222">
        <f t="shared" si="15"/>
        <v>3.1698045267489712</v>
      </c>
    </row>
    <row r="223" spans="1:10" x14ac:dyDescent="0.35">
      <c r="A223" s="1">
        <v>37043</v>
      </c>
      <c r="B223" t="s">
        <v>11</v>
      </c>
      <c r="C223" t="s">
        <v>38</v>
      </c>
      <c r="D223">
        <v>20345</v>
      </c>
      <c r="E223">
        <v>168744</v>
      </c>
      <c r="F223">
        <f t="shared" si="17"/>
        <v>8.2941263209633824</v>
      </c>
      <c r="G223">
        <f t="shared" si="18"/>
        <v>376.22156991889904</v>
      </c>
      <c r="H223">
        <v>148.6</v>
      </c>
      <c r="I223" t="s">
        <v>38</v>
      </c>
      <c r="J223">
        <f t="shared" ref="J223:J241" si="19">H223/45.36</f>
        <v>3.2760141093474426</v>
      </c>
    </row>
    <row r="224" spans="1:10" x14ac:dyDescent="0.35">
      <c r="A224" s="1">
        <v>37073</v>
      </c>
      <c r="B224" t="s">
        <v>11</v>
      </c>
      <c r="C224" t="s">
        <v>38</v>
      </c>
      <c r="D224">
        <v>19186</v>
      </c>
      <c r="E224">
        <v>195879</v>
      </c>
      <c r="F224">
        <f t="shared" si="17"/>
        <v>10.209475659334931</v>
      </c>
      <c r="G224">
        <f t="shared" si="18"/>
        <v>463.10181590743247</v>
      </c>
      <c r="H224">
        <v>94.555760000000006</v>
      </c>
      <c r="I224" t="s">
        <v>38</v>
      </c>
      <c r="J224">
        <f t="shared" si="19"/>
        <v>2.0845626102292769</v>
      </c>
    </row>
    <row r="225" spans="1:10" x14ac:dyDescent="0.35">
      <c r="A225" s="1">
        <v>37104</v>
      </c>
      <c r="B225" t="s">
        <v>11</v>
      </c>
      <c r="C225" t="s">
        <v>38</v>
      </c>
      <c r="D225">
        <v>21916</v>
      </c>
      <c r="E225">
        <v>213859</v>
      </c>
      <c r="F225">
        <f t="shared" si="17"/>
        <v>9.7581219200584055</v>
      </c>
      <c r="G225">
        <f t="shared" si="18"/>
        <v>442.62841029384924</v>
      </c>
      <c r="H225">
        <v>107.66399999999999</v>
      </c>
      <c r="I225" t="s">
        <v>38</v>
      </c>
      <c r="J225">
        <f t="shared" si="19"/>
        <v>2.3735449735449734</v>
      </c>
    </row>
    <row r="226" spans="1:10" x14ac:dyDescent="0.35">
      <c r="A226" s="1">
        <v>37135</v>
      </c>
      <c r="B226" t="s">
        <v>11</v>
      </c>
      <c r="C226" t="s">
        <v>38</v>
      </c>
      <c r="D226">
        <v>21221</v>
      </c>
      <c r="E226">
        <v>199555</v>
      </c>
      <c r="F226">
        <f t="shared" si="17"/>
        <v>9.4036567551010783</v>
      </c>
      <c r="G226">
        <f t="shared" si="18"/>
        <v>426.54987041138492</v>
      </c>
      <c r="H226">
        <v>108.19361000000002</v>
      </c>
      <c r="I226" t="s">
        <v>38</v>
      </c>
      <c r="J226">
        <f t="shared" si="19"/>
        <v>2.3852206790123462</v>
      </c>
    </row>
    <row r="227" spans="1:10" x14ac:dyDescent="0.35">
      <c r="A227" s="1">
        <v>37165</v>
      </c>
      <c r="B227" t="s">
        <v>11</v>
      </c>
      <c r="C227" t="s">
        <v>38</v>
      </c>
      <c r="D227">
        <v>21030</v>
      </c>
      <c r="E227">
        <v>203278</v>
      </c>
      <c r="F227">
        <f t="shared" si="17"/>
        <v>9.6660960532572524</v>
      </c>
      <c r="G227">
        <f t="shared" si="18"/>
        <v>438.45411697574895</v>
      </c>
      <c r="H227">
        <v>101.75</v>
      </c>
      <c r="I227" t="s">
        <v>38</v>
      </c>
      <c r="J227">
        <f t="shared" si="19"/>
        <v>2.2431657848324513</v>
      </c>
    </row>
    <row r="228" spans="1:10" x14ac:dyDescent="0.35">
      <c r="A228" s="1">
        <v>37196</v>
      </c>
      <c r="B228" t="s">
        <v>11</v>
      </c>
      <c r="C228" t="s">
        <v>38</v>
      </c>
      <c r="D228">
        <v>22133</v>
      </c>
      <c r="E228">
        <v>206884</v>
      </c>
      <c r="F228">
        <f t="shared" si="17"/>
        <v>9.3473094474314369</v>
      </c>
      <c r="G228">
        <f t="shared" si="18"/>
        <v>423.99395653548999</v>
      </c>
      <c r="H228">
        <v>95.676428571428573</v>
      </c>
      <c r="I228" t="s">
        <v>38</v>
      </c>
      <c r="J228">
        <f t="shared" si="19"/>
        <v>2.1092687074829932</v>
      </c>
    </row>
    <row r="229" spans="1:10" x14ac:dyDescent="0.35">
      <c r="A229" s="1">
        <v>37226</v>
      </c>
      <c r="B229" t="s">
        <v>11</v>
      </c>
      <c r="C229" t="s">
        <v>38</v>
      </c>
      <c r="D229">
        <v>21308</v>
      </c>
      <c r="E229">
        <v>207001</v>
      </c>
      <c r="F229">
        <f t="shared" si="17"/>
        <v>9.7147080908578936</v>
      </c>
      <c r="G229">
        <f t="shared" si="18"/>
        <v>440.65915900131404</v>
      </c>
      <c r="H229">
        <v>98.25</v>
      </c>
      <c r="I229" t="s">
        <v>38</v>
      </c>
      <c r="J229">
        <f t="shared" si="19"/>
        <v>2.1660052910052912</v>
      </c>
    </row>
    <row r="230" spans="1:10" x14ac:dyDescent="0.35">
      <c r="A230" s="1">
        <v>36892</v>
      </c>
      <c r="B230" t="s">
        <v>12</v>
      </c>
      <c r="C230" t="s">
        <v>38</v>
      </c>
      <c r="D230">
        <v>10283</v>
      </c>
      <c r="E230">
        <v>62590</v>
      </c>
      <c r="F230">
        <f t="shared" si="17"/>
        <v>6.0867451132937855</v>
      </c>
      <c r="G230">
        <f t="shared" si="18"/>
        <v>276.09475833900609</v>
      </c>
      <c r="H230">
        <v>174.16</v>
      </c>
      <c r="I230" t="s">
        <v>38</v>
      </c>
      <c r="J230">
        <f t="shared" si="19"/>
        <v>3.8395061728395063</v>
      </c>
    </row>
    <row r="231" spans="1:10" x14ac:dyDescent="0.35">
      <c r="A231" s="1">
        <v>36923</v>
      </c>
      <c r="B231" t="s">
        <v>12</v>
      </c>
      <c r="C231" t="s">
        <v>38</v>
      </c>
      <c r="D231">
        <v>16566</v>
      </c>
      <c r="E231">
        <v>65295</v>
      </c>
      <c r="F231">
        <f t="shared" si="17"/>
        <v>3.9415067004708439</v>
      </c>
      <c r="G231">
        <f t="shared" si="18"/>
        <v>178.78674393335749</v>
      </c>
      <c r="H231">
        <v>160.08333333333334</v>
      </c>
      <c r="I231" t="s">
        <v>38</v>
      </c>
      <c r="J231">
        <f t="shared" si="19"/>
        <v>3.5291740152851268</v>
      </c>
    </row>
    <row r="232" spans="1:10" x14ac:dyDescent="0.35">
      <c r="A232" s="1">
        <v>36951</v>
      </c>
      <c r="B232" t="s">
        <v>12</v>
      </c>
      <c r="C232" t="s">
        <v>38</v>
      </c>
      <c r="D232">
        <v>13350</v>
      </c>
      <c r="E232">
        <v>83310</v>
      </c>
      <c r="F232">
        <f t="shared" si="17"/>
        <v>6.2404494382022468</v>
      </c>
      <c r="G232">
        <f t="shared" si="18"/>
        <v>283.06678651685394</v>
      </c>
      <c r="H232">
        <v>146</v>
      </c>
      <c r="I232" t="s">
        <v>38</v>
      </c>
      <c r="J232">
        <f t="shared" si="19"/>
        <v>3.2186948853615522</v>
      </c>
    </row>
    <row r="233" spans="1:10" x14ac:dyDescent="0.35">
      <c r="A233" s="1">
        <v>36982</v>
      </c>
      <c r="B233" t="s">
        <v>12</v>
      </c>
      <c r="C233" t="s">
        <v>38</v>
      </c>
      <c r="D233">
        <v>15144</v>
      </c>
      <c r="E233">
        <v>91987</v>
      </c>
      <c r="F233">
        <f t="shared" si="17"/>
        <v>6.0741547807712628</v>
      </c>
      <c r="G233">
        <f t="shared" si="18"/>
        <v>275.5236608557845</v>
      </c>
      <c r="H233">
        <v>153.75</v>
      </c>
      <c r="I233" t="s">
        <v>38</v>
      </c>
      <c r="J233">
        <f t="shared" si="19"/>
        <v>3.3895502645502646</v>
      </c>
    </row>
    <row r="234" spans="1:10" x14ac:dyDescent="0.35">
      <c r="A234" s="1">
        <v>37012</v>
      </c>
      <c r="B234" t="s">
        <v>12</v>
      </c>
      <c r="C234" t="s">
        <v>38</v>
      </c>
      <c r="D234">
        <v>15202</v>
      </c>
      <c r="E234">
        <v>118385</v>
      </c>
      <c r="F234">
        <f t="shared" si="17"/>
        <v>7.7874621760294698</v>
      </c>
      <c r="G234">
        <f t="shared" si="18"/>
        <v>353.23928430469675</v>
      </c>
      <c r="H234">
        <v>136.875</v>
      </c>
      <c r="I234" t="s">
        <v>38</v>
      </c>
      <c r="J234">
        <f t="shared" si="19"/>
        <v>3.0175264550264549</v>
      </c>
    </row>
    <row r="235" spans="1:10" x14ac:dyDescent="0.35">
      <c r="A235" s="1">
        <v>37043</v>
      </c>
      <c r="B235" t="s">
        <v>12</v>
      </c>
      <c r="C235" t="s">
        <v>38</v>
      </c>
      <c r="D235">
        <v>8473</v>
      </c>
      <c r="E235">
        <v>66677</v>
      </c>
      <c r="F235">
        <f t="shared" si="17"/>
        <v>7.8693496990440224</v>
      </c>
      <c r="G235">
        <f t="shared" si="18"/>
        <v>356.95370234863685</v>
      </c>
      <c r="H235">
        <v>198.35</v>
      </c>
      <c r="I235" t="s">
        <v>38</v>
      </c>
      <c r="J235">
        <f t="shared" si="19"/>
        <v>4.3727954144620806</v>
      </c>
    </row>
    <row r="236" spans="1:10" x14ac:dyDescent="0.35">
      <c r="A236" s="1">
        <v>37073</v>
      </c>
      <c r="B236" t="s">
        <v>12</v>
      </c>
      <c r="C236" t="s">
        <v>38</v>
      </c>
      <c r="D236">
        <v>6183</v>
      </c>
      <c r="E236">
        <v>34050</v>
      </c>
      <c r="F236">
        <f t="shared" si="17"/>
        <v>5.5070354196991751</v>
      </c>
      <c r="G236">
        <f t="shared" si="18"/>
        <v>249.79912663755459</v>
      </c>
      <c r="H236">
        <v>236.66666666666666</v>
      </c>
      <c r="I236" t="s">
        <v>38</v>
      </c>
      <c r="J236">
        <f t="shared" si="19"/>
        <v>5.2175191064079955</v>
      </c>
    </row>
    <row r="237" spans="1:10" x14ac:dyDescent="0.35">
      <c r="A237" s="1">
        <v>37104</v>
      </c>
      <c r="B237" t="s">
        <v>12</v>
      </c>
      <c r="C237" t="s">
        <v>38</v>
      </c>
      <c r="D237">
        <v>6194</v>
      </c>
      <c r="E237">
        <v>37383</v>
      </c>
      <c r="F237">
        <f t="shared" si="17"/>
        <v>6.035356796900226</v>
      </c>
      <c r="G237">
        <f t="shared" si="18"/>
        <v>273.76378430739425</v>
      </c>
      <c r="H237">
        <v>227.66749999999999</v>
      </c>
      <c r="I237" t="s">
        <v>38</v>
      </c>
      <c r="J237">
        <f t="shared" si="19"/>
        <v>5.0191247795414462</v>
      </c>
    </row>
    <row r="238" spans="1:10" x14ac:dyDescent="0.35">
      <c r="A238" s="1">
        <v>37135</v>
      </c>
      <c r="B238" t="s">
        <v>12</v>
      </c>
      <c r="C238" t="s">
        <v>38</v>
      </c>
      <c r="D238">
        <v>6842</v>
      </c>
      <c r="E238">
        <v>39574</v>
      </c>
      <c r="F238">
        <f t="shared" si="17"/>
        <v>5.7839812920198774</v>
      </c>
      <c r="G238">
        <f t="shared" si="18"/>
        <v>262.36139140602165</v>
      </c>
      <c r="H238">
        <v>205.66749999999999</v>
      </c>
      <c r="I238" t="s">
        <v>38</v>
      </c>
      <c r="J238">
        <f t="shared" si="19"/>
        <v>4.5341159611992943</v>
      </c>
    </row>
    <row r="239" spans="1:10" x14ac:dyDescent="0.35">
      <c r="A239" s="1">
        <v>37165</v>
      </c>
      <c r="B239" t="s">
        <v>12</v>
      </c>
      <c r="C239" t="s">
        <v>38</v>
      </c>
      <c r="D239">
        <v>6893</v>
      </c>
      <c r="E239">
        <v>37704</v>
      </c>
      <c r="F239">
        <f t="shared" si="17"/>
        <v>5.4698969969534312</v>
      </c>
      <c r="G239">
        <f t="shared" si="18"/>
        <v>248.11452778180762</v>
      </c>
      <c r="H239">
        <v>215.2</v>
      </c>
      <c r="I239" t="s">
        <v>38</v>
      </c>
      <c r="J239">
        <f t="shared" si="19"/>
        <v>4.7442680776014106</v>
      </c>
    </row>
    <row r="240" spans="1:10" x14ac:dyDescent="0.35">
      <c r="A240" s="1">
        <v>37196</v>
      </c>
      <c r="B240" t="s">
        <v>12</v>
      </c>
      <c r="C240" t="s">
        <v>38</v>
      </c>
      <c r="D240">
        <v>8148</v>
      </c>
      <c r="E240">
        <v>41100</v>
      </c>
      <c r="F240">
        <f t="shared" si="17"/>
        <v>5.044182621502209</v>
      </c>
      <c r="G240">
        <f t="shared" si="18"/>
        <v>228.8041237113402</v>
      </c>
      <c r="H240">
        <v>229.256</v>
      </c>
      <c r="I240" t="s">
        <v>38</v>
      </c>
      <c r="J240">
        <f t="shared" si="19"/>
        <v>5.0541446208112877</v>
      </c>
    </row>
    <row r="241" spans="1:10" x14ac:dyDescent="0.35">
      <c r="A241" s="1">
        <v>37226</v>
      </c>
      <c r="B241" t="s">
        <v>12</v>
      </c>
      <c r="C241" t="s">
        <v>38</v>
      </c>
      <c r="D241">
        <v>8171</v>
      </c>
      <c r="E241">
        <v>41452</v>
      </c>
      <c r="F241">
        <f t="shared" si="17"/>
        <v>5.0730632725492599</v>
      </c>
      <c r="G241">
        <f t="shared" si="18"/>
        <v>230.11415004283444</v>
      </c>
      <c r="H241">
        <v>216.5</v>
      </c>
      <c r="I241" t="s">
        <v>38</v>
      </c>
      <c r="J241">
        <f t="shared" si="19"/>
        <v>4.772927689594356</v>
      </c>
    </row>
    <row r="242" spans="1:10" x14ac:dyDescent="0.35">
      <c r="A242" s="1">
        <v>36892</v>
      </c>
      <c r="B242" t="s">
        <v>13</v>
      </c>
      <c r="C242" t="s">
        <v>38</v>
      </c>
      <c r="D242">
        <v>4300</v>
      </c>
      <c r="E242">
        <v>44267</v>
      </c>
      <c r="F242">
        <f t="shared" si="17"/>
        <v>10.294651162790698</v>
      </c>
      <c r="G242">
        <f t="shared" si="18"/>
        <v>466.96537674418607</v>
      </c>
      <c r="H242">
        <v>180.41666666666666</v>
      </c>
      <c r="I242" t="s">
        <v>38</v>
      </c>
      <c r="J242">
        <f>H242/45.36</f>
        <v>3.97743974132863</v>
      </c>
    </row>
    <row r="243" spans="1:10" x14ac:dyDescent="0.35">
      <c r="A243" s="1">
        <v>36923</v>
      </c>
      <c r="B243" t="s">
        <v>13</v>
      </c>
      <c r="C243" t="s">
        <v>38</v>
      </c>
      <c r="D243">
        <v>5031</v>
      </c>
      <c r="E243">
        <v>44821</v>
      </c>
      <c r="F243">
        <f t="shared" si="17"/>
        <v>8.9089644205923282</v>
      </c>
      <c r="G243">
        <f t="shared" si="18"/>
        <v>404.11062611806801</v>
      </c>
      <c r="H243">
        <v>137.25</v>
      </c>
      <c r="I243" t="s">
        <v>38</v>
      </c>
      <c r="J243">
        <f t="shared" ref="J243:J253" si="20">H243/45.36</f>
        <v>3.0257936507936507</v>
      </c>
    </row>
    <row r="244" spans="1:10" x14ac:dyDescent="0.35">
      <c r="A244" s="1">
        <v>36951</v>
      </c>
      <c r="B244" t="s">
        <v>13</v>
      </c>
      <c r="C244" t="s">
        <v>38</v>
      </c>
      <c r="D244">
        <v>5885</v>
      </c>
      <c r="E244">
        <v>44432</v>
      </c>
      <c r="F244">
        <f t="shared" si="17"/>
        <v>7.5500424808836026</v>
      </c>
      <c r="G244">
        <f t="shared" si="18"/>
        <v>342.46992693288018</v>
      </c>
      <c r="H244">
        <v>182.91666666666666</v>
      </c>
      <c r="I244" t="s">
        <v>38</v>
      </c>
      <c r="J244">
        <f t="shared" si="20"/>
        <v>4.0325543797766015</v>
      </c>
    </row>
    <row r="245" spans="1:10" x14ac:dyDescent="0.35">
      <c r="A245" s="1">
        <v>36982</v>
      </c>
      <c r="B245" t="s">
        <v>13</v>
      </c>
      <c r="C245" t="s">
        <v>38</v>
      </c>
      <c r="D245">
        <v>4229</v>
      </c>
      <c r="E245">
        <v>38388</v>
      </c>
      <c r="F245">
        <f t="shared" si="17"/>
        <v>9.0773232442657843</v>
      </c>
      <c r="G245">
        <f t="shared" si="18"/>
        <v>411.74738235989599</v>
      </c>
      <c r="H245">
        <v>164.42142857142858</v>
      </c>
      <c r="I245" t="s">
        <v>38</v>
      </c>
      <c r="J245">
        <f t="shared" si="20"/>
        <v>3.6248110355253216</v>
      </c>
    </row>
    <row r="246" spans="1:10" x14ac:dyDescent="0.35">
      <c r="A246" s="1">
        <v>37012</v>
      </c>
      <c r="B246" t="s">
        <v>13</v>
      </c>
      <c r="C246" t="s">
        <v>38</v>
      </c>
      <c r="D246">
        <v>3828</v>
      </c>
      <c r="E246">
        <v>28655</v>
      </c>
      <c r="F246">
        <f t="shared" si="17"/>
        <v>7.485632183908046</v>
      </c>
      <c r="G246">
        <f t="shared" si="18"/>
        <v>339.54827586206898</v>
      </c>
      <c r="H246">
        <v>188.58333333333334</v>
      </c>
      <c r="I246" t="s">
        <v>38</v>
      </c>
      <c r="J246">
        <f t="shared" si="20"/>
        <v>4.1574808935920053</v>
      </c>
    </row>
    <row r="247" spans="1:10" x14ac:dyDescent="0.35">
      <c r="A247" s="1">
        <v>37043</v>
      </c>
      <c r="B247" t="s">
        <v>13</v>
      </c>
      <c r="C247" t="s">
        <v>38</v>
      </c>
      <c r="D247">
        <v>3959</v>
      </c>
      <c r="E247">
        <v>30587</v>
      </c>
      <c r="F247">
        <f t="shared" si="17"/>
        <v>7.725940894165193</v>
      </c>
      <c r="G247">
        <f t="shared" si="18"/>
        <v>350.44867895933317</v>
      </c>
      <c r="H247">
        <v>197.43333333333331</v>
      </c>
      <c r="I247" t="s">
        <v>38</v>
      </c>
      <c r="J247">
        <f t="shared" si="20"/>
        <v>4.352586713697824</v>
      </c>
    </row>
    <row r="248" spans="1:10" x14ac:dyDescent="0.35">
      <c r="A248" s="1">
        <v>37073</v>
      </c>
      <c r="B248" t="s">
        <v>13</v>
      </c>
      <c r="C248" t="s">
        <v>38</v>
      </c>
      <c r="D248">
        <v>4466</v>
      </c>
      <c r="E248">
        <v>39968</v>
      </c>
      <c r="F248">
        <f t="shared" si="17"/>
        <v>8.9493954321540521</v>
      </c>
      <c r="G248">
        <f t="shared" si="18"/>
        <v>405.94457680250781</v>
      </c>
      <c r="H248">
        <v>209.57142857142858</v>
      </c>
      <c r="I248" t="s">
        <v>38</v>
      </c>
      <c r="J248">
        <f t="shared" si="20"/>
        <v>4.6201814058956918</v>
      </c>
    </row>
    <row r="249" spans="1:10" x14ac:dyDescent="0.35">
      <c r="A249" s="1">
        <v>37104</v>
      </c>
      <c r="B249" t="s">
        <v>13</v>
      </c>
      <c r="C249" t="s">
        <v>38</v>
      </c>
      <c r="D249">
        <v>1836</v>
      </c>
      <c r="E249">
        <v>15940</v>
      </c>
      <c r="F249">
        <f t="shared" si="17"/>
        <v>8.681917211328976</v>
      </c>
      <c r="G249">
        <f t="shared" si="18"/>
        <v>393.81176470588235</v>
      </c>
      <c r="H249">
        <v>212.73</v>
      </c>
      <c r="I249" t="s">
        <v>38</v>
      </c>
      <c r="J249">
        <f t="shared" si="20"/>
        <v>4.6898148148148149</v>
      </c>
    </row>
    <row r="250" spans="1:10" x14ac:dyDescent="0.35">
      <c r="A250" s="1">
        <v>37135</v>
      </c>
      <c r="B250" t="s">
        <v>13</v>
      </c>
      <c r="C250" t="s">
        <v>38</v>
      </c>
      <c r="D250">
        <v>1873</v>
      </c>
      <c r="E250">
        <v>14057</v>
      </c>
      <c r="F250">
        <f t="shared" si="17"/>
        <v>7.5050720768820076</v>
      </c>
      <c r="G250">
        <f t="shared" si="18"/>
        <v>340.43006940736785</v>
      </c>
      <c r="H250">
        <v>241.8</v>
      </c>
      <c r="I250" t="s">
        <v>38</v>
      </c>
      <c r="J250">
        <f t="shared" si="20"/>
        <v>5.3306878306878307</v>
      </c>
    </row>
    <row r="251" spans="1:10" x14ac:dyDescent="0.35">
      <c r="A251" s="1">
        <v>37165</v>
      </c>
      <c r="B251" t="s">
        <v>13</v>
      </c>
      <c r="C251" t="s">
        <v>38</v>
      </c>
      <c r="D251">
        <v>1818</v>
      </c>
      <c r="E251">
        <v>14746</v>
      </c>
      <c r="F251">
        <f t="shared" si="17"/>
        <v>8.1111111111111107</v>
      </c>
      <c r="G251">
        <f t="shared" si="18"/>
        <v>367.91999999999996</v>
      </c>
      <c r="H251">
        <v>285.91666666666669</v>
      </c>
      <c r="I251" t="s">
        <v>38</v>
      </c>
      <c r="J251">
        <f t="shared" si="20"/>
        <v>6.3032774838330399</v>
      </c>
    </row>
    <row r="252" spans="1:10" x14ac:dyDescent="0.35">
      <c r="A252" s="1">
        <v>37196</v>
      </c>
      <c r="B252" t="s">
        <v>13</v>
      </c>
      <c r="C252" t="s">
        <v>38</v>
      </c>
      <c r="D252">
        <v>1619</v>
      </c>
      <c r="E252">
        <v>13249</v>
      </c>
      <c r="F252">
        <f t="shared" si="17"/>
        <v>8.1834465719579992</v>
      </c>
      <c r="G252">
        <f t="shared" si="18"/>
        <v>371.20113650401481</v>
      </c>
      <c r="H252">
        <v>278.9375</v>
      </c>
      <c r="I252" t="s">
        <v>38</v>
      </c>
      <c r="J252">
        <f t="shared" si="20"/>
        <v>6.1494157848324518</v>
      </c>
    </row>
    <row r="253" spans="1:10" x14ac:dyDescent="0.35">
      <c r="A253" s="1">
        <v>37226</v>
      </c>
      <c r="B253" t="s">
        <v>13</v>
      </c>
      <c r="C253" t="s">
        <v>38</v>
      </c>
      <c r="D253">
        <v>1827</v>
      </c>
      <c r="E253">
        <v>21138</v>
      </c>
      <c r="F253">
        <f t="shared" si="17"/>
        <v>11.569786535303777</v>
      </c>
      <c r="G253">
        <f t="shared" si="18"/>
        <v>524.80551724137933</v>
      </c>
      <c r="H253">
        <v>230.35714285714286</v>
      </c>
      <c r="I253" t="s">
        <v>38</v>
      </c>
      <c r="J253">
        <f t="shared" si="20"/>
        <v>5.0784202569916861</v>
      </c>
    </row>
    <row r="254" spans="1:10" x14ac:dyDescent="0.35">
      <c r="A254" s="1">
        <v>36892</v>
      </c>
      <c r="B254" t="s">
        <v>14</v>
      </c>
      <c r="C254" t="s">
        <v>38</v>
      </c>
      <c r="D254">
        <v>2388</v>
      </c>
      <c r="E254">
        <v>1189</v>
      </c>
      <c r="F254">
        <f t="shared" si="17"/>
        <v>0.49790619765494137</v>
      </c>
      <c r="G254">
        <f t="shared" si="18"/>
        <v>22.585025125628139</v>
      </c>
      <c r="H254">
        <v>1950</v>
      </c>
      <c r="I254" t="s">
        <v>40</v>
      </c>
      <c r="J254">
        <f>(H254/1000)/0.56234</f>
        <v>3.4676530213038377</v>
      </c>
    </row>
    <row r="255" spans="1:10" x14ac:dyDescent="0.35">
      <c r="A255" s="1">
        <v>36923</v>
      </c>
      <c r="B255" t="s">
        <v>14</v>
      </c>
      <c r="C255" t="s">
        <v>38</v>
      </c>
      <c r="D255">
        <v>4937</v>
      </c>
      <c r="E255">
        <v>13682</v>
      </c>
      <c r="F255">
        <f t="shared" si="17"/>
        <v>2.7713186145432447</v>
      </c>
      <c r="G255">
        <f t="shared" si="18"/>
        <v>125.70701235568158</v>
      </c>
      <c r="H255">
        <v>2000</v>
      </c>
      <c r="I255" t="s">
        <v>40</v>
      </c>
      <c r="J255">
        <f t="shared" ref="J255:J265" si="21">(H255/1000)/0.56234</f>
        <v>3.5565672013372698</v>
      </c>
    </row>
    <row r="256" spans="1:10" x14ac:dyDescent="0.35">
      <c r="A256" s="1">
        <v>36951</v>
      </c>
      <c r="B256" t="s">
        <v>14</v>
      </c>
      <c r="C256" t="s">
        <v>38</v>
      </c>
      <c r="D256">
        <v>660</v>
      </c>
      <c r="E256">
        <v>530</v>
      </c>
      <c r="F256">
        <f t="shared" si="17"/>
        <v>0.80303030303030298</v>
      </c>
      <c r="G256">
        <f t="shared" si="18"/>
        <v>36.425454545454542</v>
      </c>
      <c r="H256">
        <v>3312.5</v>
      </c>
      <c r="I256" t="s">
        <v>40</v>
      </c>
      <c r="J256">
        <f t="shared" si="21"/>
        <v>5.8905644272148523</v>
      </c>
    </row>
    <row r="257" spans="1:10" x14ac:dyDescent="0.35">
      <c r="A257" s="1">
        <v>36982</v>
      </c>
      <c r="B257" t="s">
        <v>14</v>
      </c>
      <c r="C257" t="s">
        <v>38</v>
      </c>
      <c r="D257">
        <v>291</v>
      </c>
      <c r="E257">
        <v>517</v>
      </c>
      <c r="F257">
        <f t="shared" si="17"/>
        <v>1.7766323024054982</v>
      </c>
      <c r="G257">
        <f t="shared" si="18"/>
        <v>80.588041237113401</v>
      </c>
      <c r="H257">
        <v>3533.3333333333335</v>
      </c>
      <c r="I257" t="s">
        <v>40</v>
      </c>
      <c r="J257">
        <f t="shared" si="21"/>
        <v>6.2832687223625099</v>
      </c>
    </row>
    <row r="258" spans="1:10" x14ac:dyDescent="0.35">
      <c r="A258" s="1">
        <v>37012</v>
      </c>
      <c r="B258" t="s">
        <v>14</v>
      </c>
      <c r="C258" t="s">
        <v>38</v>
      </c>
      <c r="D258">
        <v>42</v>
      </c>
      <c r="E258">
        <v>114</v>
      </c>
      <c r="F258">
        <f t="shared" si="17"/>
        <v>2.7142857142857144</v>
      </c>
      <c r="G258">
        <f t="shared" si="18"/>
        <v>123.12</v>
      </c>
      <c r="H258">
        <v>5500</v>
      </c>
      <c r="I258" t="s">
        <v>40</v>
      </c>
      <c r="J258">
        <f t="shared" si="21"/>
        <v>9.780559803677491</v>
      </c>
    </row>
    <row r="259" spans="1:10" x14ac:dyDescent="0.35">
      <c r="A259" s="1">
        <v>37043</v>
      </c>
      <c r="B259" t="s">
        <v>14</v>
      </c>
      <c r="C259" t="s">
        <v>38</v>
      </c>
      <c r="D259">
        <v>1682</v>
      </c>
      <c r="E259">
        <v>4741</v>
      </c>
      <c r="F259">
        <f t="shared" si="17"/>
        <v>2.8186682520808559</v>
      </c>
      <c r="G259">
        <f t="shared" si="18"/>
        <v>127.85479191438762</v>
      </c>
      <c r="H259">
        <v>1783.3333333333333</v>
      </c>
      <c r="I259" t="s">
        <v>40</v>
      </c>
      <c r="J259">
        <f t="shared" si="21"/>
        <v>3.1712724211923984</v>
      </c>
    </row>
    <row r="260" spans="1:10" x14ac:dyDescent="0.35">
      <c r="A260" s="1">
        <v>37073</v>
      </c>
      <c r="B260" t="s">
        <v>14</v>
      </c>
      <c r="C260" t="s">
        <v>38</v>
      </c>
      <c r="D260">
        <v>2161</v>
      </c>
      <c r="E260">
        <v>6496</v>
      </c>
      <c r="F260">
        <f t="shared" si="17"/>
        <v>3.0060157334567328</v>
      </c>
      <c r="G260">
        <f t="shared" si="18"/>
        <v>136.35287366959739</v>
      </c>
      <c r="H260">
        <v>2023.0840000000001</v>
      </c>
      <c r="I260" t="s">
        <v>40</v>
      </c>
      <c r="J260">
        <f t="shared" si="21"/>
        <v>3.5976170999751043</v>
      </c>
    </row>
    <row r="261" spans="1:10" x14ac:dyDescent="0.35">
      <c r="A261" s="1">
        <v>37104</v>
      </c>
      <c r="B261" t="s">
        <v>14</v>
      </c>
      <c r="C261" t="s">
        <v>38</v>
      </c>
      <c r="D261">
        <v>21636</v>
      </c>
      <c r="E261">
        <v>37722</v>
      </c>
      <c r="F261">
        <f t="shared" si="17"/>
        <v>1.7434830837493067</v>
      </c>
      <c r="G261">
        <f t="shared" si="18"/>
        <v>79.084392678868554</v>
      </c>
      <c r="H261">
        <v>651.25</v>
      </c>
      <c r="I261" t="s">
        <v>40</v>
      </c>
      <c r="J261">
        <f t="shared" si="21"/>
        <v>1.1581071949354484</v>
      </c>
    </row>
    <row r="262" spans="1:10" x14ac:dyDescent="0.35">
      <c r="A262" s="1">
        <v>37135</v>
      </c>
      <c r="B262" t="s">
        <v>14</v>
      </c>
      <c r="C262" t="s">
        <v>38</v>
      </c>
      <c r="D262">
        <v>28623</v>
      </c>
      <c r="E262">
        <v>50684</v>
      </c>
      <c r="F262">
        <f t="shared" si="17"/>
        <v>1.7707438074275932</v>
      </c>
      <c r="G262">
        <f t="shared" si="18"/>
        <v>80.320939104915624</v>
      </c>
      <c r="H262">
        <v>889</v>
      </c>
      <c r="I262" t="s">
        <v>40</v>
      </c>
      <c r="J262">
        <f t="shared" si="21"/>
        <v>1.5808941209944163</v>
      </c>
    </row>
    <row r="263" spans="1:10" x14ac:dyDescent="0.35">
      <c r="A263" s="1">
        <v>37165</v>
      </c>
      <c r="B263" t="s">
        <v>14</v>
      </c>
      <c r="C263" t="s">
        <v>38</v>
      </c>
      <c r="D263">
        <v>24847</v>
      </c>
      <c r="E263">
        <v>38878</v>
      </c>
      <c r="F263">
        <f t="shared" si="17"/>
        <v>1.5646959391475832</v>
      </c>
      <c r="G263">
        <f t="shared" si="18"/>
        <v>70.974607799734372</v>
      </c>
      <c r="H263">
        <v>1432.9483333333335</v>
      </c>
      <c r="I263" t="s">
        <v>40</v>
      </c>
      <c r="J263">
        <f t="shared" si="21"/>
        <v>2.5481885217721194</v>
      </c>
    </row>
    <row r="264" spans="1:10" x14ac:dyDescent="0.35">
      <c r="A264" s="1">
        <v>37196</v>
      </c>
      <c r="B264" t="s">
        <v>14</v>
      </c>
      <c r="C264" t="s">
        <v>38</v>
      </c>
      <c r="D264">
        <v>20940</v>
      </c>
      <c r="E264">
        <v>37522</v>
      </c>
      <c r="F264">
        <f t="shared" si="17"/>
        <v>1.7918815663801337</v>
      </c>
      <c r="G264">
        <f t="shared" si="18"/>
        <v>81.279747851002867</v>
      </c>
      <c r="H264">
        <v>1155.4066666666668</v>
      </c>
      <c r="I264" t="s">
        <v>40</v>
      </c>
      <c r="J264">
        <f t="shared" si="21"/>
        <v>2.0546407274365452</v>
      </c>
    </row>
    <row r="265" spans="1:10" x14ac:dyDescent="0.35">
      <c r="A265" s="1">
        <v>37226</v>
      </c>
      <c r="B265" t="s">
        <v>14</v>
      </c>
      <c r="C265" t="s">
        <v>38</v>
      </c>
      <c r="D265">
        <v>30192</v>
      </c>
      <c r="E265">
        <v>52764</v>
      </c>
      <c r="F265">
        <f t="shared" si="17"/>
        <v>1.7476152623211447</v>
      </c>
      <c r="G265">
        <f>F265*45.36</f>
        <v>79.271828298887129</v>
      </c>
      <c r="H265">
        <v>1333.3333333333333</v>
      </c>
      <c r="I265" t="s">
        <v>40</v>
      </c>
      <c r="J265">
        <f t="shared" si="21"/>
        <v>2.371044800891513</v>
      </c>
    </row>
    <row r="266" spans="1:10" x14ac:dyDescent="0.35">
      <c r="A266" s="1">
        <v>36892</v>
      </c>
      <c r="B266" t="s">
        <v>15</v>
      </c>
      <c r="C266" t="s">
        <v>41</v>
      </c>
      <c r="D266">
        <v>262060</v>
      </c>
      <c r="E266">
        <v>1496409</v>
      </c>
      <c r="F266">
        <f t="shared" si="17"/>
        <v>5.7101770586888501</v>
      </c>
      <c r="G266">
        <f>F266*27.21</f>
        <v>155.37391776692363</v>
      </c>
      <c r="H266">
        <v>26.375</v>
      </c>
      <c r="I266" t="s">
        <v>58</v>
      </c>
      <c r="J266">
        <f>H266/27.21</f>
        <v>0.9693127526644616</v>
      </c>
    </row>
    <row r="267" spans="1:10" x14ac:dyDescent="0.35">
      <c r="A267" s="1">
        <v>36923</v>
      </c>
      <c r="B267" t="s">
        <v>15</v>
      </c>
      <c r="C267" t="s">
        <v>41</v>
      </c>
      <c r="D267">
        <v>236684</v>
      </c>
      <c r="E267">
        <v>1102392</v>
      </c>
      <c r="F267">
        <f t="shared" si="17"/>
        <v>4.657653242297747</v>
      </c>
      <c r="G267">
        <f t="shared" ref="G267:G277" si="22">F267*27.21</f>
        <v>126.7347447229217</v>
      </c>
      <c r="H267">
        <v>27.393750000000001</v>
      </c>
      <c r="I267" t="s">
        <v>58</v>
      </c>
      <c r="J267">
        <f t="shared" ref="J267:J277" si="23">H267/27.21</f>
        <v>1.0067530319735392</v>
      </c>
    </row>
    <row r="268" spans="1:10" x14ac:dyDescent="0.35">
      <c r="A268" s="1">
        <v>36951</v>
      </c>
      <c r="B268" t="s">
        <v>15</v>
      </c>
      <c r="C268" t="s">
        <v>41</v>
      </c>
      <c r="D268">
        <v>235745</v>
      </c>
      <c r="E268">
        <v>1261443</v>
      </c>
      <c r="F268">
        <f t="shared" si="17"/>
        <v>5.3508791278712167</v>
      </c>
      <c r="G268">
        <f t="shared" si="22"/>
        <v>145.5974210693758</v>
      </c>
      <c r="H268">
        <v>25.813333333333333</v>
      </c>
      <c r="I268" t="s">
        <v>58</v>
      </c>
      <c r="J268">
        <f t="shared" si="23"/>
        <v>0.94867083180203349</v>
      </c>
    </row>
    <row r="269" spans="1:10" x14ac:dyDescent="0.35">
      <c r="A269" s="1">
        <v>36982</v>
      </c>
      <c r="B269" t="s">
        <v>15</v>
      </c>
      <c r="C269" t="s">
        <v>41</v>
      </c>
      <c r="D269">
        <v>241834</v>
      </c>
      <c r="E269">
        <v>1437043</v>
      </c>
      <c r="F269">
        <f t="shared" si="17"/>
        <v>5.9422703176559128</v>
      </c>
      <c r="G269">
        <f t="shared" si="22"/>
        <v>161.68917534341739</v>
      </c>
      <c r="H269">
        <v>22.618571428571425</v>
      </c>
      <c r="I269" t="s">
        <v>58</v>
      </c>
      <c r="J269">
        <f t="shared" si="23"/>
        <v>0.83125951593426772</v>
      </c>
    </row>
    <row r="270" spans="1:10" x14ac:dyDescent="0.35">
      <c r="A270" s="1">
        <v>37012</v>
      </c>
      <c r="B270" t="s">
        <v>15</v>
      </c>
      <c r="C270" t="s">
        <v>41</v>
      </c>
      <c r="D270">
        <v>215704</v>
      </c>
      <c r="E270">
        <v>1590318</v>
      </c>
      <c r="F270">
        <f t="shared" ref="F270:F312" si="24">E270/D270</f>
        <v>7.3726866446612025</v>
      </c>
      <c r="G270">
        <f t="shared" si="22"/>
        <v>200.61080360123134</v>
      </c>
      <c r="H270">
        <v>56.195</v>
      </c>
      <c r="I270" t="s">
        <v>58</v>
      </c>
      <c r="J270">
        <f t="shared" si="23"/>
        <v>2.0652333700845276</v>
      </c>
    </row>
    <row r="271" spans="1:10" x14ac:dyDescent="0.35">
      <c r="A271" s="1">
        <v>37043</v>
      </c>
      <c r="B271" t="s">
        <v>15</v>
      </c>
      <c r="C271" t="s">
        <v>41</v>
      </c>
      <c r="D271">
        <v>359994</v>
      </c>
      <c r="E271">
        <v>1679103</v>
      </c>
      <c r="F271">
        <f t="shared" si="24"/>
        <v>4.6642527375456257</v>
      </c>
      <c r="G271">
        <f t="shared" si="22"/>
        <v>126.91431698861648</v>
      </c>
      <c r="H271">
        <v>20.87142857142857</v>
      </c>
      <c r="I271" t="s">
        <v>58</v>
      </c>
      <c r="J271">
        <f t="shared" si="23"/>
        <v>0.76704992912269643</v>
      </c>
    </row>
    <row r="272" spans="1:10" x14ac:dyDescent="0.35">
      <c r="A272" s="1">
        <v>37073</v>
      </c>
      <c r="B272" t="s">
        <v>15</v>
      </c>
      <c r="C272" t="s">
        <v>41</v>
      </c>
      <c r="D272">
        <v>250269</v>
      </c>
      <c r="E272">
        <v>1750629</v>
      </c>
      <c r="F272">
        <f t="shared" si="24"/>
        <v>6.9949893914148378</v>
      </c>
      <c r="G272">
        <f t="shared" si="22"/>
        <v>190.33366134039775</v>
      </c>
      <c r="H272">
        <v>21.264285714285712</v>
      </c>
      <c r="I272" t="s">
        <v>58</v>
      </c>
      <c r="J272">
        <f t="shared" si="23"/>
        <v>0.78148789835669652</v>
      </c>
    </row>
    <row r="273" spans="1:10" x14ac:dyDescent="0.35">
      <c r="A273" s="1">
        <v>37104</v>
      </c>
      <c r="B273" t="s">
        <v>15</v>
      </c>
      <c r="C273" t="s">
        <v>41</v>
      </c>
      <c r="D273">
        <v>240014</v>
      </c>
      <c r="E273">
        <v>1683905</v>
      </c>
      <c r="F273">
        <f t="shared" si="24"/>
        <v>7.0158615747414732</v>
      </c>
      <c r="G273">
        <f t="shared" si="22"/>
        <v>190.90159344871549</v>
      </c>
      <c r="H273">
        <v>26.477142857142859</v>
      </c>
      <c r="I273" t="s">
        <v>58</v>
      </c>
      <c r="J273">
        <f t="shared" si="23"/>
        <v>0.97306662466530169</v>
      </c>
    </row>
    <row r="274" spans="1:10" x14ac:dyDescent="0.35">
      <c r="A274" s="1">
        <v>37135</v>
      </c>
      <c r="B274" t="s">
        <v>15</v>
      </c>
      <c r="C274" t="s">
        <v>41</v>
      </c>
      <c r="D274">
        <v>241518</v>
      </c>
      <c r="E274">
        <v>1491815</v>
      </c>
      <c r="F274">
        <f t="shared" si="24"/>
        <v>6.1768274000281549</v>
      </c>
      <c r="G274">
        <f t="shared" si="22"/>
        <v>168.0714735547661</v>
      </c>
      <c r="H274">
        <v>26.838000000000001</v>
      </c>
      <c r="I274" t="s">
        <v>58</v>
      </c>
      <c r="J274">
        <f t="shared" si="23"/>
        <v>0.98632855567805955</v>
      </c>
    </row>
    <row r="275" spans="1:10" x14ac:dyDescent="0.35">
      <c r="A275" s="1">
        <v>37165</v>
      </c>
      <c r="B275" t="s">
        <v>15</v>
      </c>
      <c r="C275" t="s">
        <v>41</v>
      </c>
      <c r="D275">
        <v>235103</v>
      </c>
      <c r="E275">
        <v>1363225</v>
      </c>
      <c r="F275">
        <f t="shared" si="24"/>
        <v>5.7984160134068894</v>
      </c>
      <c r="G275">
        <f t="shared" si="22"/>
        <v>157.77489972480146</v>
      </c>
      <c r="H275">
        <v>28.568333333333332</v>
      </c>
      <c r="I275" t="s">
        <v>58</v>
      </c>
      <c r="J275">
        <f t="shared" si="23"/>
        <v>1.0499203724121033</v>
      </c>
    </row>
    <row r="276" spans="1:10" x14ac:dyDescent="0.35">
      <c r="A276" s="1">
        <v>37196</v>
      </c>
      <c r="B276" t="s">
        <v>15</v>
      </c>
      <c r="C276" t="s">
        <v>41</v>
      </c>
      <c r="D276">
        <v>250820</v>
      </c>
      <c r="E276">
        <v>1363231</v>
      </c>
      <c r="F276">
        <f t="shared" si="24"/>
        <v>5.4350968822262979</v>
      </c>
      <c r="G276">
        <f t="shared" si="22"/>
        <v>147.88898616537756</v>
      </c>
      <c r="H276">
        <v>25.208333333333332</v>
      </c>
      <c r="I276" t="s">
        <v>58</v>
      </c>
      <c r="J276">
        <f t="shared" si="23"/>
        <v>0.92643635918167333</v>
      </c>
    </row>
    <row r="277" spans="1:10" x14ac:dyDescent="0.35">
      <c r="A277" s="1">
        <v>37226</v>
      </c>
      <c r="B277" t="s">
        <v>15</v>
      </c>
      <c r="C277" t="s">
        <v>41</v>
      </c>
      <c r="D277">
        <v>242862</v>
      </c>
      <c r="E277">
        <v>1825710</v>
      </c>
      <c r="F277">
        <f t="shared" si="24"/>
        <v>7.5174790621834626</v>
      </c>
      <c r="G277">
        <f t="shared" si="22"/>
        <v>204.55060528201201</v>
      </c>
      <c r="H277">
        <v>28.161666666666665</v>
      </c>
      <c r="I277" t="s">
        <v>58</v>
      </c>
      <c r="J277">
        <f t="shared" si="23"/>
        <v>1.0349748866838171</v>
      </c>
    </row>
    <row r="278" spans="1:10" x14ac:dyDescent="0.35">
      <c r="A278" s="1">
        <v>36892</v>
      </c>
      <c r="B278" t="s">
        <v>18</v>
      </c>
      <c r="C278" t="s">
        <v>40</v>
      </c>
      <c r="D278">
        <v>615721</v>
      </c>
      <c r="E278">
        <v>76185</v>
      </c>
      <c r="F278">
        <f t="shared" si="24"/>
        <v>0.12373298945463936</v>
      </c>
      <c r="G278">
        <f>F278*408.15</f>
        <v>50.501619645911049</v>
      </c>
      <c r="H278">
        <v>1594.0833333333333</v>
      </c>
      <c r="I278" t="s">
        <v>40</v>
      </c>
      <c r="J278">
        <f>(H278/1000)/0.40815</f>
        <v>3.905631099677406</v>
      </c>
    </row>
    <row r="279" spans="1:10" x14ac:dyDescent="0.35">
      <c r="A279" s="1">
        <v>36923</v>
      </c>
      <c r="B279" t="s">
        <v>18</v>
      </c>
      <c r="C279" t="s">
        <v>40</v>
      </c>
      <c r="D279">
        <v>643333</v>
      </c>
      <c r="E279">
        <v>71598</v>
      </c>
      <c r="F279">
        <f t="shared" si="24"/>
        <v>0.11129228564367132</v>
      </c>
      <c r="G279">
        <f t="shared" ref="G279:G288" si="25">F279*408.15</f>
        <v>45.423946385464447</v>
      </c>
      <c r="H279">
        <v>1434.6875</v>
      </c>
      <c r="I279" t="s">
        <v>40</v>
      </c>
      <c r="J279">
        <f t="shared" ref="J279:J289" si="26">(H279/1000)/0.40815</f>
        <v>3.5150986157050101</v>
      </c>
    </row>
    <row r="280" spans="1:10" x14ac:dyDescent="0.35">
      <c r="A280" s="1">
        <v>36951</v>
      </c>
      <c r="B280" t="s">
        <v>18</v>
      </c>
      <c r="C280" t="s">
        <v>40</v>
      </c>
      <c r="D280">
        <v>644090</v>
      </c>
      <c r="E280">
        <v>83925</v>
      </c>
      <c r="F280">
        <f t="shared" si="24"/>
        <v>0.13030011333819808</v>
      </c>
      <c r="G280">
        <f t="shared" si="25"/>
        <v>53.181991258985541</v>
      </c>
      <c r="H280">
        <v>1040.2716666666668</v>
      </c>
      <c r="I280" t="s">
        <v>40</v>
      </c>
      <c r="J280">
        <f t="shared" si="26"/>
        <v>2.5487484176569071</v>
      </c>
    </row>
    <row r="281" spans="1:10" x14ac:dyDescent="0.35">
      <c r="A281" s="1">
        <v>36982</v>
      </c>
      <c r="B281" t="s">
        <v>18</v>
      </c>
      <c r="C281" t="s">
        <v>40</v>
      </c>
      <c r="D281">
        <v>663727</v>
      </c>
      <c r="E281">
        <v>108938</v>
      </c>
      <c r="F281">
        <f t="shared" si="24"/>
        <v>0.16413073447366161</v>
      </c>
      <c r="G281">
        <f t="shared" si="25"/>
        <v>66.98995927542498</v>
      </c>
      <c r="H281">
        <v>773.60714285714289</v>
      </c>
      <c r="I281" t="s">
        <v>40</v>
      </c>
      <c r="J281">
        <f t="shared" si="26"/>
        <v>1.8953991004707655</v>
      </c>
    </row>
    <row r="282" spans="1:10" x14ac:dyDescent="0.35">
      <c r="A282" s="1">
        <v>37012</v>
      </c>
      <c r="B282" t="s">
        <v>18</v>
      </c>
      <c r="C282" t="s">
        <v>40</v>
      </c>
      <c r="D282">
        <v>679450</v>
      </c>
      <c r="E282">
        <v>131583</v>
      </c>
      <c r="F282">
        <f t="shared" si="24"/>
        <v>0.19366104937817352</v>
      </c>
      <c r="G282">
        <f t="shared" si="25"/>
        <v>79.042757303701521</v>
      </c>
      <c r="H282">
        <v>718</v>
      </c>
      <c r="I282" t="s">
        <v>40</v>
      </c>
      <c r="J282">
        <f t="shared" si="26"/>
        <v>1.7591571726081097</v>
      </c>
    </row>
    <row r="283" spans="1:10" x14ac:dyDescent="0.35">
      <c r="A283" s="1">
        <v>37043</v>
      </c>
      <c r="B283" t="s">
        <v>18</v>
      </c>
      <c r="C283" t="s">
        <v>40</v>
      </c>
      <c r="D283">
        <v>563812</v>
      </c>
      <c r="E283">
        <v>128943</v>
      </c>
      <c r="F283">
        <f t="shared" si="24"/>
        <v>0.22869857328329302</v>
      </c>
      <c r="G283">
        <f t="shared" si="25"/>
        <v>93.343322685576041</v>
      </c>
      <c r="H283">
        <v>629.58571428571429</v>
      </c>
      <c r="I283" t="s">
        <v>40</v>
      </c>
      <c r="J283">
        <f t="shared" si="26"/>
        <v>1.5425351323918026</v>
      </c>
    </row>
    <row r="284" spans="1:10" x14ac:dyDescent="0.35">
      <c r="A284" s="1">
        <v>37073</v>
      </c>
      <c r="B284" t="s">
        <v>18</v>
      </c>
      <c r="C284" t="s">
        <v>40</v>
      </c>
      <c r="D284">
        <v>677147</v>
      </c>
      <c r="E284">
        <v>162572</v>
      </c>
      <c r="F284">
        <f t="shared" si="24"/>
        <v>0.2400837632006049</v>
      </c>
      <c r="G284">
        <f t="shared" si="25"/>
        <v>97.990187950326884</v>
      </c>
      <c r="H284">
        <v>659.09571428571428</v>
      </c>
      <c r="I284" t="s">
        <v>40</v>
      </c>
      <c r="J284">
        <f t="shared" si="26"/>
        <v>1.6148369822019213</v>
      </c>
    </row>
    <row r="285" spans="1:10" x14ac:dyDescent="0.35">
      <c r="A285" s="1">
        <v>37104</v>
      </c>
      <c r="B285" t="s">
        <v>18</v>
      </c>
      <c r="C285" t="s">
        <v>40</v>
      </c>
      <c r="D285">
        <v>671217</v>
      </c>
      <c r="E285">
        <v>123416</v>
      </c>
      <c r="F285">
        <f t="shared" si="24"/>
        <v>0.18386900212598906</v>
      </c>
      <c r="G285">
        <f t="shared" si="25"/>
        <v>75.046133217722428</v>
      </c>
      <c r="H285">
        <v>853.41666666666663</v>
      </c>
      <c r="I285" t="s">
        <v>40</v>
      </c>
      <c r="J285">
        <f t="shared" si="26"/>
        <v>2.0909387888439706</v>
      </c>
    </row>
    <row r="286" spans="1:10" x14ac:dyDescent="0.35">
      <c r="A286" s="1">
        <v>37135</v>
      </c>
      <c r="B286" t="s">
        <v>18</v>
      </c>
      <c r="C286" t="s">
        <v>40</v>
      </c>
      <c r="D286">
        <v>629905</v>
      </c>
      <c r="E286">
        <v>106861</v>
      </c>
      <c r="F286">
        <f t="shared" si="24"/>
        <v>0.16964621649296321</v>
      </c>
      <c r="G286">
        <f t="shared" si="25"/>
        <v>69.24110326160293</v>
      </c>
      <c r="H286">
        <v>1074.4760000000001</v>
      </c>
      <c r="I286" t="s">
        <v>40</v>
      </c>
      <c r="J286">
        <f t="shared" si="26"/>
        <v>2.6325517579321334</v>
      </c>
    </row>
    <row r="287" spans="1:10" x14ac:dyDescent="0.35">
      <c r="A287" s="1">
        <v>37165</v>
      </c>
      <c r="B287" t="s">
        <v>18</v>
      </c>
      <c r="C287" t="s">
        <v>40</v>
      </c>
      <c r="D287">
        <v>644442</v>
      </c>
      <c r="E287">
        <v>90731</v>
      </c>
      <c r="F287">
        <f t="shared" si="24"/>
        <v>0.14079001678971886</v>
      </c>
      <c r="G287">
        <f t="shared" si="25"/>
        <v>57.463445352723753</v>
      </c>
      <c r="H287">
        <v>1247.2271428571428</v>
      </c>
      <c r="I287" t="s">
        <v>40</v>
      </c>
      <c r="J287">
        <f t="shared" si="26"/>
        <v>3.055805813688945</v>
      </c>
    </row>
    <row r="288" spans="1:10" x14ac:dyDescent="0.35">
      <c r="A288" s="1">
        <v>37196</v>
      </c>
      <c r="B288" t="s">
        <v>18</v>
      </c>
      <c r="C288" t="s">
        <v>40</v>
      </c>
      <c r="D288">
        <v>657917</v>
      </c>
      <c r="E288">
        <v>89153</v>
      </c>
      <c r="F288">
        <f t="shared" si="24"/>
        <v>0.13550797441014595</v>
      </c>
      <c r="G288">
        <f t="shared" si="25"/>
        <v>55.307579755501067</v>
      </c>
      <c r="H288">
        <v>1350</v>
      </c>
      <c r="I288" t="s">
        <v>40</v>
      </c>
      <c r="J288">
        <f t="shared" si="26"/>
        <v>3.3076074972436604</v>
      </c>
    </row>
    <row r="289" spans="1:11" x14ac:dyDescent="0.35">
      <c r="A289" s="1">
        <v>37226</v>
      </c>
      <c r="B289" t="s">
        <v>18</v>
      </c>
      <c r="C289" t="s">
        <v>40</v>
      </c>
      <c r="D289">
        <v>476240</v>
      </c>
      <c r="E289">
        <v>82053</v>
      </c>
      <c r="F289">
        <f t="shared" si="24"/>
        <v>0.17229338148832521</v>
      </c>
      <c r="G289">
        <f>F289*408.15</f>
        <v>70.32154365445993</v>
      </c>
      <c r="H289">
        <v>1639.33</v>
      </c>
      <c r="I289" t="s">
        <v>40</v>
      </c>
      <c r="J289">
        <f t="shared" si="26"/>
        <v>4.0164890358936667</v>
      </c>
    </row>
    <row r="290" spans="1:11" x14ac:dyDescent="0.35">
      <c r="A290" s="1">
        <v>37257</v>
      </c>
      <c r="B290" t="s">
        <v>2</v>
      </c>
      <c r="C290" t="s">
        <v>38</v>
      </c>
      <c r="D290">
        <v>61906</v>
      </c>
      <c r="E290">
        <v>161648</v>
      </c>
      <c r="F290">
        <f t="shared" si="24"/>
        <v>2.6111846993829353</v>
      </c>
      <c r="G290">
        <f>F290*45.36</f>
        <v>118.44333796400994</v>
      </c>
      <c r="H290">
        <v>982.66666666666652</v>
      </c>
      <c r="I290" t="s">
        <v>59</v>
      </c>
      <c r="J290">
        <f>H290/110</f>
        <v>8.9333333333333318</v>
      </c>
      <c r="K290">
        <v>1921.06</v>
      </c>
    </row>
    <row r="291" spans="1:11" x14ac:dyDescent="0.35">
      <c r="A291" s="1">
        <v>37288</v>
      </c>
      <c r="B291" t="s">
        <v>2</v>
      </c>
      <c r="C291" t="s">
        <v>38</v>
      </c>
      <c r="D291">
        <v>28533</v>
      </c>
      <c r="E291">
        <v>106976</v>
      </c>
      <c r="F291">
        <f t="shared" si="24"/>
        <v>3.749202677601374</v>
      </c>
      <c r="G291">
        <f t="shared" ref="G291:G354" si="27">F291*45.36</f>
        <v>170.06383345599832</v>
      </c>
      <c r="H291">
        <v>854.95049504950498</v>
      </c>
      <c r="I291" t="s">
        <v>59</v>
      </c>
      <c r="J291">
        <f t="shared" ref="J291:J301" si="28">H291/110</f>
        <v>7.772277227722773</v>
      </c>
      <c r="K291">
        <v>1921.06</v>
      </c>
    </row>
    <row r="292" spans="1:11" x14ac:dyDescent="0.35">
      <c r="A292" s="1">
        <v>37316</v>
      </c>
      <c r="B292" t="s">
        <v>2</v>
      </c>
      <c r="C292" t="s">
        <v>38</v>
      </c>
      <c r="D292">
        <v>6440</v>
      </c>
      <c r="E292">
        <v>20308</v>
      </c>
      <c r="F292">
        <f t="shared" si="24"/>
        <v>3.153416149068323</v>
      </c>
      <c r="G292">
        <f t="shared" si="27"/>
        <v>143.03895652173912</v>
      </c>
      <c r="H292">
        <v>821.91419141914184</v>
      </c>
      <c r="I292" t="s">
        <v>59</v>
      </c>
      <c r="J292">
        <f t="shared" si="28"/>
        <v>7.4719471947194709</v>
      </c>
      <c r="K292">
        <v>1921.06</v>
      </c>
    </row>
    <row r="293" spans="1:11" x14ac:dyDescent="0.35">
      <c r="A293" s="1">
        <v>37347</v>
      </c>
      <c r="B293" t="s">
        <v>2</v>
      </c>
      <c r="C293" t="s">
        <v>38</v>
      </c>
      <c r="D293">
        <v>20146</v>
      </c>
      <c r="E293">
        <v>86861</v>
      </c>
      <c r="F293">
        <f t="shared" si="24"/>
        <v>4.3115754988583346</v>
      </c>
      <c r="G293">
        <f t="shared" si="27"/>
        <v>195.57306462821404</v>
      </c>
      <c r="H293">
        <v>757.68096809680969</v>
      </c>
      <c r="I293" t="s">
        <v>59</v>
      </c>
      <c r="J293">
        <f t="shared" si="28"/>
        <v>6.8880088008800877</v>
      </c>
      <c r="K293">
        <v>1921.06</v>
      </c>
    </row>
    <row r="294" spans="1:11" x14ac:dyDescent="0.35">
      <c r="A294" s="1">
        <v>37377</v>
      </c>
      <c r="B294" t="s">
        <v>2</v>
      </c>
      <c r="C294" t="s">
        <v>38</v>
      </c>
      <c r="D294">
        <v>137336</v>
      </c>
      <c r="E294">
        <v>683761</v>
      </c>
      <c r="F294">
        <f t="shared" si="24"/>
        <v>4.978745558338673</v>
      </c>
      <c r="G294">
        <f t="shared" si="27"/>
        <v>225.8358985262422</v>
      </c>
      <c r="H294">
        <v>999.55995599559947</v>
      </c>
      <c r="I294" t="s">
        <v>59</v>
      </c>
      <c r="J294">
        <f t="shared" si="28"/>
        <v>9.0869086908690857</v>
      </c>
      <c r="K294">
        <v>1921.06</v>
      </c>
    </row>
    <row r="295" spans="1:11" x14ac:dyDescent="0.35">
      <c r="A295" s="1">
        <v>37408</v>
      </c>
      <c r="B295" t="s">
        <v>2</v>
      </c>
      <c r="C295" t="s">
        <v>38</v>
      </c>
      <c r="D295">
        <v>547886</v>
      </c>
      <c r="E295">
        <v>2891546</v>
      </c>
      <c r="F295">
        <f t="shared" si="24"/>
        <v>5.2776416991855974</v>
      </c>
      <c r="G295">
        <f t="shared" si="27"/>
        <v>239.39382747505869</v>
      </c>
      <c r="H295">
        <v>924.70187018701859</v>
      </c>
      <c r="I295" t="s">
        <v>59</v>
      </c>
      <c r="J295">
        <f t="shared" si="28"/>
        <v>8.4063806380638049</v>
      </c>
      <c r="K295">
        <v>1921.06</v>
      </c>
    </row>
    <row r="296" spans="1:11" x14ac:dyDescent="0.35">
      <c r="A296" s="1">
        <v>37438</v>
      </c>
      <c r="B296" t="s">
        <v>2</v>
      </c>
      <c r="C296" t="s">
        <v>38</v>
      </c>
      <c r="D296">
        <v>300721</v>
      </c>
      <c r="E296">
        <v>1541745</v>
      </c>
      <c r="F296">
        <f t="shared" si="24"/>
        <v>5.1268285221185081</v>
      </c>
      <c r="G296">
        <f t="shared" si="27"/>
        <v>232.55294176329554</v>
      </c>
      <c r="H296">
        <v>848.77887788778867</v>
      </c>
      <c r="I296" t="s">
        <v>59</v>
      </c>
      <c r="J296">
        <f t="shared" si="28"/>
        <v>7.7161716171617147</v>
      </c>
      <c r="K296">
        <v>1921.06</v>
      </c>
    </row>
    <row r="297" spans="1:11" x14ac:dyDescent="0.35">
      <c r="A297" s="1">
        <v>37469</v>
      </c>
      <c r="B297" t="s">
        <v>2</v>
      </c>
      <c r="C297" t="s">
        <v>38</v>
      </c>
      <c r="D297">
        <v>155204</v>
      </c>
      <c r="E297">
        <v>731350</v>
      </c>
      <c r="F297">
        <f t="shared" si="24"/>
        <v>4.712185252957398</v>
      </c>
      <c r="G297">
        <f t="shared" si="27"/>
        <v>213.74472307414757</v>
      </c>
      <c r="H297">
        <v>856.13641364136413</v>
      </c>
      <c r="I297" t="s">
        <v>59</v>
      </c>
      <c r="J297">
        <f t="shared" si="28"/>
        <v>7.7830583058305827</v>
      </c>
      <c r="K297">
        <v>1921.06</v>
      </c>
    </row>
    <row r="298" spans="1:11" x14ac:dyDescent="0.35">
      <c r="A298" s="1">
        <v>37500</v>
      </c>
      <c r="B298" t="s">
        <v>2</v>
      </c>
      <c r="C298" t="s">
        <v>38</v>
      </c>
      <c r="D298">
        <v>296915</v>
      </c>
      <c r="E298">
        <v>1116022</v>
      </c>
      <c r="F298">
        <f t="shared" si="24"/>
        <v>3.7587255611875454</v>
      </c>
      <c r="G298">
        <f t="shared" si="27"/>
        <v>170.49579145546707</v>
      </c>
      <c r="H298">
        <v>835.97579757975802</v>
      </c>
      <c r="I298" t="s">
        <v>59</v>
      </c>
      <c r="J298">
        <f t="shared" si="28"/>
        <v>7.5997799779977999</v>
      </c>
      <c r="K298">
        <v>1921.06</v>
      </c>
    </row>
    <row r="299" spans="1:11" x14ac:dyDescent="0.35">
      <c r="A299" s="1">
        <v>37530</v>
      </c>
      <c r="B299" t="s">
        <v>2</v>
      </c>
      <c r="C299" t="s">
        <v>38</v>
      </c>
      <c r="D299">
        <v>398435</v>
      </c>
      <c r="E299">
        <v>1507853</v>
      </c>
      <c r="F299">
        <f t="shared" si="24"/>
        <v>3.7844391180493679</v>
      </c>
      <c r="G299">
        <f t="shared" si="27"/>
        <v>171.66215839471934</v>
      </c>
      <c r="H299">
        <v>842.07480748074795</v>
      </c>
      <c r="I299" t="s">
        <v>59</v>
      </c>
      <c r="J299">
        <f t="shared" si="28"/>
        <v>7.6552255225522545</v>
      </c>
      <c r="K299">
        <v>1921.06</v>
      </c>
    </row>
    <row r="300" spans="1:11" x14ac:dyDescent="0.35">
      <c r="A300" s="1">
        <v>37561</v>
      </c>
      <c r="B300" t="s">
        <v>2</v>
      </c>
      <c r="C300" t="s">
        <v>38</v>
      </c>
      <c r="D300">
        <v>294496</v>
      </c>
      <c r="E300">
        <v>1104189</v>
      </c>
      <c r="F300">
        <f t="shared" si="24"/>
        <v>3.7494193469520809</v>
      </c>
      <c r="G300">
        <f t="shared" si="27"/>
        <v>170.07366157774638</v>
      </c>
      <c r="H300">
        <v>886.82508250825072</v>
      </c>
      <c r="I300" t="s">
        <v>59</v>
      </c>
      <c r="J300">
        <f t="shared" si="28"/>
        <v>8.0620462046204615</v>
      </c>
      <c r="K300">
        <v>1921.06</v>
      </c>
    </row>
    <row r="301" spans="1:11" x14ac:dyDescent="0.35">
      <c r="A301" s="1">
        <v>37591</v>
      </c>
      <c r="B301" t="s">
        <v>2</v>
      </c>
      <c r="C301" t="s">
        <v>38</v>
      </c>
      <c r="D301">
        <v>142926</v>
      </c>
      <c r="E301">
        <v>518668</v>
      </c>
      <c r="F301">
        <f t="shared" si="24"/>
        <v>3.628926857254803</v>
      </c>
      <c r="G301">
        <f t="shared" si="27"/>
        <v>164.60812224507785</v>
      </c>
      <c r="H301">
        <v>866.88228822882286</v>
      </c>
      <c r="I301" t="s">
        <v>59</v>
      </c>
      <c r="J301">
        <f t="shared" si="28"/>
        <v>7.8807480748074807</v>
      </c>
      <c r="K301">
        <v>1921.06</v>
      </c>
    </row>
    <row r="302" spans="1:11" x14ac:dyDescent="0.35">
      <c r="A302" s="1">
        <v>37257</v>
      </c>
      <c r="B302" t="s">
        <v>5</v>
      </c>
      <c r="C302" t="s">
        <v>38</v>
      </c>
      <c r="D302">
        <v>36366</v>
      </c>
      <c r="E302">
        <v>53294</v>
      </c>
      <c r="F302">
        <f t="shared" si="24"/>
        <v>1.4654897431666942</v>
      </c>
      <c r="G302">
        <f t="shared" si="27"/>
        <v>66.474614750041255</v>
      </c>
      <c r="H302">
        <v>117.73645714285715</v>
      </c>
      <c r="I302" t="s">
        <v>38</v>
      </c>
      <c r="J302">
        <f>H302/45.36</f>
        <v>2.5956009070294788</v>
      </c>
      <c r="K302">
        <v>531.93499999999995</v>
      </c>
    </row>
    <row r="303" spans="1:11" x14ac:dyDescent="0.35">
      <c r="A303" s="1">
        <v>37288</v>
      </c>
      <c r="B303" t="s">
        <v>5</v>
      </c>
      <c r="C303" t="s">
        <v>38</v>
      </c>
      <c r="D303">
        <v>19319</v>
      </c>
      <c r="E303">
        <v>28794</v>
      </c>
      <c r="F303">
        <f t="shared" si="24"/>
        <v>1.4904498162430768</v>
      </c>
      <c r="G303">
        <f t="shared" si="27"/>
        <v>67.606803664785957</v>
      </c>
      <c r="H303">
        <v>132.37109600000002</v>
      </c>
      <c r="I303" t="s">
        <v>38</v>
      </c>
      <c r="J303">
        <f t="shared" ref="J303:J366" si="29">H303/45.36</f>
        <v>2.9182340388007062</v>
      </c>
      <c r="K303">
        <v>531.93499999999995</v>
      </c>
    </row>
    <row r="304" spans="1:11" x14ac:dyDescent="0.35">
      <c r="A304" s="1">
        <v>37316</v>
      </c>
      <c r="B304" t="s">
        <v>5</v>
      </c>
      <c r="C304" t="s">
        <v>38</v>
      </c>
      <c r="D304">
        <v>25926</v>
      </c>
      <c r="E304">
        <v>52980</v>
      </c>
      <c r="F304">
        <f t="shared" si="24"/>
        <v>2.0435084471187226</v>
      </c>
      <c r="G304">
        <f t="shared" si="27"/>
        <v>92.693543161305257</v>
      </c>
      <c r="H304">
        <v>117.74144249999999</v>
      </c>
      <c r="I304" t="s">
        <v>38</v>
      </c>
      <c r="J304">
        <f t="shared" si="29"/>
        <v>2.5957108134920635</v>
      </c>
      <c r="K304">
        <v>531.93499999999995</v>
      </c>
    </row>
    <row r="305" spans="1:11" x14ac:dyDescent="0.35">
      <c r="A305" s="1">
        <v>37347</v>
      </c>
      <c r="B305" t="s">
        <v>5</v>
      </c>
      <c r="C305" t="s">
        <v>38</v>
      </c>
      <c r="D305">
        <v>38796</v>
      </c>
      <c r="E305">
        <v>92655</v>
      </c>
      <c r="F305">
        <f t="shared" si="24"/>
        <v>2.3882616764614908</v>
      </c>
      <c r="G305">
        <f t="shared" si="27"/>
        <v>108.33154964429322</v>
      </c>
      <c r="H305">
        <v>107.69321828571427</v>
      </c>
      <c r="I305" t="s">
        <v>38</v>
      </c>
      <c r="J305">
        <f t="shared" si="29"/>
        <v>2.3741891156462582</v>
      </c>
      <c r="K305">
        <v>531.93499999999995</v>
      </c>
    </row>
    <row r="306" spans="1:11" x14ac:dyDescent="0.35">
      <c r="A306" s="1">
        <v>37377</v>
      </c>
      <c r="B306" t="s">
        <v>5</v>
      </c>
      <c r="C306" t="s">
        <v>38</v>
      </c>
      <c r="D306">
        <v>20271</v>
      </c>
      <c r="E306">
        <v>36092</v>
      </c>
      <c r="F306">
        <f t="shared" si="24"/>
        <v>1.7804745695821618</v>
      </c>
      <c r="G306">
        <f t="shared" si="27"/>
        <v>80.762326476246855</v>
      </c>
      <c r="H306">
        <v>160.91810742857143</v>
      </c>
      <c r="I306" t="s">
        <v>38</v>
      </c>
      <c r="J306">
        <f t="shared" si="29"/>
        <v>3.5475773242630386</v>
      </c>
      <c r="K306">
        <v>531.93499999999995</v>
      </c>
    </row>
    <row r="307" spans="1:11" x14ac:dyDescent="0.35">
      <c r="A307" s="1">
        <v>37408</v>
      </c>
      <c r="B307" t="s">
        <v>5</v>
      </c>
      <c r="C307" t="s">
        <v>38</v>
      </c>
      <c r="D307">
        <v>26083</v>
      </c>
      <c r="E307">
        <v>49993</v>
      </c>
      <c r="F307">
        <f t="shared" si="24"/>
        <v>1.9166890311697273</v>
      </c>
      <c r="G307">
        <f t="shared" si="27"/>
        <v>86.941014453858827</v>
      </c>
      <c r="H307">
        <v>177.79831428571427</v>
      </c>
      <c r="I307" t="s">
        <v>38</v>
      </c>
      <c r="J307">
        <f t="shared" si="29"/>
        <v>3.9197159234063994</v>
      </c>
      <c r="K307">
        <v>531.93499999999995</v>
      </c>
    </row>
    <row r="308" spans="1:11" x14ac:dyDescent="0.35">
      <c r="A308" s="1">
        <v>37438</v>
      </c>
      <c r="B308" t="s">
        <v>5</v>
      </c>
      <c r="C308" t="s">
        <v>38</v>
      </c>
      <c r="D308">
        <v>32177</v>
      </c>
      <c r="E308">
        <v>57897</v>
      </c>
      <c r="F308">
        <f t="shared" si="24"/>
        <v>1.7993287130559095</v>
      </c>
      <c r="G308">
        <f t="shared" si="27"/>
        <v>81.617550424216049</v>
      </c>
      <c r="H308">
        <v>153.39594449999998</v>
      </c>
      <c r="I308" t="s">
        <v>38</v>
      </c>
      <c r="J308">
        <f t="shared" si="29"/>
        <v>3.3817448082010579</v>
      </c>
      <c r="K308">
        <v>531.93499999999995</v>
      </c>
    </row>
    <row r="309" spans="1:11" x14ac:dyDescent="0.35">
      <c r="A309" s="1">
        <v>37469</v>
      </c>
      <c r="B309" t="s">
        <v>5</v>
      </c>
      <c r="C309" t="s">
        <v>38</v>
      </c>
      <c r="D309">
        <v>45332</v>
      </c>
      <c r="E309">
        <v>78474</v>
      </c>
      <c r="F309">
        <f t="shared" si="24"/>
        <v>1.7310950322068297</v>
      </c>
      <c r="G309">
        <f t="shared" si="27"/>
        <v>78.522470660901789</v>
      </c>
      <c r="H309">
        <v>107.46428</v>
      </c>
      <c r="I309" t="s">
        <v>38</v>
      </c>
      <c r="J309">
        <f t="shared" si="29"/>
        <v>2.3691419753086422</v>
      </c>
      <c r="K309">
        <v>531.93499999999995</v>
      </c>
    </row>
    <row r="310" spans="1:11" x14ac:dyDescent="0.35">
      <c r="A310" s="1">
        <v>37500</v>
      </c>
      <c r="B310" t="s">
        <v>5</v>
      </c>
      <c r="C310" t="s">
        <v>38</v>
      </c>
      <c r="D310">
        <v>36691</v>
      </c>
      <c r="E310">
        <v>64303</v>
      </c>
      <c r="F310">
        <f t="shared" si="24"/>
        <v>1.7525551225096072</v>
      </c>
      <c r="G310">
        <f t="shared" si="27"/>
        <v>79.495900357035779</v>
      </c>
      <c r="H310">
        <v>93.005279999999999</v>
      </c>
      <c r="I310" t="s">
        <v>38</v>
      </c>
      <c r="J310">
        <f t="shared" si="29"/>
        <v>2.0503809523809524</v>
      </c>
      <c r="K310">
        <v>531.93499999999995</v>
      </c>
    </row>
    <row r="311" spans="1:11" x14ac:dyDescent="0.35">
      <c r="A311" s="1">
        <v>37530</v>
      </c>
      <c r="B311" t="s">
        <v>5</v>
      </c>
      <c r="C311" t="s">
        <v>38</v>
      </c>
      <c r="D311">
        <v>33889</v>
      </c>
      <c r="E311">
        <v>58873</v>
      </c>
      <c r="F311">
        <f t="shared" si="24"/>
        <v>1.7372303697364926</v>
      </c>
      <c r="G311">
        <f t="shared" si="27"/>
        <v>78.800769571247301</v>
      </c>
      <c r="H311">
        <v>94.469914285714282</v>
      </c>
      <c r="I311" t="s">
        <v>38</v>
      </c>
      <c r="J311">
        <f t="shared" si="29"/>
        <v>2.0826700680272108</v>
      </c>
      <c r="K311">
        <v>531.93499999999995</v>
      </c>
    </row>
    <row r="312" spans="1:11" x14ac:dyDescent="0.35">
      <c r="A312" s="1">
        <v>37561</v>
      </c>
      <c r="B312" t="s">
        <v>5</v>
      </c>
      <c r="C312" t="s">
        <v>38</v>
      </c>
      <c r="D312">
        <v>26110</v>
      </c>
      <c r="E312">
        <v>44772</v>
      </c>
      <c r="F312">
        <f t="shared" si="24"/>
        <v>1.714745308310992</v>
      </c>
      <c r="G312">
        <f t="shared" si="27"/>
        <v>77.780847184986598</v>
      </c>
      <c r="H312">
        <v>107.0679857142857</v>
      </c>
      <c r="I312" t="s">
        <v>38</v>
      </c>
      <c r="J312">
        <f t="shared" si="29"/>
        <v>2.3604053287981857</v>
      </c>
      <c r="K312">
        <v>531.93499999999995</v>
      </c>
    </row>
    <row r="313" spans="1:11" x14ac:dyDescent="0.35">
      <c r="A313" s="1">
        <v>37591</v>
      </c>
      <c r="B313" t="s">
        <v>5</v>
      </c>
      <c r="C313" t="s">
        <v>38</v>
      </c>
      <c r="D313">
        <v>30392</v>
      </c>
      <c r="E313">
        <v>49139</v>
      </c>
      <c r="F313">
        <f>E313/D313</f>
        <v>1.6168399578836536</v>
      </c>
      <c r="G313">
        <f t="shared" si="27"/>
        <v>73.339860489602529</v>
      </c>
      <c r="H313">
        <v>140.07228749999999</v>
      </c>
      <c r="I313" t="s">
        <v>38</v>
      </c>
      <c r="J313">
        <f t="shared" si="29"/>
        <v>3.0880133928571425</v>
      </c>
      <c r="K313">
        <v>531.93499999999995</v>
      </c>
    </row>
    <row r="314" spans="1:11" x14ac:dyDescent="0.35">
      <c r="A314" s="1">
        <v>37257</v>
      </c>
      <c r="B314" t="s">
        <v>7</v>
      </c>
      <c r="C314" t="s">
        <v>38</v>
      </c>
      <c r="D314">
        <v>8168</v>
      </c>
      <c r="E314">
        <v>61135</v>
      </c>
      <c r="F314">
        <f t="shared" ref="F314:F377" si="30">E314/D314</f>
        <v>7.4846963761018612</v>
      </c>
      <c r="G314">
        <f t="shared" si="27"/>
        <v>339.50582761998044</v>
      </c>
      <c r="H314">
        <v>155.16666666666666</v>
      </c>
      <c r="I314" t="s">
        <v>38</v>
      </c>
      <c r="J314">
        <f t="shared" si="29"/>
        <v>3.4207818930041149</v>
      </c>
      <c r="K314">
        <v>945.93</v>
      </c>
    </row>
    <row r="315" spans="1:11" x14ac:dyDescent="0.35">
      <c r="A315" s="1">
        <v>37288</v>
      </c>
      <c r="B315" t="s">
        <v>7</v>
      </c>
      <c r="C315" t="s">
        <v>38</v>
      </c>
      <c r="D315">
        <v>6841</v>
      </c>
      <c r="E315">
        <v>55481</v>
      </c>
      <c r="F315">
        <f t="shared" si="30"/>
        <v>8.1100716269551238</v>
      </c>
      <c r="G315">
        <f t="shared" si="27"/>
        <v>367.87284899868439</v>
      </c>
      <c r="H315">
        <v>154.66714285714286</v>
      </c>
      <c r="I315" t="s">
        <v>38</v>
      </c>
      <c r="J315">
        <f t="shared" si="29"/>
        <v>3.4097694633408921</v>
      </c>
      <c r="K315">
        <v>945.93</v>
      </c>
    </row>
    <row r="316" spans="1:11" x14ac:dyDescent="0.35">
      <c r="A316" s="1">
        <v>37316</v>
      </c>
      <c r="B316" t="s">
        <v>7</v>
      </c>
      <c r="C316" t="s">
        <v>38</v>
      </c>
      <c r="D316">
        <v>7671</v>
      </c>
      <c r="E316">
        <v>61537</v>
      </c>
      <c r="F316">
        <f t="shared" si="30"/>
        <v>8.0220310259418586</v>
      </c>
      <c r="G316">
        <f t="shared" si="27"/>
        <v>363.87932733672272</v>
      </c>
      <c r="H316">
        <v>147.03142857142856</v>
      </c>
      <c r="I316" t="s">
        <v>38</v>
      </c>
      <c r="J316">
        <f t="shared" si="29"/>
        <v>3.2414336104812294</v>
      </c>
      <c r="K316">
        <v>945.93</v>
      </c>
    </row>
    <row r="317" spans="1:11" x14ac:dyDescent="0.35">
      <c r="A317" s="1">
        <v>37347</v>
      </c>
      <c r="B317" t="s">
        <v>7</v>
      </c>
      <c r="C317" t="s">
        <v>38</v>
      </c>
      <c r="D317">
        <v>13062</v>
      </c>
      <c r="E317">
        <v>110151</v>
      </c>
      <c r="F317">
        <f t="shared" si="30"/>
        <v>8.4329352319706015</v>
      </c>
      <c r="G317">
        <f t="shared" si="27"/>
        <v>382.51794212218647</v>
      </c>
      <c r="H317">
        <v>158.47714285714284</v>
      </c>
      <c r="I317" t="s">
        <v>38</v>
      </c>
      <c r="J317">
        <f t="shared" si="29"/>
        <v>3.4937641723356005</v>
      </c>
      <c r="K317">
        <v>945.93</v>
      </c>
    </row>
    <row r="318" spans="1:11" x14ac:dyDescent="0.35">
      <c r="A318" s="1">
        <v>37377</v>
      </c>
      <c r="B318" t="s">
        <v>7</v>
      </c>
      <c r="C318" t="s">
        <v>38</v>
      </c>
      <c r="D318">
        <v>8112</v>
      </c>
      <c r="E318">
        <v>76824</v>
      </c>
      <c r="F318">
        <f t="shared" si="30"/>
        <v>9.4704142011834325</v>
      </c>
      <c r="G318">
        <f t="shared" si="27"/>
        <v>429.57798816568049</v>
      </c>
      <c r="H318">
        <v>156</v>
      </c>
      <c r="I318" t="s">
        <v>38</v>
      </c>
      <c r="J318">
        <f t="shared" si="29"/>
        <v>3.4391534391534391</v>
      </c>
      <c r="K318">
        <v>945.93</v>
      </c>
    </row>
    <row r="319" spans="1:11" x14ac:dyDescent="0.35">
      <c r="A319" s="1">
        <v>37408</v>
      </c>
      <c r="B319" t="s">
        <v>7</v>
      </c>
      <c r="C319" t="s">
        <v>38</v>
      </c>
      <c r="D319">
        <v>5537</v>
      </c>
      <c r="E319">
        <v>55532</v>
      </c>
      <c r="F319">
        <f t="shared" si="30"/>
        <v>10.029257720787429</v>
      </c>
      <c r="G319">
        <f t="shared" si="27"/>
        <v>454.92713021491778</v>
      </c>
      <c r="H319">
        <v>136.55199999999999</v>
      </c>
      <c r="I319" t="s">
        <v>38</v>
      </c>
      <c r="J319">
        <f t="shared" si="29"/>
        <v>3.0104056437389768</v>
      </c>
      <c r="K319">
        <v>945.93</v>
      </c>
    </row>
    <row r="320" spans="1:11" x14ac:dyDescent="0.35">
      <c r="A320" s="1">
        <v>37438</v>
      </c>
      <c r="B320" t="s">
        <v>7</v>
      </c>
      <c r="C320" t="s">
        <v>38</v>
      </c>
      <c r="D320">
        <v>5969</v>
      </c>
      <c r="E320">
        <v>61422</v>
      </c>
      <c r="F320">
        <f t="shared" si="30"/>
        <v>10.290165856927459</v>
      </c>
      <c r="G320">
        <f t="shared" si="27"/>
        <v>466.76192327022954</v>
      </c>
      <c r="H320">
        <v>132.8125</v>
      </c>
      <c r="I320" t="s">
        <v>38</v>
      </c>
      <c r="J320">
        <f t="shared" si="29"/>
        <v>2.9279651675485008</v>
      </c>
      <c r="K320">
        <v>945.93</v>
      </c>
    </row>
    <row r="321" spans="1:11" x14ac:dyDescent="0.35">
      <c r="A321" s="1">
        <v>37469</v>
      </c>
      <c r="B321" t="s">
        <v>7</v>
      </c>
      <c r="C321" t="s">
        <v>38</v>
      </c>
      <c r="D321">
        <v>5397</v>
      </c>
      <c r="E321">
        <v>50727</v>
      </c>
      <c r="F321">
        <f t="shared" si="30"/>
        <v>9.3991106170094501</v>
      </c>
      <c r="G321">
        <f t="shared" si="27"/>
        <v>426.34365758754865</v>
      </c>
      <c r="H321">
        <v>129.16</v>
      </c>
      <c r="I321" t="s">
        <v>38</v>
      </c>
      <c r="J321">
        <f t="shared" si="29"/>
        <v>2.8474426807760143</v>
      </c>
      <c r="K321">
        <v>945.93</v>
      </c>
    </row>
    <row r="322" spans="1:11" x14ac:dyDescent="0.35">
      <c r="A322" s="1">
        <v>37500</v>
      </c>
      <c r="B322" t="s">
        <v>7</v>
      </c>
      <c r="C322" t="s">
        <v>38</v>
      </c>
      <c r="D322">
        <v>6618</v>
      </c>
      <c r="E322">
        <v>47719</v>
      </c>
      <c r="F322">
        <f t="shared" si="30"/>
        <v>7.210486551828347</v>
      </c>
      <c r="G322">
        <f t="shared" si="27"/>
        <v>327.06766999093384</v>
      </c>
      <c r="H322">
        <v>123.298</v>
      </c>
      <c r="I322" t="s">
        <v>38</v>
      </c>
      <c r="J322">
        <f t="shared" si="29"/>
        <v>2.7182098765432099</v>
      </c>
      <c r="K322">
        <v>945.93</v>
      </c>
    </row>
    <row r="323" spans="1:11" x14ac:dyDescent="0.35">
      <c r="A323" s="1">
        <v>37530</v>
      </c>
      <c r="B323" t="s">
        <v>7</v>
      </c>
      <c r="C323" t="s">
        <v>38</v>
      </c>
      <c r="D323">
        <v>7145</v>
      </c>
      <c r="E323">
        <v>52126</v>
      </c>
      <c r="F323">
        <f t="shared" si="30"/>
        <v>7.2954513645906225</v>
      </c>
      <c r="G323">
        <f t="shared" si="27"/>
        <v>330.92167389783066</v>
      </c>
      <c r="H323">
        <v>91.40625</v>
      </c>
      <c r="I323" t="s">
        <v>38</v>
      </c>
      <c r="J323">
        <f t="shared" si="29"/>
        <v>2.0151289682539684</v>
      </c>
      <c r="K323">
        <v>945.93</v>
      </c>
    </row>
    <row r="324" spans="1:11" x14ac:dyDescent="0.35">
      <c r="A324" s="1">
        <v>37561</v>
      </c>
      <c r="B324" t="s">
        <v>7</v>
      </c>
      <c r="C324" t="s">
        <v>38</v>
      </c>
      <c r="D324">
        <v>5757</v>
      </c>
      <c r="E324">
        <v>44285</v>
      </c>
      <c r="F324">
        <f t="shared" si="30"/>
        <v>7.6923745006079551</v>
      </c>
      <c r="G324">
        <f t="shared" si="27"/>
        <v>348.92610734757682</v>
      </c>
      <c r="H324">
        <v>99.361199999999997</v>
      </c>
      <c r="I324" t="s">
        <v>38</v>
      </c>
      <c r="J324">
        <f t="shared" si="29"/>
        <v>2.1905026455026455</v>
      </c>
      <c r="K324">
        <v>945.93</v>
      </c>
    </row>
    <row r="325" spans="1:11" x14ac:dyDescent="0.35">
      <c r="A325" s="1">
        <v>37591</v>
      </c>
      <c r="B325" t="s">
        <v>7</v>
      </c>
      <c r="C325" t="s">
        <v>38</v>
      </c>
      <c r="D325">
        <v>4697</v>
      </c>
      <c r="E325">
        <v>36064</v>
      </c>
      <c r="F325">
        <f t="shared" si="30"/>
        <v>7.6780923994038748</v>
      </c>
      <c r="G325">
        <f t="shared" si="27"/>
        <v>348.27827123695977</v>
      </c>
      <c r="H325">
        <v>96.271999999999991</v>
      </c>
      <c r="I325" t="s">
        <v>38</v>
      </c>
      <c r="J325">
        <f t="shared" si="29"/>
        <v>2.1223985890652557</v>
      </c>
      <c r="K325">
        <v>945.93</v>
      </c>
    </row>
    <row r="326" spans="1:11" x14ac:dyDescent="0.35">
      <c r="A326" s="1">
        <v>37257</v>
      </c>
      <c r="B326" t="s">
        <v>8</v>
      </c>
      <c r="C326" t="s">
        <v>38</v>
      </c>
      <c r="D326">
        <v>4351</v>
      </c>
      <c r="E326">
        <v>38405</v>
      </c>
      <c r="F326">
        <f t="shared" si="30"/>
        <v>8.8267065042518968</v>
      </c>
      <c r="G326">
        <f t="shared" si="27"/>
        <v>400.37940703286603</v>
      </c>
      <c r="H326">
        <v>313.83333333333331</v>
      </c>
      <c r="I326" t="s">
        <v>38</v>
      </c>
      <c r="J326">
        <f t="shared" si="29"/>
        <v>6.9187242798353905</v>
      </c>
      <c r="K326">
        <v>2751.22</v>
      </c>
    </row>
    <row r="327" spans="1:11" x14ac:dyDescent="0.35">
      <c r="A327" s="1">
        <v>37288</v>
      </c>
      <c r="B327" t="s">
        <v>8</v>
      </c>
      <c r="C327" t="s">
        <v>38</v>
      </c>
      <c r="D327">
        <v>3497</v>
      </c>
      <c r="E327">
        <v>31020</v>
      </c>
      <c r="F327">
        <f t="shared" si="30"/>
        <v>8.8704603946239633</v>
      </c>
      <c r="G327">
        <f t="shared" si="27"/>
        <v>402.36408350014295</v>
      </c>
      <c r="H327">
        <v>341.57857142857148</v>
      </c>
      <c r="I327" t="s">
        <v>38</v>
      </c>
      <c r="J327">
        <f t="shared" si="29"/>
        <v>7.5303917863441683</v>
      </c>
      <c r="K327">
        <v>2751.22</v>
      </c>
    </row>
    <row r="328" spans="1:11" x14ac:dyDescent="0.35">
      <c r="A328" s="1">
        <v>37316</v>
      </c>
      <c r="B328" t="s">
        <v>8</v>
      </c>
      <c r="C328" t="s">
        <v>38</v>
      </c>
      <c r="D328">
        <v>3823</v>
      </c>
      <c r="E328">
        <v>34906</v>
      </c>
      <c r="F328">
        <f t="shared" si="30"/>
        <v>9.1305257651059382</v>
      </c>
      <c r="G328">
        <f t="shared" si="27"/>
        <v>414.16064870520535</v>
      </c>
      <c r="H328">
        <v>320.35714285714283</v>
      </c>
      <c r="I328" t="s">
        <v>38</v>
      </c>
      <c r="J328">
        <f t="shared" si="29"/>
        <v>7.0625472411186694</v>
      </c>
      <c r="K328">
        <v>2751.22</v>
      </c>
    </row>
    <row r="329" spans="1:11" x14ac:dyDescent="0.35">
      <c r="A329" s="1">
        <v>37347</v>
      </c>
      <c r="B329" t="s">
        <v>8</v>
      </c>
      <c r="C329" t="s">
        <v>38</v>
      </c>
      <c r="D329">
        <v>3031</v>
      </c>
      <c r="E329">
        <v>26512</v>
      </c>
      <c r="F329">
        <f t="shared" si="30"/>
        <v>8.7469482019135594</v>
      </c>
      <c r="G329">
        <f t="shared" si="27"/>
        <v>396.76157043879903</v>
      </c>
      <c r="H329">
        <v>407.625</v>
      </c>
      <c r="I329" t="s">
        <v>38</v>
      </c>
      <c r="J329">
        <f t="shared" si="29"/>
        <v>8.9864417989417991</v>
      </c>
      <c r="K329">
        <v>2751.22</v>
      </c>
    </row>
    <row r="330" spans="1:11" x14ac:dyDescent="0.35">
      <c r="A330" s="1">
        <v>37377</v>
      </c>
      <c r="B330" t="s">
        <v>8</v>
      </c>
      <c r="C330" t="s">
        <v>38</v>
      </c>
      <c r="D330">
        <v>6112</v>
      </c>
      <c r="E330">
        <v>58124</v>
      </c>
      <c r="F330">
        <f t="shared" si="30"/>
        <v>9.5098167539267013</v>
      </c>
      <c r="G330">
        <f t="shared" si="27"/>
        <v>431.36528795811518</v>
      </c>
      <c r="H330">
        <v>377.07499999999999</v>
      </c>
      <c r="I330" t="s">
        <v>38</v>
      </c>
      <c r="J330">
        <f t="shared" si="29"/>
        <v>8.3129409171075839</v>
      </c>
      <c r="K330">
        <v>2751.22</v>
      </c>
    </row>
    <row r="331" spans="1:11" x14ac:dyDescent="0.35">
      <c r="A331" s="1">
        <v>37408</v>
      </c>
      <c r="B331" t="s">
        <v>8</v>
      </c>
      <c r="C331" t="s">
        <v>38</v>
      </c>
      <c r="D331">
        <v>5898</v>
      </c>
      <c r="E331">
        <v>56846</v>
      </c>
      <c r="F331">
        <f t="shared" si="30"/>
        <v>9.6381824347236353</v>
      </c>
      <c r="G331">
        <f t="shared" si="27"/>
        <v>437.18795523906408</v>
      </c>
      <c r="H331">
        <v>317.77600000000001</v>
      </c>
      <c r="I331" t="s">
        <v>38</v>
      </c>
      <c r="J331">
        <f t="shared" si="29"/>
        <v>7.0056437389770725</v>
      </c>
      <c r="K331">
        <v>2751.22</v>
      </c>
    </row>
    <row r="332" spans="1:11" x14ac:dyDescent="0.35">
      <c r="A332" s="1">
        <v>37438</v>
      </c>
      <c r="B332" t="s">
        <v>8</v>
      </c>
      <c r="C332" t="s">
        <v>38</v>
      </c>
      <c r="D332">
        <v>4730</v>
      </c>
      <c r="E332">
        <v>44542</v>
      </c>
      <c r="F332">
        <f t="shared" si="30"/>
        <v>9.4169133192389012</v>
      </c>
      <c r="G332">
        <f t="shared" si="27"/>
        <v>427.15118816067655</v>
      </c>
      <c r="H332">
        <v>388.6</v>
      </c>
      <c r="I332" t="s">
        <v>38</v>
      </c>
      <c r="J332">
        <f t="shared" si="29"/>
        <v>8.5670194003527342</v>
      </c>
      <c r="K332">
        <v>2751.22</v>
      </c>
    </row>
    <row r="333" spans="1:11" x14ac:dyDescent="0.35">
      <c r="A333" s="1">
        <v>37469</v>
      </c>
      <c r="B333" t="s">
        <v>8</v>
      </c>
      <c r="C333" t="s">
        <v>38</v>
      </c>
      <c r="D333">
        <v>5886</v>
      </c>
      <c r="E333">
        <v>59249</v>
      </c>
      <c r="F333">
        <f t="shared" si="30"/>
        <v>10.06608902480462</v>
      </c>
      <c r="G333">
        <f t="shared" si="27"/>
        <v>456.59779816513759</v>
      </c>
      <c r="H333">
        <v>358.33333333333331</v>
      </c>
      <c r="I333" t="s">
        <v>38</v>
      </c>
      <c r="J333">
        <f t="shared" si="29"/>
        <v>7.8997648442092885</v>
      </c>
      <c r="K333">
        <v>2751.22</v>
      </c>
    </row>
    <row r="334" spans="1:11" x14ac:dyDescent="0.35">
      <c r="A334" s="1">
        <v>37500</v>
      </c>
      <c r="B334" t="s">
        <v>8</v>
      </c>
      <c r="C334" t="s">
        <v>38</v>
      </c>
      <c r="D334">
        <v>2686</v>
      </c>
      <c r="E334">
        <v>25867</v>
      </c>
      <c r="F334">
        <f t="shared" si="30"/>
        <v>9.6303052866716303</v>
      </c>
      <c r="G334">
        <f t="shared" si="27"/>
        <v>436.83064780342517</v>
      </c>
      <c r="H334">
        <v>376</v>
      </c>
      <c r="I334" t="s">
        <v>38</v>
      </c>
      <c r="J334">
        <f t="shared" si="29"/>
        <v>8.2892416225749557</v>
      </c>
      <c r="K334">
        <v>2751.22</v>
      </c>
    </row>
    <row r="335" spans="1:11" x14ac:dyDescent="0.35">
      <c r="A335" s="1">
        <v>37530</v>
      </c>
      <c r="B335" t="s">
        <v>8</v>
      </c>
      <c r="C335" t="s">
        <v>38</v>
      </c>
      <c r="D335">
        <v>3107</v>
      </c>
      <c r="E335">
        <v>32120</v>
      </c>
      <c r="F335">
        <f t="shared" si="30"/>
        <v>10.337946572256195</v>
      </c>
      <c r="G335">
        <f t="shared" si="27"/>
        <v>468.92925651754098</v>
      </c>
      <c r="H335">
        <v>409.33333333333331</v>
      </c>
      <c r="I335" t="s">
        <v>38</v>
      </c>
      <c r="J335">
        <f t="shared" si="29"/>
        <v>9.0241034685479136</v>
      </c>
      <c r="K335">
        <v>2751.22</v>
      </c>
    </row>
    <row r="336" spans="1:11" x14ac:dyDescent="0.35">
      <c r="A336" s="1">
        <v>37561</v>
      </c>
      <c r="B336" t="s">
        <v>8</v>
      </c>
      <c r="C336" t="s">
        <v>38</v>
      </c>
      <c r="D336">
        <v>5912</v>
      </c>
      <c r="E336">
        <v>52836</v>
      </c>
      <c r="F336">
        <f t="shared" si="30"/>
        <v>8.9370771312584569</v>
      </c>
      <c r="G336">
        <f t="shared" si="27"/>
        <v>405.38581867388359</v>
      </c>
      <c r="H336">
        <v>400</v>
      </c>
      <c r="I336" t="s">
        <v>38</v>
      </c>
      <c r="J336">
        <f t="shared" si="29"/>
        <v>8.8183421516754859</v>
      </c>
      <c r="K336">
        <v>2751.22</v>
      </c>
    </row>
    <row r="337" spans="1:11" x14ac:dyDescent="0.35">
      <c r="A337" s="1">
        <v>37591</v>
      </c>
      <c r="B337" t="s">
        <v>8</v>
      </c>
      <c r="C337" t="s">
        <v>38</v>
      </c>
      <c r="D337">
        <v>3013</v>
      </c>
      <c r="E337">
        <v>25923</v>
      </c>
      <c r="F337">
        <f t="shared" si="30"/>
        <v>8.6037172253567871</v>
      </c>
      <c r="G337">
        <f t="shared" si="27"/>
        <v>390.26461334218385</v>
      </c>
      <c r="H337">
        <v>358.6</v>
      </c>
      <c r="I337" t="s">
        <v>38</v>
      </c>
      <c r="J337">
        <f t="shared" si="29"/>
        <v>7.9056437389770728</v>
      </c>
      <c r="K337">
        <v>2751.22</v>
      </c>
    </row>
    <row r="338" spans="1:11" x14ac:dyDescent="0.35">
      <c r="A338" s="1">
        <v>37257</v>
      </c>
      <c r="B338" t="s">
        <v>9</v>
      </c>
      <c r="C338" t="s">
        <v>38</v>
      </c>
      <c r="D338">
        <v>7389</v>
      </c>
      <c r="E338">
        <v>165729</v>
      </c>
      <c r="F338">
        <f t="shared" si="30"/>
        <v>22.429151441331708</v>
      </c>
      <c r="G338">
        <f t="shared" si="27"/>
        <v>1017.3863093788062</v>
      </c>
      <c r="H338">
        <v>235</v>
      </c>
      <c r="I338" t="s">
        <v>38</v>
      </c>
      <c r="J338">
        <f t="shared" si="29"/>
        <v>5.1807760141093473</v>
      </c>
      <c r="K338">
        <v>5786.34</v>
      </c>
    </row>
    <row r="339" spans="1:11" x14ac:dyDescent="0.35">
      <c r="A339" s="1">
        <v>37288</v>
      </c>
      <c r="B339" t="s">
        <v>9</v>
      </c>
      <c r="C339" t="s">
        <v>38</v>
      </c>
      <c r="D339">
        <v>4396</v>
      </c>
      <c r="E339">
        <v>101519</v>
      </c>
      <c r="F339">
        <f t="shared" si="30"/>
        <v>23.093494085532303</v>
      </c>
      <c r="G339">
        <f t="shared" si="27"/>
        <v>1047.5208917197454</v>
      </c>
      <c r="H339">
        <v>254.45</v>
      </c>
      <c r="I339" t="s">
        <v>38</v>
      </c>
      <c r="J339">
        <f t="shared" si="29"/>
        <v>5.6095679012345681</v>
      </c>
      <c r="K339">
        <v>5786.34</v>
      </c>
    </row>
    <row r="340" spans="1:11" x14ac:dyDescent="0.35">
      <c r="A340" s="1">
        <v>37316</v>
      </c>
      <c r="B340" t="s">
        <v>9</v>
      </c>
      <c r="C340" t="s">
        <v>38</v>
      </c>
      <c r="D340">
        <v>2620</v>
      </c>
      <c r="E340">
        <v>51603</v>
      </c>
      <c r="F340">
        <f t="shared" si="30"/>
        <v>19.695801526717556</v>
      </c>
      <c r="G340">
        <f t="shared" si="27"/>
        <v>893.40155725190834</v>
      </c>
      <c r="H340">
        <v>222.54750000000001</v>
      </c>
      <c r="I340" t="s">
        <v>38</v>
      </c>
      <c r="J340">
        <f t="shared" si="29"/>
        <v>4.90625</v>
      </c>
      <c r="K340">
        <v>5786.34</v>
      </c>
    </row>
    <row r="341" spans="1:11" x14ac:dyDescent="0.35">
      <c r="A341" s="1">
        <v>37347</v>
      </c>
      <c r="B341" t="s">
        <v>9</v>
      </c>
      <c r="C341" t="s">
        <v>38</v>
      </c>
      <c r="D341">
        <v>3391</v>
      </c>
      <c r="E341">
        <v>64795</v>
      </c>
      <c r="F341">
        <f t="shared" si="30"/>
        <v>19.107932763196697</v>
      </c>
      <c r="G341">
        <f t="shared" si="27"/>
        <v>866.73583013860218</v>
      </c>
      <c r="H341">
        <v>210.8</v>
      </c>
      <c r="I341" t="s">
        <v>38</v>
      </c>
      <c r="J341">
        <f t="shared" si="29"/>
        <v>4.6472663139329811</v>
      </c>
      <c r="K341">
        <v>5786.34</v>
      </c>
    </row>
    <row r="342" spans="1:11" x14ac:dyDescent="0.35">
      <c r="A342" s="1">
        <v>37377</v>
      </c>
      <c r="B342" t="s">
        <v>9</v>
      </c>
      <c r="C342" t="s">
        <v>38</v>
      </c>
      <c r="D342">
        <v>7418</v>
      </c>
      <c r="E342">
        <v>194290</v>
      </c>
      <c r="F342">
        <f t="shared" si="30"/>
        <v>26.191695874898894</v>
      </c>
      <c r="G342">
        <f t="shared" si="27"/>
        <v>1188.0553248854137</v>
      </c>
      <c r="H342">
        <v>187.5</v>
      </c>
      <c r="I342" t="s">
        <v>38</v>
      </c>
      <c r="J342">
        <f t="shared" si="29"/>
        <v>4.1335978835978837</v>
      </c>
      <c r="K342">
        <v>5786.34</v>
      </c>
    </row>
    <row r="343" spans="1:11" x14ac:dyDescent="0.35">
      <c r="A343" s="1">
        <v>37408</v>
      </c>
      <c r="B343" t="s">
        <v>9</v>
      </c>
      <c r="C343" t="s">
        <v>38</v>
      </c>
      <c r="D343">
        <v>3261</v>
      </c>
      <c r="E343">
        <v>74314</v>
      </c>
      <c r="F343">
        <f t="shared" si="30"/>
        <v>22.788715118061944</v>
      </c>
      <c r="G343">
        <f t="shared" si="27"/>
        <v>1033.6961177552898</v>
      </c>
      <c r="H343">
        <v>208.65</v>
      </c>
      <c r="I343" t="s">
        <v>38</v>
      </c>
      <c r="J343">
        <f t="shared" si="29"/>
        <v>4.5998677248677247</v>
      </c>
      <c r="K343">
        <v>5786.34</v>
      </c>
    </row>
    <row r="344" spans="1:11" x14ac:dyDescent="0.35">
      <c r="A344" s="1">
        <v>37438</v>
      </c>
      <c r="B344" t="s">
        <v>9</v>
      </c>
      <c r="C344" t="s">
        <v>38</v>
      </c>
      <c r="D344">
        <v>1518</v>
      </c>
      <c r="E344">
        <v>33860</v>
      </c>
      <c r="F344">
        <f t="shared" si="30"/>
        <v>22.305665349143609</v>
      </c>
      <c r="G344">
        <f t="shared" si="27"/>
        <v>1011.7849802371541</v>
      </c>
      <c r="H344">
        <v>191.953125</v>
      </c>
      <c r="I344" t="s">
        <v>38</v>
      </c>
      <c r="J344">
        <f t="shared" si="29"/>
        <v>4.231770833333333</v>
      </c>
      <c r="K344">
        <v>5786.34</v>
      </c>
    </row>
    <row r="345" spans="1:11" x14ac:dyDescent="0.35">
      <c r="A345" s="1">
        <v>37469</v>
      </c>
      <c r="B345" t="s">
        <v>9</v>
      </c>
      <c r="C345" t="s">
        <v>38</v>
      </c>
      <c r="D345">
        <v>718</v>
      </c>
      <c r="E345">
        <v>12465</v>
      </c>
      <c r="F345">
        <f t="shared" si="30"/>
        <v>17.360724233983287</v>
      </c>
      <c r="G345">
        <f t="shared" si="27"/>
        <v>787.48245125348194</v>
      </c>
      <c r="H345">
        <v>233.75</v>
      </c>
      <c r="I345" t="s">
        <v>38</v>
      </c>
      <c r="J345">
        <f t="shared" si="29"/>
        <v>5.1532186948853616</v>
      </c>
      <c r="K345">
        <v>5786.34</v>
      </c>
    </row>
    <row r="346" spans="1:11" x14ac:dyDescent="0.35">
      <c r="A346" s="1">
        <v>37500</v>
      </c>
      <c r="B346" t="s">
        <v>9</v>
      </c>
      <c r="C346" t="s">
        <v>38</v>
      </c>
      <c r="D346">
        <v>1822</v>
      </c>
      <c r="E346">
        <v>55352</v>
      </c>
      <c r="F346">
        <f t="shared" si="30"/>
        <v>30.379802414928651</v>
      </c>
      <c r="G346">
        <f t="shared" si="27"/>
        <v>1378.0278375411635</v>
      </c>
      <c r="H346">
        <v>211.01249999999999</v>
      </c>
      <c r="I346" t="s">
        <v>38</v>
      </c>
      <c r="J346">
        <f t="shared" si="29"/>
        <v>4.6519510582010577</v>
      </c>
      <c r="K346">
        <v>5786.34</v>
      </c>
    </row>
    <row r="347" spans="1:11" x14ac:dyDescent="0.35">
      <c r="A347" s="1">
        <v>37530</v>
      </c>
      <c r="B347" t="s">
        <v>9</v>
      </c>
      <c r="C347" t="s">
        <v>38</v>
      </c>
      <c r="D347">
        <v>5349</v>
      </c>
      <c r="E347">
        <v>150674</v>
      </c>
      <c r="F347">
        <f t="shared" si="30"/>
        <v>28.168629650401943</v>
      </c>
      <c r="G347">
        <f t="shared" si="27"/>
        <v>1277.7290409422321</v>
      </c>
      <c r="H347">
        <v>272.2</v>
      </c>
      <c r="I347" t="s">
        <v>38</v>
      </c>
      <c r="J347">
        <f t="shared" si="29"/>
        <v>6.0008818342151677</v>
      </c>
      <c r="K347">
        <v>5786.34</v>
      </c>
    </row>
    <row r="348" spans="1:11" x14ac:dyDescent="0.35">
      <c r="A348" s="1">
        <v>37561</v>
      </c>
      <c r="B348" t="s">
        <v>9</v>
      </c>
      <c r="C348" t="s">
        <v>38</v>
      </c>
      <c r="D348">
        <v>3700</v>
      </c>
      <c r="E348">
        <v>74355</v>
      </c>
      <c r="F348">
        <f t="shared" si="30"/>
        <v>20.095945945945946</v>
      </c>
      <c r="G348">
        <f t="shared" si="27"/>
        <v>911.55210810810809</v>
      </c>
      <c r="H348">
        <v>313.33333333333337</v>
      </c>
      <c r="I348" t="s">
        <v>38</v>
      </c>
      <c r="J348">
        <f t="shared" si="29"/>
        <v>6.9077013521457973</v>
      </c>
      <c r="K348">
        <v>5786.34</v>
      </c>
    </row>
    <row r="349" spans="1:11" x14ac:dyDescent="0.35">
      <c r="A349" s="1">
        <v>37591</v>
      </c>
      <c r="B349" t="s">
        <v>9</v>
      </c>
      <c r="C349" t="s">
        <v>38</v>
      </c>
      <c r="D349">
        <v>4852</v>
      </c>
      <c r="E349">
        <v>92036</v>
      </c>
      <c r="F349">
        <f t="shared" si="30"/>
        <v>18.968672712283595</v>
      </c>
      <c r="G349">
        <f t="shared" si="27"/>
        <v>860.41899422918391</v>
      </c>
      <c r="H349">
        <v>320.33333333333337</v>
      </c>
      <c r="I349" t="s">
        <v>38</v>
      </c>
      <c r="J349">
        <f t="shared" si="29"/>
        <v>7.0620223398001185</v>
      </c>
      <c r="K349">
        <v>5786.34</v>
      </c>
    </row>
    <row r="350" spans="1:11" x14ac:dyDescent="0.35">
      <c r="A350" s="1">
        <v>37257</v>
      </c>
      <c r="B350" t="s">
        <v>10</v>
      </c>
      <c r="C350" t="s">
        <v>38</v>
      </c>
      <c r="D350">
        <v>8577</v>
      </c>
      <c r="E350">
        <v>91110</v>
      </c>
      <c r="F350">
        <f t="shared" si="30"/>
        <v>10.622595313046519</v>
      </c>
      <c r="G350">
        <f t="shared" si="27"/>
        <v>481.84092339979009</v>
      </c>
      <c r="H350">
        <v>463.77733333333333</v>
      </c>
      <c r="I350" t="s">
        <v>38</v>
      </c>
      <c r="J350">
        <f t="shared" si="29"/>
        <v>10.224368018812463</v>
      </c>
      <c r="K350">
        <v>1994.96</v>
      </c>
    </row>
    <row r="351" spans="1:11" x14ac:dyDescent="0.35">
      <c r="A351" s="1">
        <v>37288</v>
      </c>
      <c r="B351" t="s">
        <v>10</v>
      </c>
      <c r="C351" t="s">
        <v>38</v>
      </c>
      <c r="D351">
        <v>7506</v>
      </c>
      <c r="E351">
        <v>67366</v>
      </c>
      <c r="F351">
        <f t="shared" si="30"/>
        <v>8.9749533706368236</v>
      </c>
      <c r="G351">
        <f t="shared" si="27"/>
        <v>407.10388489208634</v>
      </c>
      <c r="H351">
        <v>483.7</v>
      </c>
      <c r="I351" t="s">
        <v>38</v>
      </c>
      <c r="J351">
        <f t="shared" si="29"/>
        <v>10.663580246913581</v>
      </c>
      <c r="K351">
        <v>1994.96</v>
      </c>
    </row>
    <row r="352" spans="1:11" x14ac:dyDescent="0.35">
      <c r="A352" s="1">
        <v>37316</v>
      </c>
      <c r="B352" t="s">
        <v>10</v>
      </c>
      <c r="C352" t="s">
        <v>38</v>
      </c>
      <c r="D352">
        <v>9046</v>
      </c>
      <c r="E352">
        <v>113200</v>
      </c>
      <c r="F352">
        <f t="shared" si="30"/>
        <v>12.513818262215343</v>
      </c>
      <c r="G352">
        <f t="shared" si="27"/>
        <v>567.62679637408792</v>
      </c>
      <c r="H352">
        <v>424.18833333333333</v>
      </c>
      <c r="I352" t="s">
        <v>38</v>
      </c>
      <c r="J352">
        <f t="shared" si="29"/>
        <v>9.3515946502057616</v>
      </c>
      <c r="K352">
        <v>1994.96</v>
      </c>
    </row>
    <row r="353" spans="1:11" x14ac:dyDescent="0.35">
      <c r="A353" s="1">
        <v>37347</v>
      </c>
      <c r="B353" t="s">
        <v>10</v>
      </c>
      <c r="C353" t="s">
        <v>38</v>
      </c>
      <c r="D353">
        <v>8448</v>
      </c>
      <c r="E353">
        <v>122524</v>
      </c>
      <c r="F353">
        <f t="shared" si="30"/>
        <v>14.503314393939394</v>
      </c>
      <c r="G353">
        <f t="shared" si="27"/>
        <v>657.87034090909094</v>
      </c>
      <c r="H353">
        <v>375.375</v>
      </c>
      <c r="I353" t="s">
        <v>38</v>
      </c>
      <c r="J353">
        <f t="shared" si="29"/>
        <v>8.2754629629629637</v>
      </c>
      <c r="K353">
        <v>1994.96</v>
      </c>
    </row>
    <row r="354" spans="1:11" x14ac:dyDescent="0.35">
      <c r="A354" s="1">
        <v>37377</v>
      </c>
      <c r="B354" t="s">
        <v>10</v>
      </c>
      <c r="C354" t="s">
        <v>38</v>
      </c>
      <c r="D354">
        <v>5542</v>
      </c>
      <c r="E354">
        <v>75892</v>
      </c>
      <c r="F354">
        <f t="shared" si="30"/>
        <v>13.693973294839408</v>
      </c>
      <c r="G354">
        <f t="shared" si="27"/>
        <v>621.15862865391557</v>
      </c>
      <c r="H354">
        <v>313.86333333333334</v>
      </c>
      <c r="I354" t="s">
        <v>38</v>
      </c>
      <c r="J354">
        <f t="shared" si="29"/>
        <v>6.9193856554967672</v>
      </c>
      <c r="K354">
        <v>1994.96</v>
      </c>
    </row>
    <row r="355" spans="1:11" x14ac:dyDescent="0.35">
      <c r="A355" s="1">
        <v>37408</v>
      </c>
      <c r="B355" t="s">
        <v>10</v>
      </c>
      <c r="C355" t="s">
        <v>38</v>
      </c>
      <c r="D355">
        <v>7390</v>
      </c>
      <c r="E355">
        <v>87207</v>
      </c>
      <c r="F355">
        <f t="shared" si="30"/>
        <v>11.800676589986468</v>
      </c>
      <c r="G355">
        <f t="shared" ref="G355:G409" si="31">F355*45.36</f>
        <v>535.27869012178621</v>
      </c>
      <c r="H355">
        <v>388.88833333333332</v>
      </c>
      <c r="I355" t="s">
        <v>38</v>
      </c>
      <c r="J355">
        <f t="shared" si="29"/>
        <v>8.5733759553203992</v>
      </c>
      <c r="K355">
        <v>1994.96</v>
      </c>
    </row>
    <row r="356" spans="1:11" x14ac:dyDescent="0.35">
      <c r="A356" s="1">
        <v>37438</v>
      </c>
      <c r="B356" t="s">
        <v>10</v>
      </c>
      <c r="C356" t="s">
        <v>38</v>
      </c>
      <c r="D356">
        <v>8443</v>
      </c>
      <c r="E356">
        <v>94204</v>
      </c>
      <c r="F356">
        <f t="shared" si="30"/>
        <v>11.157645386710884</v>
      </c>
      <c r="G356">
        <f t="shared" si="31"/>
        <v>506.11079474120572</v>
      </c>
      <c r="H356">
        <v>328.80428571428575</v>
      </c>
      <c r="I356" t="s">
        <v>38</v>
      </c>
      <c r="J356">
        <f t="shared" si="29"/>
        <v>7.2487717309145889</v>
      </c>
      <c r="K356">
        <v>1994.96</v>
      </c>
    </row>
    <row r="357" spans="1:11" x14ac:dyDescent="0.35">
      <c r="A357" s="1">
        <v>37469</v>
      </c>
      <c r="B357" t="s">
        <v>10</v>
      </c>
      <c r="C357" t="s">
        <v>38</v>
      </c>
      <c r="D357">
        <v>8872</v>
      </c>
      <c r="E357">
        <v>112299</v>
      </c>
      <c r="F357">
        <f t="shared" si="30"/>
        <v>12.65768710550045</v>
      </c>
      <c r="G357">
        <f t="shared" si="31"/>
        <v>574.15268710550038</v>
      </c>
      <c r="H357">
        <v>371.40999999999997</v>
      </c>
      <c r="I357" t="s">
        <v>38</v>
      </c>
      <c r="J357">
        <f t="shared" si="29"/>
        <v>8.1880511463844794</v>
      </c>
      <c r="K357">
        <v>1994.96</v>
      </c>
    </row>
    <row r="358" spans="1:11" x14ac:dyDescent="0.35">
      <c r="A358" s="1">
        <v>37500</v>
      </c>
      <c r="B358" t="s">
        <v>10</v>
      </c>
      <c r="C358" t="s">
        <v>38</v>
      </c>
      <c r="D358">
        <v>8026</v>
      </c>
      <c r="E358">
        <v>97288</v>
      </c>
      <c r="F358">
        <f t="shared" si="30"/>
        <v>12.121604784450536</v>
      </c>
      <c r="G358">
        <f t="shared" si="31"/>
        <v>549.83599302267635</v>
      </c>
      <c r="H358">
        <v>405.54166666666669</v>
      </c>
      <c r="I358" t="s">
        <v>38</v>
      </c>
      <c r="J358">
        <f t="shared" si="29"/>
        <v>8.9405129335684901</v>
      </c>
      <c r="K358">
        <v>1994.96</v>
      </c>
    </row>
    <row r="359" spans="1:11" x14ac:dyDescent="0.35">
      <c r="A359" s="1">
        <v>37530</v>
      </c>
      <c r="B359" t="s">
        <v>10</v>
      </c>
      <c r="C359" t="s">
        <v>38</v>
      </c>
      <c r="D359">
        <v>30585</v>
      </c>
      <c r="E359">
        <v>144401</v>
      </c>
      <c r="F359">
        <f t="shared" si="30"/>
        <v>4.721301291482753</v>
      </c>
      <c r="G359">
        <f t="shared" si="31"/>
        <v>214.15822658165769</v>
      </c>
      <c r="H359">
        <v>451.2</v>
      </c>
      <c r="I359" t="s">
        <v>38</v>
      </c>
      <c r="J359">
        <f t="shared" si="29"/>
        <v>9.9470899470899461</v>
      </c>
      <c r="K359">
        <v>1994.96</v>
      </c>
    </row>
    <row r="360" spans="1:11" x14ac:dyDescent="0.35">
      <c r="A360" s="1">
        <v>37561</v>
      </c>
      <c r="B360" t="s">
        <v>10</v>
      </c>
      <c r="C360" t="s">
        <v>38</v>
      </c>
      <c r="D360">
        <v>6939</v>
      </c>
      <c r="E360">
        <v>103663</v>
      </c>
      <c r="F360">
        <f t="shared" si="30"/>
        <v>14.939184320507279</v>
      </c>
      <c r="G360">
        <f t="shared" si="31"/>
        <v>677.64140077821014</v>
      </c>
      <c r="H360">
        <v>462.3125</v>
      </c>
      <c r="I360" t="s">
        <v>38</v>
      </c>
      <c r="J360">
        <f t="shared" si="29"/>
        <v>10.192074514991182</v>
      </c>
      <c r="K360">
        <v>1994.96</v>
      </c>
    </row>
    <row r="361" spans="1:11" x14ac:dyDescent="0.35">
      <c r="A361" s="1">
        <v>37591</v>
      </c>
      <c r="B361" t="s">
        <v>10</v>
      </c>
      <c r="C361" t="s">
        <v>38</v>
      </c>
      <c r="D361">
        <v>10056</v>
      </c>
      <c r="E361">
        <v>200649</v>
      </c>
      <c r="F361">
        <f t="shared" si="30"/>
        <v>19.953162291169452</v>
      </c>
      <c r="G361">
        <f t="shared" si="31"/>
        <v>905.07544152744629</v>
      </c>
      <c r="H361">
        <v>356.625</v>
      </c>
      <c r="I361" t="s">
        <v>38</v>
      </c>
      <c r="J361">
        <f t="shared" si="29"/>
        <v>7.8621031746031749</v>
      </c>
      <c r="K361">
        <v>1994.96</v>
      </c>
    </row>
    <row r="362" spans="1:11" x14ac:dyDescent="0.35">
      <c r="A362" s="1">
        <v>37257</v>
      </c>
      <c r="B362" t="s">
        <v>11</v>
      </c>
      <c r="C362" t="s">
        <v>38</v>
      </c>
      <c r="D362">
        <v>29386</v>
      </c>
      <c r="E362">
        <v>274031</v>
      </c>
      <c r="F362">
        <f t="shared" si="30"/>
        <v>9.3252228952562444</v>
      </c>
      <c r="G362">
        <f t="shared" si="31"/>
        <v>422.99211052882322</v>
      </c>
      <c r="H362">
        <v>97.95342857142856</v>
      </c>
      <c r="I362" t="s">
        <v>38</v>
      </c>
      <c r="J362">
        <f t="shared" si="29"/>
        <v>2.1594671201814055</v>
      </c>
      <c r="K362">
        <v>966.8</v>
      </c>
    </row>
    <row r="363" spans="1:11" x14ac:dyDescent="0.35">
      <c r="A363" s="1">
        <v>37288</v>
      </c>
      <c r="B363" t="s">
        <v>11</v>
      </c>
      <c r="C363" t="s">
        <v>38</v>
      </c>
      <c r="D363">
        <v>27478</v>
      </c>
      <c r="E363">
        <v>253771</v>
      </c>
      <c r="F363">
        <f t="shared" si="30"/>
        <v>9.2354247033990831</v>
      </c>
      <c r="G363">
        <f t="shared" si="31"/>
        <v>418.91886454618242</v>
      </c>
      <c r="H363">
        <v>94.831687499999987</v>
      </c>
      <c r="I363" t="s">
        <v>38</v>
      </c>
      <c r="J363">
        <f t="shared" si="29"/>
        <v>2.0906456679894179</v>
      </c>
      <c r="K363">
        <v>966.8</v>
      </c>
    </row>
    <row r="364" spans="1:11" x14ac:dyDescent="0.35">
      <c r="A364" s="1">
        <v>37316</v>
      </c>
      <c r="B364" t="s">
        <v>11</v>
      </c>
      <c r="C364" t="s">
        <v>38</v>
      </c>
      <c r="D364">
        <v>20766</v>
      </c>
      <c r="E364">
        <v>194928</v>
      </c>
      <c r="F364">
        <f t="shared" si="30"/>
        <v>9.3868824039294996</v>
      </c>
      <c r="G364">
        <f t="shared" si="31"/>
        <v>425.78898584224208</v>
      </c>
      <c r="H364">
        <v>90.543062500000005</v>
      </c>
      <c r="I364" t="s">
        <v>38</v>
      </c>
      <c r="J364">
        <f t="shared" si="29"/>
        <v>1.9960992614638449</v>
      </c>
      <c r="K364">
        <v>966.8</v>
      </c>
    </row>
    <row r="365" spans="1:11" x14ac:dyDescent="0.35">
      <c r="A365" s="1">
        <v>37347</v>
      </c>
      <c r="B365" t="s">
        <v>11</v>
      </c>
      <c r="C365" t="s">
        <v>38</v>
      </c>
      <c r="D365">
        <v>21155</v>
      </c>
      <c r="E365">
        <v>206723</v>
      </c>
      <c r="F365">
        <f t="shared" si="30"/>
        <v>9.771826991255022</v>
      </c>
      <c r="G365">
        <f t="shared" si="31"/>
        <v>443.2500723233278</v>
      </c>
      <c r="H365">
        <v>96.230062500000003</v>
      </c>
      <c r="I365" t="s">
        <v>38</v>
      </c>
      <c r="J365">
        <f t="shared" si="29"/>
        <v>2.1214740410052912</v>
      </c>
      <c r="K365">
        <v>966.8</v>
      </c>
    </row>
    <row r="366" spans="1:11" x14ac:dyDescent="0.35">
      <c r="A366" s="1">
        <v>37377</v>
      </c>
      <c r="B366" t="s">
        <v>11</v>
      </c>
      <c r="C366" t="s">
        <v>38</v>
      </c>
      <c r="D366">
        <v>20268</v>
      </c>
      <c r="E366">
        <v>193980</v>
      </c>
      <c r="F366">
        <f t="shared" si="30"/>
        <v>9.5707519242155126</v>
      </c>
      <c r="G366">
        <f t="shared" si="31"/>
        <v>434.12930728241565</v>
      </c>
      <c r="H366">
        <v>92.784037499999997</v>
      </c>
      <c r="I366" t="s">
        <v>38</v>
      </c>
      <c r="J366">
        <f t="shared" si="29"/>
        <v>2.0455034722222223</v>
      </c>
      <c r="K366">
        <v>966.8</v>
      </c>
    </row>
    <row r="367" spans="1:11" x14ac:dyDescent="0.35">
      <c r="A367" s="1">
        <v>37408</v>
      </c>
      <c r="B367" t="s">
        <v>11</v>
      </c>
      <c r="C367" t="s">
        <v>38</v>
      </c>
      <c r="D367">
        <v>24249</v>
      </c>
      <c r="E367">
        <v>225284</v>
      </c>
      <c r="F367">
        <f t="shared" si="30"/>
        <v>9.2904449668027542</v>
      </c>
      <c r="G367">
        <f t="shared" si="31"/>
        <v>421.4145836941729</v>
      </c>
      <c r="H367">
        <v>97.938706249999996</v>
      </c>
      <c r="I367" t="s">
        <v>38</v>
      </c>
      <c r="J367">
        <f t="shared" ref="J367:J397" si="32">H367/45.36</f>
        <v>2.1591425540123454</v>
      </c>
      <c r="K367">
        <v>966.8</v>
      </c>
    </row>
    <row r="368" spans="1:11" x14ac:dyDescent="0.35">
      <c r="A368" s="1">
        <v>37438</v>
      </c>
      <c r="B368" t="s">
        <v>11</v>
      </c>
      <c r="C368" t="s">
        <v>38</v>
      </c>
      <c r="D368">
        <v>22834</v>
      </c>
      <c r="E368">
        <v>217603</v>
      </c>
      <c r="F368">
        <f t="shared" si="30"/>
        <v>9.5297801524043102</v>
      </c>
      <c r="G368">
        <f t="shared" si="31"/>
        <v>432.27082771305953</v>
      </c>
      <c r="H368">
        <v>107.21768750000001</v>
      </c>
      <c r="I368" t="s">
        <v>38</v>
      </c>
      <c r="J368">
        <f t="shared" si="32"/>
        <v>2.3637056327160497</v>
      </c>
      <c r="K368">
        <v>966.8</v>
      </c>
    </row>
    <row r="369" spans="1:11" x14ac:dyDescent="0.35">
      <c r="A369" s="1">
        <v>37469</v>
      </c>
      <c r="B369" t="s">
        <v>11</v>
      </c>
      <c r="C369" t="s">
        <v>38</v>
      </c>
      <c r="D369">
        <v>20880</v>
      </c>
      <c r="E369">
        <v>196953</v>
      </c>
      <c r="F369">
        <f t="shared" si="30"/>
        <v>9.4326149425287351</v>
      </c>
      <c r="G369">
        <f t="shared" si="31"/>
        <v>427.8634137931034</v>
      </c>
      <c r="H369">
        <v>97.882583333333329</v>
      </c>
      <c r="I369" t="s">
        <v>38</v>
      </c>
      <c r="J369">
        <f t="shared" si="32"/>
        <v>2.1579052763080542</v>
      </c>
      <c r="K369">
        <v>966.8</v>
      </c>
    </row>
    <row r="370" spans="1:11" x14ac:dyDescent="0.35">
      <c r="A370" s="1">
        <v>37500</v>
      </c>
      <c r="B370" t="s">
        <v>11</v>
      </c>
      <c r="C370" t="s">
        <v>38</v>
      </c>
      <c r="D370">
        <v>20196</v>
      </c>
      <c r="E370">
        <v>198343</v>
      </c>
      <c r="F370">
        <f t="shared" si="30"/>
        <v>9.8209051297286596</v>
      </c>
      <c r="G370">
        <f t="shared" si="31"/>
        <v>445.476256684492</v>
      </c>
      <c r="H370">
        <v>94.061785714285719</v>
      </c>
      <c r="I370" t="s">
        <v>38</v>
      </c>
      <c r="J370">
        <f t="shared" si="32"/>
        <v>2.073672524565382</v>
      </c>
      <c r="K370">
        <v>966.8</v>
      </c>
    </row>
    <row r="371" spans="1:11" x14ac:dyDescent="0.35">
      <c r="A371" s="1">
        <v>37530</v>
      </c>
      <c r="B371" t="s">
        <v>11</v>
      </c>
      <c r="C371" t="s">
        <v>38</v>
      </c>
      <c r="D371">
        <v>21114</v>
      </c>
      <c r="E371">
        <v>206584</v>
      </c>
      <c r="F371">
        <f t="shared" si="30"/>
        <v>9.7842190016103068</v>
      </c>
      <c r="G371">
        <f t="shared" si="31"/>
        <v>443.81217391304352</v>
      </c>
      <c r="H371">
        <v>89.761571428571429</v>
      </c>
      <c r="I371" t="s">
        <v>38</v>
      </c>
      <c r="J371">
        <f t="shared" si="32"/>
        <v>1.9788706223230033</v>
      </c>
      <c r="K371">
        <v>966.8</v>
      </c>
    </row>
    <row r="372" spans="1:11" x14ac:dyDescent="0.35">
      <c r="A372" s="1">
        <v>37561</v>
      </c>
      <c r="B372" t="s">
        <v>11</v>
      </c>
      <c r="C372" t="s">
        <v>38</v>
      </c>
      <c r="D372">
        <v>25296</v>
      </c>
      <c r="E372">
        <v>274212</v>
      </c>
      <c r="F372">
        <f t="shared" si="30"/>
        <v>10.840132827324478</v>
      </c>
      <c r="G372">
        <f t="shared" si="31"/>
        <v>491.70842504743831</v>
      </c>
      <c r="H372">
        <v>86.049562500000008</v>
      </c>
      <c r="I372" t="s">
        <v>38</v>
      </c>
      <c r="J372">
        <f t="shared" si="32"/>
        <v>1.8970362103174605</v>
      </c>
      <c r="K372">
        <v>966.8</v>
      </c>
    </row>
    <row r="373" spans="1:11" x14ac:dyDescent="0.35">
      <c r="A373" s="1">
        <v>37591</v>
      </c>
      <c r="B373" t="s">
        <v>11</v>
      </c>
      <c r="C373" t="s">
        <v>38</v>
      </c>
      <c r="D373">
        <v>19801</v>
      </c>
      <c r="E373">
        <v>208498</v>
      </c>
      <c r="F373">
        <f t="shared" si="30"/>
        <v>10.529670218675825</v>
      </c>
      <c r="G373">
        <f t="shared" si="31"/>
        <v>477.62584111913543</v>
      </c>
      <c r="H373">
        <v>90.424499999999995</v>
      </c>
      <c r="I373" t="s">
        <v>38</v>
      </c>
      <c r="J373">
        <f t="shared" si="32"/>
        <v>1.9934854497354497</v>
      </c>
      <c r="K373">
        <v>966.8</v>
      </c>
    </row>
    <row r="374" spans="1:11" x14ac:dyDescent="0.35">
      <c r="A374" s="1">
        <v>37257</v>
      </c>
      <c r="B374" t="s">
        <v>12</v>
      </c>
      <c r="C374" t="s">
        <v>38</v>
      </c>
      <c r="D374">
        <v>7406</v>
      </c>
      <c r="E374">
        <v>46635</v>
      </c>
      <c r="F374">
        <f t="shared" si="30"/>
        <v>6.296921415068863</v>
      </c>
      <c r="G374">
        <f t="shared" si="31"/>
        <v>285.62835538752364</v>
      </c>
      <c r="H374">
        <v>207.31599999999997</v>
      </c>
      <c r="I374" t="s">
        <v>38</v>
      </c>
      <c r="J374">
        <f t="shared" si="32"/>
        <v>4.5704585537918865</v>
      </c>
      <c r="K374">
        <v>360.52</v>
      </c>
    </row>
    <row r="375" spans="1:11" x14ac:dyDescent="0.35">
      <c r="A375" s="1">
        <v>37288</v>
      </c>
      <c r="B375" t="s">
        <v>12</v>
      </c>
      <c r="C375" t="s">
        <v>38</v>
      </c>
      <c r="D375">
        <v>7882</v>
      </c>
      <c r="E375">
        <v>42631</v>
      </c>
      <c r="F375">
        <f t="shared" si="30"/>
        <v>5.4086526262369956</v>
      </c>
      <c r="G375">
        <f t="shared" si="31"/>
        <v>245.33648312611012</v>
      </c>
      <c r="H375">
        <v>182.72571428571428</v>
      </c>
      <c r="I375" t="s">
        <v>38</v>
      </c>
      <c r="J375">
        <f t="shared" si="32"/>
        <v>4.0283446712018138</v>
      </c>
      <c r="K375">
        <v>360.52</v>
      </c>
    </row>
    <row r="376" spans="1:11" x14ac:dyDescent="0.35">
      <c r="A376" s="1">
        <v>37316</v>
      </c>
      <c r="B376" t="s">
        <v>12</v>
      </c>
      <c r="C376" t="s">
        <v>38</v>
      </c>
      <c r="D376">
        <v>6782</v>
      </c>
      <c r="E376">
        <v>34627</v>
      </c>
      <c r="F376">
        <f t="shared" si="30"/>
        <v>5.1057210262459449</v>
      </c>
      <c r="G376">
        <f t="shared" si="31"/>
        <v>231.59550575051605</v>
      </c>
      <c r="H376">
        <v>186.45833333333334</v>
      </c>
      <c r="I376" t="s">
        <v>38</v>
      </c>
      <c r="J376">
        <f t="shared" si="32"/>
        <v>4.1106334509112292</v>
      </c>
      <c r="K376">
        <v>360.52</v>
      </c>
    </row>
    <row r="377" spans="1:11" x14ac:dyDescent="0.35">
      <c r="A377" s="1">
        <v>37347</v>
      </c>
      <c r="B377" t="s">
        <v>12</v>
      </c>
      <c r="C377" t="s">
        <v>38</v>
      </c>
      <c r="D377">
        <v>9836</v>
      </c>
      <c r="E377">
        <v>61429</v>
      </c>
      <c r="F377">
        <f t="shared" si="30"/>
        <v>6.2453233021553478</v>
      </c>
      <c r="G377">
        <f t="shared" si="31"/>
        <v>283.28786498576659</v>
      </c>
      <c r="H377">
        <v>283.2</v>
      </c>
      <c r="I377" t="s">
        <v>38</v>
      </c>
      <c r="J377">
        <f t="shared" si="32"/>
        <v>6.2433862433862428</v>
      </c>
      <c r="K377">
        <v>360.52</v>
      </c>
    </row>
    <row r="378" spans="1:11" x14ac:dyDescent="0.35">
      <c r="A378" s="1">
        <v>37377</v>
      </c>
      <c r="B378" t="s">
        <v>12</v>
      </c>
      <c r="C378" t="s">
        <v>38</v>
      </c>
      <c r="D378">
        <v>12729</v>
      </c>
      <c r="E378">
        <v>151432</v>
      </c>
      <c r="F378">
        <f t="shared" ref="F378:F441" si="33">E378/D378</f>
        <v>11.896614030952943</v>
      </c>
      <c r="G378">
        <f t="shared" si="31"/>
        <v>539.63041244402552</v>
      </c>
      <c r="H378">
        <v>168.58800000000002</v>
      </c>
      <c r="I378" t="s">
        <v>38</v>
      </c>
      <c r="J378">
        <f t="shared" si="32"/>
        <v>3.7166666666666672</v>
      </c>
      <c r="K378">
        <v>360.52</v>
      </c>
    </row>
    <row r="379" spans="1:11" x14ac:dyDescent="0.35">
      <c r="A379" s="1">
        <v>37408</v>
      </c>
      <c r="B379" t="s">
        <v>12</v>
      </c>
      <c r="C379" t="s">
        <v>38</v>
      </c>
      <c r="D379">
        <v>11091</v>
      </c>
      <c r="E379">
        <v>53250</v>
      </c>
      <c r="F379">
        <f t="shared" si="33"/>
        <v>4.8011901541790643</v>
      </c>
      <c r="G379">
        <f t="shared" si="31"/>
        <v>217.78198539356237</v>
      </c>
      <c r="H379">
        <v>191.16000000000003</v>
      </c>
      <c r="I379" t="s">
        <v>38</v>
      </c>
      <c r="J379">
        <f t="shared" si="32"/>
        <v>4.2142857142857153</v>
      </c>
      <c r="K379">
        <v>360.52</v>
      </c>
    </row>
    <row r="380" spans="1:11" x14ac:dyDescent="0.35">
      <c r="A380" s="1">
        <v>37438</v>
      </c>
      <c r="B380" t="s">
        <v>12</v>
      </c>
      <c r="C380" t="s">
        <v>38</v>
      </c>
      <c r="D380">
        <v>7607</v>
      </c>
      <c r="E380">
        <v>41651</v>
      </c>
      <c r="F380">
        <f t="shared" si="33"/>
        <v>5.4753516497962407</v>
      </c>
      <c r="G380">
        <f t="shared" si="31"/>
        <v>248.36195083475747</v>
      </c>
      <c r="H380">
        <v>203.03571428571428</v>
      </c>
      <c r="I380" t="s">
        <v>38</v>
      </c>
      <c r="J380">
        <f t="shared" si="32"/>
        <v>4.4760959939531366</v>
      </c>
      <c r="K380">
        <v>360.52</v>
      </c>
    </row>
    <row r="381" spans="1:11" x14ac:dyDescent="0.35">
      <c r="A381" s="1">
        <v>37469</v>
      </c>
      <c r="B381" t="s">
        <v>12</v>
      </c>
      <c r="C381" t="s">
        <v>38</v>
      </c>
      <c r="D381">
        <v>11202</v>
      </c>
      <c r="E381">
        <v>66965</v>
      </c>
      <c r="F381">
        <f t="shared" si="33"/>
        <v>5.9779503660060707</v>
      </c>
      <c r="G381">
        <f t="shared" si="31"/>
        <v>271.15982860203536</v>
      </c>
      <c r="H381">
        <v>188.93833333333336</v>
      </c>
      <c r="I381" t="s">
        <v>38</v>
      </c>
      <c r="J381">
        <f t="shared" si="32"/>
        <v>4.1653071722516177</v>
      </c>
      <c r="K381">
        <v>360.52</v>
      </c>
    </row>
    <row r="382" spans="1:11" x14ac:dyDescent="0.35">
      <c r="A382" s="1">
        <v>37500</v>
      </c>
      <c r="B382" t="s">
        <v>12</v>
      </c>
      <c r="C382" t="s">
        <v>38</v>
      </c>
      <c r="D382">
        <v>9043</v>
      </c>
      <c r="E382">
        <v>46355</v>
      </c>
      <c r="F382">
        <f t="shared" si="33"/>
        <v>5.1260643591728412</v>
      </c>
      <c r="G382">
        <f t="shared" si="31"/>
        <v>232.51827933208008</v>
      </c>
      <c r="H382">
        <v>252.68400000000003</v>
      </c>
      <c r="I382" t="s">
        <v>38</v>
      </c>
      <c r="J382">
        <f t="shared" si="32"/>
        <v>5.5706349206349213</v>
      </c>
      <c r="K382">
        <v>360.52</v>
      </c>
    </row>
    <row r="383" spans="1:11" x14ac:dyDescent="0.35">
      <c r="A383" s="1">
        <v>37530</v>
      </c>
      <c r="B383" t="s">
        <v>12</v>
      </c>
      <c r="C383" t="s">
        <v>38</v>
      </c>
      <c r="D383">
        <v>10573</v>
      </c>
      <c r="E383">
        <v>57824</v>
      </c>
      <c r="F383">
        <f t="shared" si="33"/>
        <v>5.469024874680791</v>
      </c>
      <c r="G383">
        <f t="shared" si="31"/>
        <v>248.07496831552066</v>
      </c>
      <c r="H383">
        <v>209.23666666666668</v>
      </c>
      <c r="I383" t="s">
        <v>38</v>
      </c>
      <c r="J383">
        <f t="shared" si="32"/>
        <v>4.6128012933568492</v>
      </c>
      <c r="K383">
        <v>360.52</v>
      </c>
    </row>
    <row r="384" spans="1:11" x14ac:dyDescent="0.35">
      <c r="A384" s="1">
        <v>37561</v>
      </c>
      <c r="B384" t="s">
        <v>12</v>
      </c>
      <c r="C384" t="s">
        <v>38</v>
      </c>
      <c r="D384">
        <v>10191</v>
      </c>
      <c r="E384">
        <v>49948</v>
      </c>
      <c r="F384">
        <f t="shared" si="33"/>
        <v>4.9011873221469928</v>
      </c>
      <c r="G384">
        <f t="shared" si="31"/>
        <v>222.3178569325876</v>
      </c>
      <c r="H384">
        <v>217.5</v>
      </c>
      <c r="I384" t="s">
        <v>38</v>
      </c>
      <c r="J384">
        <f t="shared" si="32"/>
        <v>4.7949735449735451</v>
      </c>
      <c r="K384">
        <v>360.52</v>
      </c>
    </row>
    <row r="385" spans="1:11" x14ac:dyDescent="0.35">
      <c r="A385" s="1">
        <v>37591</v>
      </c>
      <c r="B385" t="s">
        <v>12</v>
      </c>
      <c r="C385" t="s">
        <v>38</v>
      </c>
      <c r="D385">
        <v>10291</v>
      </c>
      <c r="E385">
        <v>48245</v>
      </c>
      <c r="F385">
        <f t="shared" si="33"/>
        <v>4.6880769604508794</v>
      </c>
      <c r="G385">
        <f t="shared" si="31"/>
        <v>212.65117092605189</v>
      </c>
      <c r="H385">
        <v>216.416</v>
      </c>
      <c r="I385" t="s">
        <v>38</v>
      </c>
      <c r="J385">
        <f t="shared" si="32"/>
        <v>4.7710758377425044</v>
      </c>
      <c r="K385">
        <v>360.52</v>
      </c>
    </row>
    <row r="386" spans="1:11" x14ac:dyDescent="0.35">
      <c r="A386" s="1">
        <v>37257</v>
      </c>
      <c r="B386" t="s">
        <v>13</v>
      </c>
      <c r="C386" t="s">
        <v>38</v>
      </c>
      <c r="D386">
        <v>2752</v>
      </c>
      <c r="E386">
        <v>22446</v>
      </c>
      <c r="F386">
        <f t="shared" si="33"/>
        <v>8.15625</v>
      </c>
      <c r="G386">
        <f t="shared" si="31"/>
        <v>369.96749999999997</v>
      </c>
      <c r="H386">
        <v>186.43999999999997</v>
      </c>
      <c r="I386" t="s">
        <v>38</v>
      </c>
      <c r="J386">
        <f t="shared" si="32"/>
        <v>4.110229276895943</v>
      </c>
      <c r="K386">
        <v>2321.75</v>
      </c>
    </row>
    <row r="387" spans="1:11" x14ac:dyDescent="0.35">
      <c r="A387" s="1">
        <v>37288</v>
      </c>
      <c r="B387" t="s">
        <v>13</v>
      </c>
      <c r="C387" t="s">
        <v>38</v>
      </c>
      <c r="D387">
        <v>3978</v>
      </c>
      <c r="E387">
        <v>32616</v>
      </c>
      <c r="F387">
        <f t="shared" si="33"/>
        <v>8.1990950226244337</v>
      </c>
      <c r="G387">
        <f t="shared" si="31"/>
        <v>371.91095022624432</v>
      </c>
      <c r="H387">
        <v>185.20285714285714</v>
      </c>
      <c r="I387" t="s">
        <v>38</v>
      </c>
      <c r="J387">
        <f t="shared" si="32"/>
        <v>4.0829554043839762</v>
      </c>
      <c r="K387">
        <v>2321.75</v>
      </c>
    </row>
    <row r="388" spans="1:11" x14ac:dyDescent="0.35">
      <c r="A388" s="1">
        <v>37316</v>
      </c>
      <c r="B388" t="s">
        <v>13</v>
      </c>
      <c r="C388" t="s">
        <v>38</v>
      </c>
      <c r="D388">
        <v>3828</v>
      </c>
      <c r="E388">
        <v>38827</v>
      </c>
      <c r="F388">
        <f t="shared" si="33"/>
        <v>10.14289446185998</v>
      </c>
      <c r="G388">
        <f t="shared" si="31"/>
        <v>460.08169278996866</v>
      </c>
      <c r="H388">
        <v>185.26142857142855</v>
      </c>
      <c r="I388" t="s">
        <v>38</v>
      </c>
      <c r="J388">
        <f t="shared" si="32"/>
        <v>4.0842466616276134</v>
      </c>
      <c r="K388">
        <v>2321.75</v>
      </c>
    </row>
    <row r="389" spans="1:11" x14ac:dyDescent="0.35">
      <c r="A389" s="1">
        <v>37347</v>
      </c>
      <c r="B389" t="s">
        <v>13</v>
      </c>
      <c r="C389" t="s">
        <v>38</v>
      </c>
      <c r="D389">
        <v>4836</v>
      </c>
      <c r="E389">
        <v>51661</v>
      </c>
      <c r="F389">
        <f t="shared" si="33"/>
        <v>10.682588916459885</v>
      </c>
      <c r="G389">
        <f t="shared" si="31"/>
        <v>484.56223325062035</v>
      </c>
      <c r="H389">
        <v>184.55166666666665</v>
      </c>
      <c r="I389" t="s">
        <v>38</v>
      </c>
      <c r="J389">
        <f t="shared" si="32"/>
        <v>4.0685993533215754</v>
      </c>
      <c r="K389">
        <v>2321.75</v>
      </c>
    </row>
    <row r="390" spans="1:11" x14ac:dyDescent="0.35">
      <c r="A390" s="1">
        <v>37377</v>
      </c>
      <c r="B390" t="s">
        <v>13</v>
      </c>
      <c r="C390" t="s">
        <v>38</v>
      </c>
      <c r="D390">
        <v>4766</v>
      </c>
      <c r="E390">
        <v>41763</v>
      </c>
      <c r="F390">
        <f t="shared" si="33"/>
        <v>8.7626940830885438</v>
      </c>
      <c r="G390">
        <f t="shared" si="31"/>
        <v>397.47580360889634</v>
      </c>
      <c r="H390">
        <v>172.834</v>
      </c>
      <c r="I390" t="s">
        <v>38</v>
      </c>
      <c r="J390">
        <f t="shared" si="32"/>
        <v>3.8102733686067021</v>
      </c>
      <c r="K390">
        <v>2321.75</v>
      </c>
    </row>
    <row r="391" spans="1:11" x14ac:dyDescent="0.35">
      <c r="A391" s="1">
        <v>37408</v>
      </c>
      <c r="B391" t="s">
        <v>13</v>
      </c>
      <c r="C391" t="s">
        <v>38</v>
      </c>
      <c r="D391">
        <v>4032</v>
      </c>
      <c r="E391">
        <v>37672</v>
      </c>
      <c r="F391">
        <f t="shared" si="33"/>
        <v>9.3432539682539684</v>
      </c>
      <c r="G391">
        <f t="shared" si="31"/>
        <v>423.81</v>
      </c>
      <c r="H391">
        <v>202.08285714285714</v>
      </c>
      <c r="I391" t="s">
        <v>38</v>
      </c>
      <c r="J391">
        <f t="shared" si="32"/>
        <v>4.455089443184681</v>
      </c>
      <c r="K391">
        <v>2321.75</v>
      </c>
    </row>
    <row r="392" spans="1:11" x14ac:dyDescent="0.35">
      <c r="A392" s="1">
        <v>37438</v>
      </c>
      <c r="B392" t="s">
        <v>13</v>
      </c>
      <c r="C392" t="s">
        <v>38</v>
      </c>
      <c r="D392">
        <v>4169</v>
      </c>
      <c r="E392">
        <v>40911</v>
      </c>
      <c r="F392">
        <f t="shared" si="33"/>
        <v>9.8131446390021591</v>
      </c>
      <c r="G392">
        <f t="shared" si="31"/>
        <v>445.12424082513792</v>
      </c>
      <c r="H392">
        <v>232.20833333333334</v>
      </c>
      <c r="I392" t="s">
        <v>38</v>
      </c>
      <c r="J392">
        <f t="shared" si="32"/>
        <v>5.1192313345091129</v>
      </c>
      <c r="K392">
        <v>2321.75</v>
      </c>
    </row>
    <row r="393" spans="1:11" x14ac:dyDescent="0.35">
      <c r="A393" s="1">
        <v>37469</v>
      </c>
      <c r="B393" t="s">
        <v>13</v>
      </c>
      <c r="C393" t="s">
        <v>38</v>
      </c>
      <c r="D393">
        <v>2395</v>
      </c>
      <c r="E393">
        <v>25725</v>
      </c>
      <c r="F393">
        <f t="shared" si="33"/>
        <v>10.741127348643007</v>
      </c>
      <c r="G393">
        <f t="shared" si="31"/>
        <v>487.21753653444677</v>
      </c>
      <c r="H393">
        <v>206.04166666666666</v>
      </c>
      <c r="I393" t="s">
        <v>38</v>
      </c>
      <c r="J393">
        <f t="shared" si="32"/>
        <v>4.5423647854203404</v>
      </c>
      <c r="K393">
        <v>2321.75</v>
      </c>
    </row>
    <row r="394" spans="1:11" x14ac:dyDescent="0.35">
      <c r="A394" s="1">
        <v>37500</v>
      </c>
      <c r="B394" t="s">
        <v>13</v>
      </c>
      <c r="C394" t="s">
        <v>38</v>
      </c>
      <c r="D394">
        <v>2328</v>
      </c>
      <c r="E394">
        <v>20710</v>
      </c>
      <c r="F394">
        <f t="shared" si="33"/>
        <v>8.8960481099656352</v>
      </c>
      <c r="G394">
        <f t="shared" si="31"/>
        <v>403.52474226804122</v>
      </c>
      <c r="H394">
        <v>213.29714285714286</v>
      </c>
      <c r="I394" t="s">
        <v>38</v>
      </c>
      <c r="J394">
        <f t="shared" si="32"/>
        <v>4.7023179642227264</v>
      </c>
      <c r="K394">
        <v>2321.75</v>
      </c>
    </row>
    <row r="395" spans="1:11" x14ac:dyDescent="0.35">
      <c r="A395" s="1">
        <v>37530</v>
      </c>
      <c r="B395" t="s">
        <v>13</v>
      </c>
      <c r="C395" t="s">
        <v>38</v>
      </c>
      <c r="D395">
        <v>2750</v>
      </c>
      <c r="E395">
        <v>24440</v>
      </c>
      <c r="F395">
        <f t="shared" si="33"/>
        <v>8.8872727272727268</v>
      </c>
      <c r="G395">
        <f t="shared" si="31"/>
        <v>403.12669090909088</v>
      </c>
      <c r="H395">
        <v>202.98666666666668</v>
      </c>
      <c r="I395" t="s">
        <v>38</v>
      </c>
      <c r="J395">
        <f t="shared" si="32"/>
        <v>4.4750146972369196</v>
      </c>
      <c r="K395">
        <v>2321.75</v>
      </c>
    </row>
    <row r="396" spans="1:11" x14ac:dyDescent="0.35">
      <c r="A396" s="1">
        <v>37561</v>
      </c>
      <c r="B396" t="s">
        <v>13</v>
      </c>
      <c r="C396" t="s">
        <v>38</v>
      </c>
      <c r="D396">
        <v>2421</v>
      </c>
      <c r="E396">
        <v>23674</v>
      </c>
      <c r="F396">
        <f t="shared" si="33"/>
        <v>9.7786038826931012</v>
      </c>
      <c r="G396">
        <f t="shared" si="31"/>
        <v>443.55747211895908</v>
      </c>
      <c r="H396">
        <v>286.875</v>
      </c>
      <c r="I396" t="s">
        <v>38</v>
      </c>
      <c r="J396">
        <f t="shared" si="32"/>
        <v>6.3244047619047619</v>
      </c>
      <c r="K396">
        <v>2321.75</v>
      </c>
    </row>
    <row r="397" spans="1:11" x14ac:dyDescent="0.35">
      <c r="A397" s="1">
        <v>37591</v>
      </c>
      <c r="B397" t="s">
        <v>13</v>
      </c>
      <c r="C397" t="s">
        <v>38</v>
      </c>
      <c r="D397">
        <v>2539</v>
      </c>
      <c r="E397">
        <v>23946</v>
      </c>
      <c r="F397">
        <f t="shared" si="33"/>
        <v>9.4312721543914932</v>
      </c>
      <c r="G397">
        <f t="shared" si="31"/>
        <v>427.80250492319811</v>
      </c>
      <c r="H397">
        <v>236.14000000000001</v>
      </c>
      <c r="I397" t="s">
        <v>38</v>
      </c>
      <c r="J397">
        <f t="shared" si="32"/>
        <v>5.2059082892416226</v>
      </c>
      <c r="K397">
        <v>2321.75</v>
      </c>
    </row>
    <row r="398" spans="1:11" x14ac:dyDescent="0.35">
      <c r="A398" s="1">
        <v>37257</v>
      </c>
      <c r="B398" t="s">
        <v>14</v>
      </c>
      <c r="C398" t="s">
        <v>38</v>
      </c>
      <c r="D398">
        <v>18638</v>
      </c>
      <c r="E398">
        <v>38757</v>
      </c>
      <c r="F398">
        <f t="shared" si="33"/>
        <v>2.0794613155918018</v>
      </c>
      <c r="G398">
        <f t="shared" si="31"/>
        <v>94.324365275244133</v>
      </c>
      <c r="H398">
        <v>2075</v>
      </c>
      <c r="I398" t="s">
        <v>40</v>
      </c>
      <c r="J398">
        <f>(Hoja1!H398/1000)/0.56234</f>
        <v>3.6899384713874177</v>
      </c>
      <c r="K398">
        <v>3619.46</v>
      </c>
    </row>
    <row r="399" spans="1:11" x14ac:dyDescent="0.35">
      <c r="A399" s="1">
        <v>37288</v>
      </c>
      <c r="B399" t="s">
        <v>14</v>
      </c>
      <c r="C399" t="s">
        <v>38</v>
      </c>
      <c r="D399">
        <v>13507</v>
      </c>
      <c r="E399">
        <v>19797</v>
      </c>
      <c r="F399">
        <f t="shared" si="33"/>
        <v>1.4656844599096766</v>
      </c>
      <c r="G399">
        <f t="shared" si="31"/>
        <v>66.483447101502932</v>
      </c>
      <c r="H399">
        <v>2991.6</v>
      </c>
      <c r="I399" t="s">
        <v>40</v>
      </c>
      <c r="J399">
        <f>(Hoja1!H399/1000)/0.56234</f>
        <v>5.3199132197602879</v>
      </c>
      <c r="K399">
        <v>3619.46</v>
      </c>
    </row>
    <row r="400" spans="1:11" x14ac:dyDescent="0.35">
      <c r="A400" s="1">
        <v>37316</v>
      </c>
      <c r="B400" t="s">
        <v>14</v>
      </c>
      <c r="C400" t="s">
        <v>38</v>
      </c>
      <c r="D400">
        <v>1810</v>
      </c>
      <c r="E400">
        <v>1529</v>
      </c>
      <c r="F400">
        <f t="shared" si="33"/>
        <v>0.84475138121546967</v>
      </c>
      <c r="G400">
        <f t="shared" si="31"/>
        <v>38.317922651933706</v>
      </c>
      <c r="H400">
        <v>5750</v>
      </c>
      <c r="I400" t="s">
        <v>40</v>
      </c>
      <c r="J400">
        <f>(Hoja1!H400/1000)/0.56234</f>
        <v>10.22513070384465</v>
      </c>
      <c r="K400">
        <v>3619.46</v>
      </c>
    </row>
    <row r="401" spans="1:11" x14ac:dyDescent="0.35">
      <c r="A401" s="1">
        <v>37347</v>
      </c>
      <c r="B401" t="s">
        <v>14</v>
      </c>
      <c r="C401" t="s">
        <v>38</v>
      </c>
      <c r="D401">
        <v>754</v>
      </c>
      <c r="E401">
        <v>232</v>
      </c>
      <c r="F401">
        <f t="shared" si="33"/>
        <v>0.30769230769230771</v>
      </c>
      <c r="G401">
        <f t="shared" si="31"/>
        <v>13.956923076923077</v>
      </c>
      <c r="H401">
        <v>5375</v>
      </c>
      <c r="I401" t="s">
        <v>40</v>
      </c>
      <c r="J401">
        <f>(Hoja1!H401/1000)/0.56234</f>
        <v>9.5582743535939123</v>
      </c>
      <c r="K401">
        <v>3619.46</v>
      </c>
    </row>
    <row r="402" spans="1:11" x14ac:dyDescent="0.35">
      <c r="A402" s="1">
        <v>37377</v>
      </c>
      <c r="B402" t="s">
        <v>14</v>
      </c>
      <c r="C402" t="s">
        <v>38</v>
      </c>
      <c r="D402">
        <v>7</v>
      </c>
      <c r="E402">
        <v>4</v>
      </c>
      <c r="F402">
        <f t="shared" si="33"/>
        <v>0.5714285714285714</v>
      </c>
      <c r="G402">
        <f t="shared" si="31"/>
        <v>25.919999999999998</v>
      </c>
      <c r="H402">
        <v>4500</v>
      </c>
      <c r="I402" t="s">
        <v>40</v>
      </c>
      <c r="J402">
        <f>(Hoja1!H402/1000)/0.56234</f>
        <v>8.0022762030088561</v>
      </c>
      <c r="K402">
        <v>3619.46</v>
      </c>
    </row>
    <row r="403" spans="1:11" x14ac:dyDescent="0.35">
      <c r="A403" s="1">
        <v>37408</v>
      </c>
      <c r="B403" t="s">
        <v>14</v>
      </c>
      <c r="C403" t="s">
        <v>38</v>
      </c>
      <c r="D403">
        <v>13525</v>
      </c>
      <c r="E403">
        <v>6704</v>
      </c>
      <c r="F403">
        <f t="shared" si="33"/>
        <v>0.49567467652495378</v>
      </c>
      <c r="G403">
        <f t="shared" si="31"/>
        <v>22.483803327171902</v>
      </c>
      <c r="H403">
        <v>4500</v>
      </c>
      <c r="I403" t="s">
        <v>40</v>
      </c>
      <c r="J403">
        <f>(Hoja1!H403/1000)/0.56234</f>
        <v>8.0022762030088561</v>
      </c>
      <c r="K403">
        <v>3619.46</v>
      </c>
    </row>
    <row r="404" spans="1:11" x14ac:dyDescent="0.35">
      <c r="A404" s="1">
        <v>37438</v>
      </c>
      <c r="B404" t="s">
        <v>14</v>
      </c>
      <c r="C404" t="s">
        <v>38</v>
      </c>
      <c r="D404">
        <v>19303</v>
      </c>
      <c r="E404">
        <v>36235</v>
      </c>
      <c r="F404">
        <f t="shared" si="33"/>
        <v>1.8771693519142103</v>
      </c>
      <c r="G404">
        <f t="shared" si="31"/>
        <v>85.148401802828573</v>
      </c>
      <c r="H404">
        <v>1886.6875</v>
      </c>
      <c r="I404" t="s">
        <v>40</v>
      </c>
      <c r="J404">
        <f>(Hoja1!H404/1000)/0.56234</f>
        <v>3.3550654408365048</v>
      </c>
      <c r="K404">
        <v>3619.46</v>
      </c>
    </row>
    <row r="405" spans="1:11" x14ac:dyDescent="0.35">
      <c r="A405" s="1">
        <v>37469</v>
      </c>
      <c r="B405" t="s">
        <v>14</v>
      </c>
      <c r="C405" t="s">
        <v>38</v>
      </c>
      <c r="D405">
        <v>30964</v>
      </c>
      <c r="E405">
        <v>64395</v>
      </c>
      <c r="F405">
        <f t="shared" si="33"/>
        <v>2.0796731688412349</v>
      </c>
      <c r="G405">
        <f t="shared" si="31"/>
        <v>94.33397493863842</v>
      </c>
      <c r="H405">
        <v>1154.5</v>
      </c>
      <c r="I405" t="s">
        <v>40</v>
      </c>
      <c r="J405">
        <f>(Hoja1!H405/1000)/0.56234</f>
        <v>2.0530284169719391</v>
      </c>
      <c r="K405">
        <v>3619.46</v>
      </c>
    </row>
    <row r="406" spans="1:11" x14ac:dyDescent="0.35">
      <c r="A406" s="1">
        <v>37500</v>
      </c>
      <c r="B406" t="s">
        <v>14</v>
      </c>
      <c r="C406" t="s">
        <v>38</v>
      </c>
      <c r="D406">
        <v>26053</v>
      </c>
      <c r="E406">
        <v>39532</v>
      </c>
      <c r="F406">
        <f t="shared" si="33"/>
        <v>1.5173684412543662</v>
      </c>
      <c r="G406">
        <f t="shared" si="31"/>
        <v>68.827832495298054</v>
      </c>
      <c r="H406">
        <v>1097.2</v>
      </c>
      <c r="I406" t="s">
        <v>40</v>
      </c>
      <c r="J406">
        <f>(Hoja1!H406/1000)/0.56234</f>
        <v>1.951132766653626</v>
      </c>
      <c r="K406">
        <v>3619.46</v>
      </c>
    </row>
    <row r="407" spans="1:11" x14ac:dyDescent="0.35">
      <c r="A407" s="1">
        <v>37530</v>
      </c>
      <c r="B407" t="s">
        <v>14</v>
      </c>
      <c r="C407" t="s">
        <v>38</v>
      </c>
      <c r="D407">
        <v>19685</v>
      </c>
      <c r="E407">
        <v>37414</v>
      </c>
      <c r="F407">
        <f t="shared" si="33"/>
        <v>1.9006350012700026</v>
      </c>
      <c r="G407">
        <f t="shared" si="31"/>
        <v>86.212803657607324</v>
      </c>
      <c r="H407">
        <v>995</v>
      </c>
      <c r="I407" t="s">
        <v>40</v>
      </c>
      <c r="J407">
        <f>(Hoja1!H407/1000)/0.56234</f>
        <v>1.7693921826652916</v>
      </c>
      <c r="K407">
        <v>3619.46</v>
      </c>
    </row>
    <row r="408" spans="1:11" x14ac:dyDescent="0.35">
      <c r="A408" s="1">
        <v>37561</v>
      </c>
      <c r="B408" t="s">
        <v>14</v>
      </c>
      <c r="C408" t="s">
        <v>38</v>
      </c>
      <c r="D408">
        <v>22010</v>
      </c>
      <c r="E408">
        <v>52875</v>
      </c>
      <c r="F408">
        <f t="shared" si="33"/>
        <v>2.402317128577919</v>
      </c>
      <c r="G408">
        <f t="shared" si="31"/>
        <v>108.9691049522944</v>
      </c>
      <c r="H408">
        <v>1296.25</v>
      </c>
      <c r="I408" t="s">
        <v>40</v>
      </c>
      <c r="J408">
        <f>(Hoja1!H408/1000)/0.56234</f>
        <v>2.3051001173667176</v>
      </c>
      <c r="K408">
        <v>3619.46</v>
      </c>
    </row>
    <row r="409" spans="1:11" x14ac:dyDescent="0.35">
      <c r="A409" s="1">
        <v>37591</v>
      </c>
      <c r="B409" t="s">
        <v>14</v>
      </c>
      <c r="C409" t="s">
        <v>38</v>
      </c>
      <c r="D409">
        <v>14731</v>
      </c>
      <c r="E409">
        <v>27780</v>
      </c>
      <c r="F409">
        <f t="shared" si="33"/>
        <v>1.8858190211119408</v>
      </c>
      <c r="G409">
        <f t="shared" si="31"/>
        <v>85.540750797637628</v>
      </c>
      <c r="H409">
        <v>1590.8</v>
      </c>
      <c r="I409" t="s">
        <v>40</v>
      </c>
      <c r="J409">
        <f>(Hoja1!H409/1000)/0.56234</f>
        <v>2.828893551943664</v>
      </c>
      <c r="K409">
        <v>3619.46</v>
      </c>
    </row>
    <row r="410" spans="1:11" x14ac:dyDescent="0.35">
      <c r="A410" s="1">
        <v>37257</v>
      </c>
      <c r="B410" t="s">
        <v>15</v>
      </c>
      <c r="C410" t="s">
        <v>41</v>
      </c>
      <c r="D410">
        <v>240255</v>
      </c>
      <c r="E410">
        <v>1461836</v>
      </c>
      <c r="F410">
        <f t="shared" si="33"/>
        <v>6.084518532392666</v>
      </c>
      <c r="G410">
        <f>F410*27.21</f>
        <v>165.55974926640445</v>
      </c>
      <c r="H410">
        <v>27.365714285714287</v>
      </c>
      <c r="I410" t="s">
        <v>58</v>
      </c>
      <c r="J410">
        <f>H410/27.21</f>
        <v>1.0057226859872945</v>
      </c>
      <c r="K410">
        <f>2107.94 +1619.27</f>
        <v>3727.21</v>
      </c>
    </row>
    <row r="411" spans="1:11" x14ac:dyDescent="0.35">
      <c r="A411" s="1">
        <v>37288</v>
      </c>
      <c r="B411" t="s">
        <v>15</v>
      </c>
      <c r="C411" t="s">
        <v>41</v>
      </c>
      <c r="D411">
        <v>250801</v>
      </c>
      <c r="E411">
        <v>1496606</v>
      </c>
      <c r="F411">
        <f t="shared" si="33"/>
        <v>5.967304755563176</v>
      </c>
      <c r="G411">
        <f t="shared" ref="G411:G420" si="34">F411*27.21</f>
        <v>162.37036239887402</v>
      </c>
      <c r="H411">
        <v>27.833333333333332</v>
      </c>
      <c r="I411" t="s">
        <v>58</v>
      </c>
      <c r="J411">
        <f t="shared" ref="J411:J421" si="35">H411/27.21</f>
        <v>1.0229082445179467</v>
      </c>
      <c r="K411">
        <f t="shared" ref="K411:K421" si="36">2107.94 +1619.27</f>
        <v>3727.21</v>
      </c>
    </row>
    <row r="412" spans="1:11" x14ac:dyDescent="0.35">
      <c r="A412" s="1">
        <v>37316</v>
      </c>
      <c r="B412" t="s">
        <v>15</v>
      </c>
      <c r="C412" t="s">
        <v>41</v>
      </c>
      <c r="D412">
        <v>249265</v>
      </c>
      <c r="E412">
        <v>1547694</v>
      </c>
      <c r="F412">
        <f t="shared" si="33"/>
        <v>6.2090305498164602</v>
      </c>
      <c r="G412">
        <f t="shared" si="34"/>
        <v>168.94772126050589</v>
      </c>
      <c r="H412">
        <v>26.848749999999999</v>
      </c>
      <c r="I412" t="s">
        <v>58</v>
      </c>
      <c r="J412">
        <f t="shared" si="35"/>
        <v>0.98672363101800797</v>
      </c>
      <c r="K412">
        <f t="shared" si="36"/>
        <v>3727.21</v>
      </c>
    </row>
    <row r="413" spans="1:11" x14ac:dyDescent="0.35">
      <c r="A413" s="1">
        <v>37347</v>
      </c>
      <c r="B413" t="s">
        <v>15</v>
      </c>
      <c r="C413" t="s">
        <v>41</v>
      </c>
      <c r="D413">
        <v>249015</v>
      </c>
      <c r="E413">
        <v>1494804</v>
      </c>
      <c r="F413">
        <f t="shared" si="33"/>
        <v>6.0028672971507744</v>
      </c>
      <c r="G413">
        <f t="shared" si="34"/>
        <v>163.33801915547258</v>
      </c>
      <c r="H413">
        <v>24.458571428571425</v>
      </c>
      <c r="I413" t="s">
        <v>58</v>
      </c>
      <c r="J413">
        <f t="shared" si="35"/>
        <v>0.89888171365569369</v>
      </c>
      <c r="K413">
        <f t="shared" si="36"/>
        <v>3727.21</v>
      </c>
    </row>
    <row r="414" spans="1:11" x14ac:dyDescent="0.35">
      <c r="A414" s="1">
        <v>37377</v>
      </c>
      <c r="B414" t="s">
        <v>15</v>
      </c>
      <c r="C414" t="s">
        <v>41</v>
      </c>
      <c r="D414">
        <v>254003</v>
      </c>
      <c r="E414">
        <v>1727612</v>
      </c>
      <c r="F414">
        <f t="shared" si="33"/>
        <v>6.8015417140742436</v>
      </c>
      <c r="G414">
        <f t="shared" si="34"/>
        <v>185.06995003996016</v>
      </c>
      <c r="H414">
        <v>29.006250000000001</v>
      </c>
      <c r="I414" t="s">
        <v>58</v>
      </c>
      <c r="J414">
        <f t="shared" si="35"/>
        <v>1.0660143329658214</v>
      </c>
      <c r="K414">
        <f t="shared" si="36"/>
        <v>3727.21</v>
      </c>
    </row>
    <row r="415" spans="1:11" x14ac:dyDescent="0.35">
      <c r="A415" s="1">
        <v>37408</v>
      </c>
      <c r="B415" t="s">
        <v>15</v>
      </c>
      <c r="C415" t="s">
        <v>41</v>
      </c>
      <c r="D415">
        <v>242492</v>
      </c>
      <c r="E415">
        <v>1744347</v>
      </c>
      <c r="F415">
        <f t="shared" si="33"/>
        <v>7.1934208138825202</v>
      </c>
      <c r="G415">
        <f t="shared" si="34"/>
        <v>195.73298034574339</v>
      </c>
      <c r="H415">
        <v>24.506666666666664</v>
      </c>
      <c r="I415" t="s">
        <v>58</v>
      </c>
      <c r="J415">
        <f t="shared" si="35"/>
        <v>0.90064927110131066</v>
      </c>
      <c r="K415">
        <f t="shared" si="36"/>
        <v>3727.21</v>
      </c>
    </row>
    <row r="416" spans="1:11" x14ac:dyDescent="0.35">
      <c r="A416" s="1">
        <v>37438</v>
      </c>
      <c r="B416" t="s">
        <v>15</v>
      </c>
      <c r="C416" t="s">
        <v>41</v>
      </c>
      <c r="D416">
        <v>318821</v>
      </c>
      <c r="E416">
        <v>2114026</v>
      </c>
      <c r="F416">
        <f t="shared" si="33"/>
        <v>6.6307614617606747</v>
      </c>
      <c r="G416">
        <f t="shared" si="34"/>
        <v>180.42301937450796</v>
      </c>
      <c r="H416">
        <v>26.274285714285714</v>
      </c>
      <c r="I416" t="s">
        <v>58</v>
      </c>
      <c r="J416">
        <f t="shared" si="35"/>
        <v>0.96561138236992694</v>
      </c>
      <c r="K416">
        <f t="shared" si="36"/>
        <v>3727.21</v>
      </c>
    </row>
    <row r="417" spans="1:11" x14ac:dyDescent="0.35">
      <c r="A417" s="1">
        <v>37469</v>
      </c>
      <c r="B417" t="s">
        <v>15</v>
      </c>
      <c r="C417" t="s">
        <v>41</v>
      </c>
      <c r="D417">
        <v>225547</v>
      </c>
      <c r="E417">
        <v>1754017</v>
      </c>
      <c r="F417">
        <f t="shared" si="33"/>
        <v>7.7767250284863021</v>
      </c>
      <c r="G417">
        <f t="shared" si="34"/>
        <v>211.6046880251123</v>
      </c>
      <c r="H417">
        <v>23.905999999999999</v>
      </c>
      <c r="I417" t="s">
        <v>58</v>
      </c>
      <c r="J417">
        <f t="shared" si="35"/>
        <v>0.87857405365674379</v>
      </c>
      <c r="K417">
        <f t="shared" si="36"/>
        <v>3727.21</v>
      </c>
    </row>
    <row r="418" spans="1:11" x14ac:dyDescent="0.35">
      <c r="A418" s="1">
        <v>37500</v>
      </c>
      <c r="B418" t="s">
        <v>15</v>
      </c>
      <c r="C418" t="s">
        <v>41</v>
      </c>
      <c r="D418">
        <v>251859</v>
      </c>
      <c r="E418">
        <v>1952420</v>
      </c>
      <c r="F418">
        <f t="shared" si="33"/>
        <v>7.7520358613351119</v>
      </c>
      <c r="G418">
        <f t="shared" si="34"/>
        <v>210.93289578692841</v>
      </c>
      <c r="H418">
        <v>26.828333333333333</v>
      </c>
      <c r="I418" t="s">
        <v>58</v>
      </c>
      <c r="J418">
        <f t="shared" si="35"/>
        <v>0.98597329413205925</v>
      </c>
      <c r="K418">
        <f t="shared" si="36"/>
        <v>3727.21</v>
      </c>
    </row>
    <row r="419" spans="1:11" x14ac:dyDescent="0.35">
      <c r="A419" s="1">
        <v>37530</v>
      </c>
      <c r="B419" t="s">
        <v>15</v>
      </c>
      <c r="C419" t="s">
        <v>41</v>
      </c>
      <c r="D419">
        <v>241696</v>
      </c>
      <c r="E419">
        <v>1685540</v>
      </c>
      <c r="F419">
        <f t="shared" si="33"/>
        <v>6.9738018006090297</v>
      </c>
      <c r="G419">
        <f t="shared" si="34"/>
        <v>189.75714699457171</v>
      </c>
      <c r="H419">
        <v>26.375</v>
      </c>
      <c r="I419" t="s">
        <v>58</v>
      </c>
      <c r="J419">
        <f t="shared" si="35"/>
        <v>0.9693127526644616</v>
      </c>
      <c r="K419">
        <f t="shared" si="36"/>
        <v>3727.21</v>
      </c>
    </row>
    <row r="420" spans="1:11" x14ac:dyDescent="0.35">
      <c r="A420" s="1">
        <v>37561</v>
      </c>
      <c r="B420" t="s">
        <v>15</v>
      </c>
      <c r="C420" t="s">
        <v>41</v>
      </c>
      <c r="D420">
        <v>255089</v>
      </c>
      <c r="E420">
        <v>1889129</v>
      </c>
      <c r="F420">
        <f t="shared" si="33"/>
        <v>7.4057642626691074</v>
      </c>
      <c r="G420">
        <f t="shared" si="34"/>
        <v>201.51084558722641</v>
      </c>
      <c r="H420">
        <v>24.907999999999998</v>
      </c>
      <c r="I420" t="s">
        <v>58</v>
      </c>
      <c r="J420">
        <f t="shared" si="35"/>
        <v>0.91539875045938979</v>
      </c>
      <c r="K420">
        <f t="shared" si="36"/>
        <v>3727.21</v>
      </c>
    </row>
    <row r="421" spans="1:11" x14ac:dyDescent="0.35">
      <c r="A421" s="1">
        <v>37591</v>
      </c>
      <c r="B421" t="s">
        <v>15</v>
      </c>
      <c r="C421" t="s">
        <v>41</v>
      </c>
      <c r="D421">
        <v>247067</v>
      </c>
      <c r="E421">
        <v>1662405</v>
      </c>
      <c r="F421">
        <f t="shared" si="33"/>
        <v>6.72855945957979</v>
      </c>
      <c r="G421">
        <f>F421*27.21</f>
        <v>183.0841028951661</v>
      </c>
      <c r="H421">
        <v>26.457999999999998</v>
      </c>
      <c r="I421" t="s">
        <v>58</v>
      </c>
      <c r="J421">
        <f t="shared" si="35"/>
        <v>0.97236310180080843</v>
      </c>
      <c r="K421">
        <f t="shared" si="36"/>
        <v>3727.21</v>
      </c>
    </row>
    <row r="422" spans="1:11" x14ac:dyDescent="0.35">
      <c r="A422" s="1">
        <v>37257</v>
      </c>
      <c r="B422" t="s">
        <v>18</v>
      </c>
      <c r="C422" t="s">
        <v>40</v>
      </c>
      <c r="D422">
        <v>556294</v>
      </c>
      <c r="E422">
        <v>82768</v>
      </c>
      <c r="F422">
        <f t="shared" si="33"/>
        <v>0.1487846354625432</v>
      </c>
      <c r="G422">
        <f>F422*408.15</f>
        <v>60.726448964037004</v>
      </c>
      <c r="H422">
        <v>1312.447142857143</v>
      </c>
      <c r="I422" t="s">
        <v>40</v>
      </c>
      <c r="J422">
        <f>(H422/1000)/0.40815</f>
        <v>3.2156000070002282</v>
      </c>
      <c r="K422">
        <f>2725.5+1224.34</f>
        <v>3949.84</v>
      </c>
    </row>
    <row r="423" spans="1:11" x14ac:dyDescent="0.35">
      <c r="A423" s="1">
        <v>37288</v>
      </c>
      <c r="B423" t="s">
        <v>18</v>
      </c>
      <c r="C423" t="s">
        <v>40</v>
      </c>
      <c r="D423">
        <v>668706</v>
      </c>
      <c r="E423">
        <v>97297</v>
      </c>
      <c r="F423">
        <f t="shared" si="33"/>
        <v>0.14550041423286167</v>
      </c>
      <c r="G423">
        <f t="shared" ref="G423:G432" si="37">F423*408.15</f>
        <v>59.385994069142484</v>
      </c>
      <c r="H423">
        <v>1169.8910666666666</v>
      </c>
      <c r="I423" t="s">
        <v>40</v>
      </c>
      <c r="J423">
        <f t="shared" ref="J423:J433" si="38">(H423/1000)/0.40815</f>
        <v>2.8663262689370734</v>
      </c>
      <c r="K423">
        <f t="shared" ref="K423:K433" si="39">2725.5+1224.34</f>
        <v>3949.84</v>
      </c>
    </row>
    <row r="424" spans="1:11" x14ac:dyDescent="0.35">
      <c r="A424" s="1">
        <v>37316</v>
      </c>
      <c r="B424" t="s">
        <v>18</v>
      </c>
      <c r="C424" t="s">
        <v>40</v>
      </c>
      <c r="D424">
        <v>589136</v>
      </c>
      <c r="E424">
        <v>82750</v>
      </c>
      <c r="F424">
        <f t="shared" si="33"/>
        <v>0.14045992775861602</v>
      </c>
      <c r="G424">
        <f t="shared" si="37"/>
        <v>57.328719514679122</v>
      </c>
      <c r="H424">
        <v>1231.8362500000001</v>
      </c>
      <c r="I424" t="s">
        <v>40</v>
      </c>
      <c r="J424">
        <f t="shared" si="38"/>
        <v>3.0180969006492711</v>
      </c>
      <c r="K424">
        <f t="shared" si="39"/>
        <v>3949.84</v>
      </c>
    </row>
    <row r="425" spans="1:11" x14ac:dyDescent="0.35">
      <c r="A425" s="1">
        <v>37347</v>
      </c>
      <c r="B425" t="s">
        <v>18</v>
      </c>
      <c r="C425" t="s">
        <v>40</v>
      </c>
      <c r="D425">
        <v>650182</v>
      </c>
      <c r="E425">
        <v>104033</v>
      </c>
      <c r="F425">
        <f t="shared" si="33"/>
        <v>0.16000596755985247</v>
      </c>
      <c r="G425">
        <f t="shared" si="37"/>
        <v>65.306435659553784</v>
      </c>
      <c r="H425">
        <v>1231.8262500000001</v>
      </c>
      <c r="I425" t="s">
        <v>40</v>
      </c>
      <c r="J425">
        <f t="shared" si="38"/>
        <v>3.0180723998529952</v>
      </c>
      <c r="K425">
        <f t="shared" si="39"/>
        <v>3949.84</v>
      </c>
    </row>
    <row r="426" spans="1:11" x14ac:dyDescent="0.35">
      <c r="A426" s="1">
        <v>37377</v>
      </c>
      <c r="B426" t="s">
        <v>18</v>
      </c>
      <c r="C426" t="s">
        <v>40</v>
      </c>
      <c r="D426">
        <v>648238</v>
      </c>
      <c r="E426">
        <v>96109</v>
      </c>
      <c r="F426">
        <f t="shared" si="33"/>
        <v>0.1482619038069351</v>
      </c>
      <c r="G426">
        <f t="shared" si="37"/>
        <v>60.513096038800562</v>
      </c>
      <c r="H426">
        <v>1146.2425000000001</v>
      </c>
      <c r="I426" t="s">
        <v>40</v>
      </c>
      <c r="J426">
        <f t="shared" si="38"/>
        <v>2.8083853975254196</v>
      </c>
      <c r="K426">
        <f t="shared" si="39"/>
        <v>3949.84</v>
      </c>
    </row>
    <row r="427" spans="1:11" x14ac:dyDescent="0.35">
      <c r="A427" s="1">
        <v>37408</v>
      </c>
      <c r="B427" t="s">
        <v>18</v>
      </c>
      <c r="C427" t="s">
        <v>40</v>
      </c>
      <c r="D427">
        <v>678170</v>
      </c>
      <c r="E427">
        <v>117459</v>
      </c>
      <c r="F427">
        <f t="shared" si="33"/>
        <v>0.17319993511951282</v>
      </c>
      <c r="G427">
        <f t="shared" si="37"/>
        <v>70.691553519029156</v>
      </c>
      <c r="H427">
        <v>948.01285714285711</v>
      </c>
      <c r="I427" t="s">
        <v>40</v>
      </c>
      <c r="J427">
        <f t="shared" si="38"/>
        <v>2.3227069879771092</v>
      </c>
      <c r="K427">
        <f t="shared" si="39"/>
        <v>3949.84</v>
      </c>
    </row>
    <row r="428" spans="1:11" x14ac:dyDescent="0.35">
      <c r="A428" s="1">
        <v>37438</v>
      </c>
      <c r="B428" t="s">
        <v>18</v>
      </c>
      <c r="C428" t="s">
        <v>40</v>
      </c>
      <c r="D428">
        <v>697620</v>
      </c>
      <c r="E428">
        <v>131955</v>
      </c>
      <c r="F428">
        <f t="shared" si="33"/>
        <v>0.18915025371979013</v>
      </c>
      <c r="G428">
        <f t="shared" si="37"/>
        <v>77.201676055732335</v>
      </c>
      <c r="H428">
        <v>1039.1925000000001</v>
      </c>
      <c r="I428" t="s">
        <v>40</v>
      </c>
      <c r="J428">
        <f t="shared" si="38"/>
        <v>2.5461043733921356</v>
      </c>
      <c r="K428">
        <f t="shared" si="39"/>
        <v>3949.84</v>
      </c>
    </row>
    <row r="429" spans="1:11" x14ac:dyDescent="0.35">
      <c r="A429" s="1">
        <v>37469</v>
      </c>
      <c r="B429" t="s">
        <v>18</v>
      </c>
      <c r="C429" t="s">
        <v>40</v>
      </c>
      <c r="D429">
        <v>661112</v>
      </c>
      <c r="E429">
        <v>107962</v>
      </c>
      <c r="F429">
        <f t="shared" si="33"/>
        <v>0.16330364597829111</v>
      </c>
      <c r="G429">
        <f t="shared" si="37"/>
        <v>66.652383106039508</v>
      </c>
      <c r="H429">
        <v>1139.7114285714285</v>
      </c>
      <c r="I429" t="s">
        <v>40</v>
      </c>
      <c r="J429">
        <f t="shared" si="38"/>
        <v>2.792383752471955</v>
      </c>
      <c r="K429">
        <f t="shared" si="39"/>
        <v>3949.84</v>
      </c>
    </row>
    <row r="430" spans="1:11" x14ac:dyDescent="0.35">
      <c r="A430" s="1">
        <v>37500</v>
      </c>
      <c r="B430" t="s">
        <v>18</v>
      </c>
      <c r="C430" t="s">
        <v>40</v>
      </c>
      <c r="D430">
        <v>667433</v>
      </c>
      <c r="E430">
        <v>106785</v>
      </c>
      <c r="F430">
        <f t="shared" si="33"/>
        <v>0.15999358737131666</v>
      </c>
      <c r="G430">
        <f t="shared" si="37"/>
        <v>65.301382685602889</v>
      </c>
      <c r="H430">
        <v>1358.2142857142858</v>
      </c>
      <c r="I430" t="s">
        <v>40</v>
      </c>
      <c r="J430">
        <f t="shared" si="38"/>
        <v>3.3277331513274184</v>
      </c>
      <c r="K430">
        <f t="shared" si="39"/>
        <v>3949.84</v>
      </c>
    </row>
    <row r="431" spans="1:11" x14ac:dyDescent="0.35">
      <c r="A431" s="1">
        <v>37530</v>
      </c>
      <c r="B431" t="s">
        <v>18</v>
      </c>
      <c r="C431" t="s">
        <v>40</v>
      </c>
      <c r="D431">
        <v>660088</v>
      </c>
      <c r="E431">
        <v>96305</v>
      </c>
      <c r="F431">
        <f t="shared" si="33"/>
        <v>0.14589721370483935</v>
      </c>
      <c r="G431">
        <f t="shared" si="37"/>
        <v>59.547947773630177</v>
      </c>
      <c r="H431">
        <v>1269.5471428571429</v>
      </c>
      <c r="I431" t="s">
        <v>40</v>
      </c>
      <c r="J431">
        <f t="shared" si="38"/>
        <v>3.1104915909767068</v>
      </c>
      <c r="K431">
        <f t="shared" si="39"/>
        <v>3949.84</v>
      </c>
    </row>
    <row r="432" spans="1:11" x14ac:dyDescent="0.35">
      <c r="A432" s="1">
        <v>37561</v>
      </c>
      <c r="B432" t="s">
        <v>18</v>
      </c>
      <c r="C432" t="s">
        <v>40</v>
      </c>
      <c r="D432">
        <v>684563</v>
      </c>
      <c r="E432">
        <v>98507</v>
      </c>
      <c r="F432">
        <f t="shared" si="33"/>
        <v>0.14389763980816958</v>
      </c>
      <c r="G432">
        <f t="shared" si="37"/>
        <v>58.731821687704411</v>
      </c>
      <c r="H432">
        <v>1168.3675000000001</v>
      </c>
      <c r="I432" t="s">
        <v>40</v>
      </c>
      <c r="J432">
        <f t="shared" si="38"/>
        <v>2.8625934092858016</v>
      </c>
      <c r="K432">
        <f t="shared" si="39"/>
        <v>3949.84</v>
      </c>
    </row>
    <row r="433" spans="1:11" x14ac:dyDescent="0.35">
      <c r="A433" s="1">
        <v>37591</v>
      </c>
      <c r="B433" t="s">
        <v>18</v>
      </c>
      <c r="C433" t="s">
        <v>40</v>
      </c>
      <c r="D433">
        <v>670905</v>
      </c>
      <c r="E433">
        <v>85177</v>
      </c>
      <c r="F433">
        <f t="shared" si="33"/>
        <v>0.12695836221223572</v>
      </c>
      <c r="G433">
        <f>F433*408.15</f>
        <v>51.818055536924007</v>
      </c>
      <c r="H433">
        <v>1199.70875</v>
      </c>
      <c r="I433" t="s">
        <v>40</v>
      </c>
      <c r="J433">
        <f t="shared" si="38"/>
        <v>2.939381967413941</v>
      </c>
      <c r="K433">
        <f t="shared" si="39"/>
        <v>3949.84</v>
      </c>
    </row>
    <row r="434" spans="1:11" x14ac:dyDescent="0.35">
      <c r="A434" s="1">
        <v>37622</v>
      </c>
      <c r="B434" t="s">
        <v>2</v>
      </c>
      <c r="C434" t="s">
        <v>38</v>
      </c>
      <c r="D434">
        <v>92808</v>
      </c>
      <c r="E434">
        <v>263203</v>
      </c>
      <c r="F434">
        <f t="shared" si="33"/>
        <v>2.8359947418326006</v>
      </c>
      <c r="G434">
        <f>F434*45.36</f>
        <v>128.64072148952675</v>
      </c>
      <c r="H434">
        <v>739.52915291529098</v>
      </c>
      <c r="I434" t="s">
        <v>59</v>
      </c>
      <c r="J434">
        <f>H434/110</f>
        <v>6.7229922992299178</v>
      </c>
      <c r="K434">
        <v>4275.41</v>
      </c>
    </row>
    <row r="435" spans="1:11" x14ac:dyDescent="0.35">
      <c r="A435" s="1">
        <v>37653</v>
      </c>
      <c r="B435" t="s">
        <v>2</v>
      </c>
      <c r="C435" t="s">
        <v>38</v>
      </c>
      <c r="D435">
        <v>29624</v>
      </c>
      <c r="E435">
        <v>88587</v>
      </c>
      <c r="F435">
        <f t="shared" si="33"/>
        <v>2.9903794220901974</v>
      </c>
      <c r="G435">
        <f t="shared" ref="G435:G498" si="40">F435*45.36</f>
        <v>135.64361058601136</v>
      </c>
      <c r="H435">
        <v>753.44554455445541</v>
      </c>
      <c r="I435" t="s">
        <v>59</v>
      </c>
      <c r="J435">
        <f t="shared" ref="J435:J445" si="41">H435/110</f>
        <v>6.8495049504950494</v>
      </c>
      <c r="K435">
        <v>4275.41</v>
      </c>
    </row>
    <row r="436" spans="1:11" x14ac:dyDescent="0.35">
      <c r="A436" s="1">
        <v>37681</v>
      </c>
      <c r="B436" t="s">
        <v>2</v>
      </c>
      <c r="C436" t="s">
        <v>38</v>
      </c>
      <c r="D436">
        <v>3688</v>
      </c>
      <c r="E436">
        <v>11642</v>
      </c>
      <c r="F436">
        <f t="shared" si="33"/>
        <v>3.1567245119305856</v>
      </c>
      <c r="G436">
        <f t="shared" si="40"/>
        <v>143.18902386117136</v>
      </c>
      <c r="H436">
        <v>933.80198019801981</v>
      </c>
      <c r="I436" t="s">
        <v>59</v>
      </c>
      <c r="J436">
        <f t="shared" si="41"/>
        <v>8.4891089108910887</v>
      </c>
      <c r="K436">
        <v>4275.41</v>
      </c>
    </row>
    <row r="437" spans="1:11" x14ac:dyDescent="0.35">
      <c r="A437" s="1">
        <v>37712</v>
      </c>
      <c r="B437" t="s">
        <v>2</v>
      </c>
      <c r="C437" t="s">
        <v>38</v>
      </c>
      <c r="D437">
        <v>3927</v>
      </c>
      <c r="E437">
        <v>12643</v>
      </c>
      <c r="F437">
        <f t="shared" si="33"/>
        <v>3.2195059842118665</v>
      </c>
      <c r="G437">
        <f t="shared" si="40"/>
        <v>146.03679144385026</v>
      </c>
      <c r="H437">
        <v>919.69196919691967</v>
      </c>
      <c r="I437" t="s">
        <v>59</v>
      </c>
      <c r="J437">
        <f t="shared" si="41"/>
        <v>8.3608360836083602</v>
      </c>
      <c r="K437">
        <v>4275.41</v>
      </c>
    </row>
    <row r="438" spans="1:11" x14ac:dyDescent="0.35">
      <c r="A438" s="1">
        <v>37742</v>
      </c>
      <c r="B438" t="s">
        <v>2</v>
      </c>
      <c r="C438" t="s">
        <v>38</v>
      </c>
      <c r="D438">
        <v>29543</v>
      </c>
      <c r="E438">
        <v>133183</v>
      </c>
      <c r="F438">
        <f t="shared" si="33"/>
        <v>4.5081068273364249</v>
      </c>
      <c r="G438">
        <f t="shared" si="40"/>
        <v>204.48772568798023</v>
      </c>
      <c r="H438">
        <v>677.66776677667758</v>
      </c>
      <c r="I438" t="s">
        <v>59</v>
      </c>
      <c r="J438">
        <f t="shared" si="41"/>
        <v>6.1606160616061603</v>
      </c>
      <c r="K438">
        <v>4275.41</v>
      </c>
    </row>
    <row r="439" spans="1:11" x14ac:dyDescent="0.35">
      <c r="A439" s="1">
        <v>37773</v>
      </c>
      <c r="B439" t="s">
        <v>2</v>
      </c>
      <c r="C439" t="s">
        <v>38</v>
      </c>
      <c r="D439">
        <v>208015</v>
      </c>
      <c r="E439">
        <v>1025174</v>
      </c>
      <c r="F439">
        <f t="shared" si="33"/>
        <v>4.9283657428550827</v>
      </c>
      <c r="G439">
        <f t="shared" si="40"/>
        <v>223.55067009590655</v>
      </c>
      <c r="H439">
        <v>1067.0847084708471</v>
      </c>
      <c r="I439" t="s">
        <v>59</v>
      </c>
      <c r="J439">
        <f t="shared" si="41"/>
        <v>9.7007700770077001</v>
      </c>
      <c r="K439">
        <v>4275.41</v>
      </c>
    </row>
    <row r="440" spans="1:11" x14ac:dyDescent="0.35">
      <c r="A440" s="1">
        <v>37803</v>
      </c>
      <c r="B440" t="s">
        <v>2</v>
      </c>
      <c r="C440" t="s">
        <v>38</v>
      </c>
      <c r="D440">
        <v>441634</v>
      </c>
      <c r="E440">
        <v>2227693</v>
      </c>
      <c r="F440">
        <f t="shared" si="33"/>
        <v>5.0442062884651095</v>
      </c>
      <c r="G440">
        <f t="shared" si="40"/>
        <v>228.80519724477736</v>
      </c>
      <c r="H440">
        <v>1087.124312431243</v>
      </c>
      <c r="I440" t="s">
        <v>59</v>
      </c>
      <c r="J440">
        <f t="shared" si="41"/>
        <v>9.8829482948294807</v>
      </c>
      <c r="K440">
        <v>4275.41</v>
      </c>
    </row>
    <row r="441" spans="1:11" x14ac:dyDescent="0.35">
      <c r="A441" s="1">
        <v>37834</v>
      </c>
      <c r="B441" t="s">
        <v>2</v>
      </c>
      <c r="C441" t="s">
        <v>38</v>
      </c>
      <c r="D441">
        <v>283002</v>
      </c>
      <c r="E441">
        <v>1446278</v>
      </c>
      <c r="F441">
        <f t="shared" si="33"/>
        <v>5.1104868516830271</v>
      </c>
      <c r="G441">
        <f t="shared" si="40"/>
        <v>231.81168359234209</v>
      </c>
      <c r="H441">
        <v>1162.2244224422441</v>
      </c>
      <c r="I441" t="s">
        <v>59</v>
      </c>
      <c r="J441">
        <f t="shared" si="41"/>
        <v>10.565676567656764</v>
      </c>
      <c r="K441">
        <v>4275.41</v>
      </c>
    </row>
    <row r="442" spans="1:11" x14ac:dyDescent="0.35">
      <c r="A442" s="1">
        <v>37865</v>
      </c>
      <c r="B442" t="s">
        <v>2</v>
      </c>
      <c r="C442" t="s">
        <v>38</v>
      </c>
      <c r="D442">
        <v>98132</v>
      </c>
      <c r="E442">
        <v>388201</v>
      </c>
      <c r="F442">
        <f t="shared" ref="F442:F506" si="42">E442/D442</f>
        <v>3.9559063302490522</v>
      </c>
      <c r="G442">
        <f t="shared" si="40"/>
        <v>179.439911140097</v>
      </c>
      <c r="H442">
        <v>1199.5445544554455</v>
      </c>
      <c r="I442" t="s">
        <v>59</v>
      </c>
      <c r="J442">
        <f t="shared" si="41"/>
        <v>10.904950495049505</v>
      </c>
      <c r="K442">
        <v>4275.41</v>
      </c>
    </row>
    <row r="443" spans="1:11" x14ac:dyDescent="0.35">
      <c r="A443" s="1">
        <v>37895</v>
      </c>
      <c r="B443" t="s">
        <v>2</v>
      </c>
      <c r="C443" t="s">
        <v>38</v>
      </c>
      <c r="D443">
        <v>272251</v>
      </c>
      <c r="E443">
        <v>889845</v>
      </c>
      <c r="F443">
        <f t="shared" si="42"/>
        <v>3.2684728430749566</v>
      </c>
      <c r="G443">
        <f t="shared" si="40"/>
        <v>148.25792816188002</v>
      </c>
      <c r="H443">
        <v>1266.5852585258526</v>
      </c>
      <c r="I443" t="s">
        <v>59</v>
      </c>
      <c r="J443">
        <f t="shared" si="41"/>
        <v>11.514411441144114</v>
      </c>
      <c r="K443">
        <v>4275.41</v>
      </c>
    </row>
    <row r="444" spans="1:11" x14ac:dyDescent="0.35">
      <c r="A444" s="1">
        <v>37926</v>
      </c>
      <c r="B444" t="s">
        <v>2</v>
      </c>
      <c r="C444" t="s">
        <v>38</v>
      </c>
      <c r="D444">
        <v>388668</v>
      </c>
      <c r="E444">
        <v>1393856</v>
      </c>
      <c r="F444">
        <f t="shared" si="42"/>
        <v>3.5862381261127747</v>
      </c>
      <c r="G444">
        <f t="shared" si="40"/>
        <v>162.67176140047545</v>
      </c>
      <c r="H444">
        <v>1487.0209020902089</v>
      </c>
      <c r="I444" t="s">
        <v>59</v>
      </c>
      <c r="J444">
        <f t="shared" si="41"/>
        <v>13.518371837183718</v>
      </c>
      <c r="K444">
        <v>4275.41</v>
      </c>
    </row>
    <row r="445" spans="1:11" x14ac:dyDescent="0.35">
      <c r="A445" s="1">
        <v>37956</v>
      </c>
      <c r="B445" t="s">
        <v>2</v>
      </c>
      <c r="C445" t="s">
        <v>38</v>
      </c>
      <c r="D445">
        <v>233636</v>
      </c>
      <c r="E445">
        <v>836986</v>
      </c>
      <c r="F445">
        <f t="shared" si="42"/>
        <v>3.5824359259703127</v>
      </c>
      <c r="G445">
        <f t="shared" si="40"/>
        <v>162.49929360201338</v>
      </c>
      <c r="H445">
        <v>1780.015401540154</v>
      </c>
      <c r="I445" t="s">
        <v>59</v>
      </c>
      <c r="J445">
        <f t="shared" si="41"/>
        <v>16.181958195819583</v>
      </c>
      <c r="K445">
        <v>4275.41</v>
      </c>
    </row>
    <row r="446" spans="1:11" x14ac:dyDescent="0.35">
      <c r="A446" s="1">
        <v>37622</v>
      </c>
      <c r="B446" t="s">
        <v>5</v>
      </c>
      <c r="C446" t="s">
        <v>38</v>
      </c>
      <c r="D446">
        <v>26798</v>
      </c>
      <c r="E446">
        <v>39943</v>
      </c>
      <c r="F446">
        <f t="shared" si="42"/>
        <v>1.490521680722442</v>
      </c>
      <c r="G446">
        <f t="shared" si="40"/>
        <v>67.610063437569963</v>
      </c>
      <c r="H446">
        <v>175.870125</v>
      </c>
      <c r="I446" t="s">
        <v>38</v>
      </c>
      <c r="J446">
        <f>H446/45.36</f>
        <v>3.8772073412698416</v>
      </c>
      <c r="K446">
        <v>938.62</v>
      </c>
    </row>
    <row r="447" spans="1:11" x14ac:dyDescent="0.35">
      <c r="A447" s="1">
        <v>37653</v>
      </c>
      <c r="B447" t="s">
        <v>5</v>
      </c>
      <c r="C447" t="s">
        <v>38</v>
      </c>
      <c r="D447">
        <v>27861</v>
      </c>
      <c r="E447">
        <v>39302</v>
      </c>
      <c r="F447">
        <f t="shared" si="42"/>
        <v>1.4106457054664225</v>
      </c>
      <c r="G447">
        <f t="shared" si="40"/>
        <v>63.986889199956927</v>
      </c>
      <c r="H447">
        <v>186.40043333333332</v>
      </c>
      <c r="I447" t="s">
        <v>38</v>
      </c>
      <c r="J447">
        <f t="shared" ref="J447:J510" si="43">H447/45.36</f>
        <v>4.1093569958847738</v>
      </c>
      <c r="K447">
        <v>938.62</v>
      </c>
    </row>
    <row r="448" spans="1:11" x14ac:dyDescent="0.35">
      <c r="A448" s="1">
        <v>37681</v>
      </c>
      <c r="B448" t="s">
        <v>5</v>
      </c>
      <c r="C448" t="s">
        <v>38</v>
      </c>
      <c r="D448">
        <v>27128</v>
      </c>
      <c r="E448">
        <v>59257</v>
      </c>
      <c r="F448">
        <f t="shared" si="42"/>
        <v>2.1843482748451786</v>
      </c>
      <c r="G448">
        <f t="shared" si="40"/>
        <v>99.082037746977292</v>
      </c>
      <c r="H448">
        <v>174.18713333333332</v>
      </c>
      <c r="I448" t="s">
        <v>38</v>
      </c>
      <c r="J448">
        <f t="shared" si="43"/>
        <v>3.8401043503821279</v>
      </c>
      <c r="K448">
        <v>938.62</v>
      </c>
    </row>
    <row r="449" spans="1:11" x14ac:dyDescent="0.35">
      <c r="A449" s="1">
        <v>37712</v>
      </c>
      <c r="B449" t="s">
        <v>5</v>
      </c>
      <c r="C449" t="s">
        <v>38</v>
      </c>
      <c r="D449">
        <v>36498</v>
      </c>
      <c r="E449">
        <v>79666</v>
      </c>
      <c r="F449">
        <f t="shared" si="42"/>
        <v>2.182749739711765</v>
      </c>
      <c r="G449">
        <f t="shared" si="40"/>
        <v>99.009528193325664</v>
      </c>
      <c r="H449">
        <v>163.02199999999999</v>
      </c>
      <c r="I449" t="s">
        <v>38</v>
      </c>
      <c r="J449">
        <f t="shared" si="43"/>
        <v>3.5939594356261022</v>
      </c>
      <c r="K449">
        <v>938.62</v>
      </c>
    </row>
    <row r="450" spans="1:11" x14ac:dyDescent="0.35">
      <c r="A450" s="1">
        <v>37742</v>
      </c>
      <c r="B450" t="s">
        <v>5</v>
      </c>
      <c r="C450" t="s">
        <v>38</v>
      </c>
      <c r="D450">
        <v>44160</v>
      </c>
      <c r="E450">
        <v>103396</v>
      </c>
      <c r="F450">
        <f t="shared" si="42"/>
        <v>2.341394927536232</v>
      </c>
      <c r="G450">
        <f t="shared" si="40"/>
        <v>106.20567391304348</v>
      </c>
      <c r="H450">
        <v>189.85679999999999</v>
      </c>
      <c r="I450" t="s">
        <v>38</v>
      </c>
      <c r="J450">
        <f t="shared" si="43"/>
        <v>4.1855555555555553</v>
      </c>
      <c r="K450">
        <v>938.62</v>
      </c>
    </row>
    <row r="451" spans="1:11" x14ac:dyDescent="0.35">
      <c r="A451" s="1">
        <v>37773</v>
      </c>
      <c r="B451" t="s">
        <v>5</v>
      </c>
      <c r="C451" t="s">
        <v>38</v>
      </c>
      <c r="D451">
        <v>29643</v>
      </c>
      <c r="E451">
        <v>71186</v>
      </c>
      <c r="F451">
        <f t="shared" si="42"/>
        <v>2.4014438484633809</v>
      </c>
      <c r="G451">
        <f t="shared" si="40"/>
        <v>108.92949296629895</v>
      </c>
      <c r="H451">
        <v>248.66107499999998</v>
      </c>
      <c r="I451" t="s">
        <v>38</v>
      </c>
      <c r="J451">
        <f t="shared" si="43"/>
        <v>5.4819460978835979</v>
      </c>
      <c r="K451">
        <v>938.62</v>
      </c>
    </row>
    <row r="452" spans="1:11" x14ac:dyDescent="0.35">
      <c r="A452" s="1">
        <v>37803</v>
      </c>
      <c r="B452" t="s">
        <v>5</v>
      </c>
      <c r="C452" t="s">
        <v>38</v>
      </c>
      <c r="D452">
        <v>34139</v>
      </c>
      <c r="E452">
        <v>103731</v>
      </c>
      <c r="F452">
        <f t="shared" si="42"/>
        <v>3.0384897038577581</v>
      </c>
      <c r="G452">
        <f t="shared" si="40"/>
        <v>137.82589296698791</v>
      </c>
      <c r="H452">
        <v>270.90428571428572</v>
      </c>
      <c r="I452" t="s">
        <v>38</v>
      </c>
      <c r="J452">
        <f t="shared" si="43"/>
        <v>5.972316704459562</v>
      </c>
      <c r="K452">
        <v>938.62</v>
      </c>
    </row>
    <row r="453" spans="1:11" x14ac:dyDescent="0.35">
      <c r="A453" s="1">
        <v>37834</v>
      </c>
      <c r="B453" t="s">
        <v>5</v>
      </c>
      <c r="C453" t="s">
        <v>38</v>
      </c>
      <c r="D453">
        <v>61576</v>
      </c>
      <c r="E453">
        <v>110331</v>
      </c>
      <c r="F453">
        <f t="shared" si="42"/>
        <v>1.7917857606859815</v>
      </c>
      <c r="G453">
        <f t="shared" si="40"/>
        <v>81.275402104716122</v>
      </c>
      <c r="H453">
        <v>279.2342857142857</v>
      </c>
      <c r="I453" t="s">
        <v>38</v>
      </c>
      <c r="J453">
        <f t="shared" si="43"/>
        <v>6.1559586797682035</v>
      </c>
      <c r="K453">
        <v>938.62</v>
      </c>
    </row>
    <row r="454" spans="1:11" x14ac:dyDescent="0.35">
      <c r="A454" s="1">
        <v>37865</v>
      </c>
      <c r="B454" t="s">
        <v>5</v>
      </c>
      <c r="C454" t="s">
        <v>38</v>
      </c>
      <c r="D454">
        <v>50019</v>
      </c>
      <c r="E454">
        <v>91370</v>
      </c>
      <c r="F454">
        <f t="shared" si="42"/>
        <v>1.8267058517763251</v>
      </c>
      <c r="G454">
        <f t="shared" si="40"/>
        <v>82.859377436574107</v>
      </c>
      <c r="H454">
        <v>205.18588571428572</v>
      </c>
      <c r="I454" t="s">
        <v>38</v>
      </c>
      <c r="J454">
        <f t="shared" si="43"/>
        <v>4.5234983623078859</v>
      </c>
      <c r="K454">
        <v>938.62</v>
      </c>
    </row>
    <row r="455" spans="1:11" x14ac:dyDescent="0.35">
      <c r="A455" s="1">
        <v>37895</v>
      </c>
      <c r="B455" t="s">
        <v>5</v>
      </c>
      <c r="C455" t="s">
        <v>38</v>
      </c>
      <c r="D455">
        <v>52355</v>
      </c>
      <c r="E455">
        <v>86503</v>
      </c>
      <c r="F455">
        <f t="shared" si="42"/>
        <v>1.652239518670614</v>
      </c>
      <c r="G455">
        <f t="shared" si="40"/>
        <v>74.945584566899058</v>
      </c>
      <c r="H455">
        <v>174.07162500000001</v>
      </c>
      <c r="I455" t="s">
        <v>38</v>
      </c>
      <c r="J455">
        <f t="shared" si="43"/>
        <v>3.8375578703703708</v>
      </c>
      <c r="K455">
        <v>938.62</v>
      </c>
    </row>
    <row r="456" spans="1:11" x14ac:dyDescent="0.35">
      <c r="A456" s="1">
        <v>37926</v>
      </c>
      <c r="B456" t="s">
        <v>5</v>
      </c>
      <c r="C456" t="s">
        <v>38</v>
      </c>
      <c r="D456">
        <v>35768</v>
      </c>
      <c r="E456">
        <v>77574</v>
      </c>
      <c r="F456">
        <f t="shared" si="42"/>
        <v>2.1688101095951691</v>
      </c>
      <c r="G456">
        <f t="shared" si="40"/>
        <v>98.377226571236861</v>
      </c>
      <c r="H456">
        <v>203.38165000000001</v>
      </c>
      <c r="I456" t="s">
        <v>38</v>
      </c>
      <c r="J456">
        <f t="shared" si="43"/>
        <v>4.4837224426807758</v>
      </c>
      <c r="K456">
        <v>938.62</v>
      </c>
    </row>
    <row r="457" spans="1:11" x14ac:dyDescent="0.35">
      <c r="A457" s="1">
        <v>37956</v>
      </c>
      <c r="B457" t="s">
        <v>5</v>
      </c>
      <c r="C457" t="s">
        <v>38</v>
      </c>
      <c r="D457">
        <v>67455</v>
      </c>
      <c r="E457">
        <v>107545</v>
      </c>
      <c r="F457">
        <f t="shared" si="42"/>
        <v>1.5943221406863834</v>
      </c>
      <c r="G457">
        <f t="shared" si="40"/>
        <v>72.31845230153435</v>
      </c>
      <c r="H457">
        <v>255.77833333333334</v>
      </c>
      <c r="I457" t="s">
        <v>38</v>
      </c>
      <c r="J457">
        <f t="shared" si="43"/>
        <v>5.6388521457965908</v>
      </c>
      <c r="K457">
        <v>938.62</v>
      </c>
    </row>
    <row r="458" spans="1:11" x14ac:dyDescent="0.35">
      <c r="A458" s="1">
        <v>37622</v>
      </c>
      <c r="B458" t="s">
        <v>7</v>
      </c>
      <c r="C458" t="s">
        <v>38</v>
      </c>
      <c r="D458">
        <v>7695</v>
      </c>
      <c r="E458">
        <v>53865</v>
      </c>
      <c r="F458">
        <f t="shared" si="42"/>
        <v>7</v>
      </c>
      <c r="G458">
        <f t="shared" si="40"/>
        <v>317.52</v>
      </c>
      <c r="H458">
        <v>97.5</v>
      </c>
      <c r="I458" t="s">
        <v>38</v>
      </c>
      <c r="J458">
        <f t="shared" si="43"/>
        <v>2.1494708994708995</v>
      </c>
      <c r="K458">
        <v>1545.78</v>
      </c>
    </row>
    <row r="459" spans="1:11" x14ac:dyDescent="0.35">
      <c r="A459" s="1">
        <v>37653</v>
      </c>
      <c r="B459" t="s">
        <v>7</v>
      </c>
      <c r="C459" t="s">
        <v>38</v>
      </c>
      <c r="D459">
        <v>8322</v>
      </c>
      <c r="E459">
        <v>68539</v>
      </c>
      <c r="F459">
        <f t="shared" si="42"/>
        <v>8.2358807978851232</v>
      </c>
      <c r="G459">
        <f t="shared" si="40"/>
        <v>373.57955299206918</v>
      </c>
      <c r="H459">
        <v>94.642274999999998</v>
      </c>
      <c r="I459" t="s">
        <v>38</v>
      </c>
      <c r="J459">
        <f t="shared" si="43"/>
        <v>2.0864699074074076</v>
      </c>
      <c r="K459">
        <v>1545.78</v>
      </c>
    </row>
    <row r="460" spans="1:11" x14ac:dyDescent="0.35">
      <c r="A460" s="1">
        <v>37681</v>
      </c>
      <c r="B460" t="s">
        <v>7</v>
      </c>
      <c r="C460" t="s">
        <v>38</v>
      </c>
      <c r="D460">
        <v>8240</v>
      </c>
      <c r="E460">
        <v>80501</v>
      </c>
      <c r="F460">
        <f t="shared" si="42"/>
        <v>9.7695388349514563</v>
      </c>
      <c r="G460">
        <f t="shared" si="40"/>
        <v>443.14628155339807</v>
      </c>
      <c r="H460">
        <v>95.700150000000008</v>
      </c>
      <c r="I460" t="s">
        <v>38</v>
      </c>
      <c r="J460">
        <f t="shared" si="43"/>
        <v>2.1097916666666667</v>
      </c>
      <c r="K460">
        <v>1545.78</v>
      </c>
    </row>
    <row r="461" spans="1:11" x14ac:dyDescent="0.35">
      <c r="A461" s="1">
        <v>37712</v>
      </c>
      <c r="B461" t="s">
        <v>7</v>
      </c>
      <c r="C461" t="s">
        <v>38</v>
      </c>
      <c r="D461">
        <v>7027</v>
      </c>
      <c r="E461">
        <v>69939</v>
      </c>
      <c r="F461">
        <f t="shared" si="42"/>
        <v>9.9528959726768171</v>
      </c>
      <c r="G461">
        <f t="shared" si="40"/>
        <v>451.46336132062044</v>
      </c>
      <c r="H461">
        <v>109.56562500000001</v>
      </c>
      <c r="I461" t="s">
        <v>38</v>
      </c>
      <c r="J461">
        <f t="shared" si="43"/>
        <v>2.4154679232804237</v>
      </c>
      <c r="K461">
        <v>1545.78</v>
      </c>
    </row>
    <row r="462" spans="1:11" x14ac:dyDescent="0.35">
      <c r="A462" s="1">
        <v>37742</v>
      </c>
      <c r="B462" t="s">
        <v>7</v>
      </c>
      <c r="C462" t="s">
        <v>38</v>
      </c>
      <c r="D462">
        <v>6410</v>
      </c>
      <c r="E462">
        <v>72193</v>
      </c>
      <c r="F462">
        <f t="shared" si="42"/>
        <v>11.262558502340093</v>
      </c>
      <c r="G462">
        <f t="shared" si="40"/>
        <v>510.86965366614663</v>
      </c>
      <c r="H462">
        <v>144.16</v>
      </c>
      <c r="I462" t="s">
        <v>38</v>
      </c>
      <c r="J462">
        <f t="shared" si="43"/>
        <v>3.178130511463845</v>
      </c>
      <c r="K462">
        <v>1545.78</v>
      </c>
    </row>
    <row r="463" spans="1:11" x14ac:dyDescent="0.35">
      <c r="A463" s="1">
        <v>37773</v>
      </c>
      <c r="B463" t="s">
        <v>7</v>
      </c>
      <c r="C463" t="s">
        <v>38</v>
      </c>
      <c r="D463">
        <v>6631</v>
      </c>
      <c r="E463">
        <v>61038</v>
      </c>
      <c r="F463">
        <f t="shared" si="42"/>
        <v>9.2049464635801534</v>
      </c>
      <c r="G463">
        <f t="shared" si="40"/>
        <v>417.53637158799575</v>
      </c>
      <c r="H463">
        <v>110.13479999999998</v>
      </c>
      <c r="I463" t="s">
        <v>38</v>
      </c>
      <c r="J463">
        <f t="shared" si="43"/>
        <v>2.4280158730158727</v>
      </c>
      <c r="K463">
        <v>1545.78</v>
      </c>
    </row>
    <row r="464" spans="1:11" x14ac:dyDescent="0.35">
      <c r="A464" s="1">
        <v>37803</v>
      </c>
      <c r="B464" t="s">
        <v>7</v>
      </c>
      <c r="C464" t="s">
        <v>38</v>
      </c>
      <c r="D464">
        <v>7095</v>
      </c>
      <c r="E464">
        <v>62837</v>
      </c>
      <c r="F464">
        <f t="shared" si="42"/>
        <v>8.8565186751233256</v>
      </c>
      <c r="G464">
        <f t="shared" si="40"/>
        <v>401.73168710359403</v>
      </c>
      <c r="H464">
        <v>111.51320000000001</v>
      </c>
      <c r="I464" t="s">
        <v>38</v>
      </c>
      <c r="J464">
        <f t="shared" si="43"/>
        <v>2.4584038800705472</v>
      </c>
      <c r="K464">
        <v>1545.78</v>
      </c>
    </row>
    <row r="465" spans="1:11" x14ac:dyDescent="0.35">
      <c r="A465" s="1">
        <v>37834</v>
      </c>
      <c r="B465" t="s">
        <v>7</v>
      </c>
      <c r="C465" t="s">
        <v>38</v>
      </c>
      <c r="D465">
        <v>6197</v>
      </c>
      <c r="E465">
        <v>59391</v>
      </c>
      <c r="F465">
        <f t="shared" si="42"/>
        <v>9.5838308859125387</v>
      </c>
      <c r="G465">
        <f t="shared" si="40"/>
        <v>434.72256898499273</v>
      </c>
      <c r="H465">
        <v>132.67500000000001</v>
      </c>
      <c r="I465" t="s">
        <v>38</v>
      </c>
      <c r="J465">
        <f t="shared" si="43"/>
        <v>2.9249338624338628</v>
      </c>
      <c r="K465">
        <v>1545.78</v>
      </c>
    </row>
    <row r="466" spans="1:11" x14ac:dyDescent="0.35">
      <c r="A466" s="1">
        <v>37865</v>
      </c>
      <c r="B466" t="s">
        <v>7</v>
      </c>
      <c r="C466" t="s">
        <v>38</v>
      </c>
      <c r="D466">
        <v>6208</v>
      </c>
      <c r="E466">
        <v>56545</v>
      </c>
      <c r="F466">
        <f t="shared" si="42"/>
        <v>9.1084085051546388</v>
      </c>
      <c r="G466">
        <f t="shared" si="40"/>
        <v>413.1574097938144</v>
      </c>
      <c r="H466">
        <v>128.22828571428573</v>
      </c>
      <c r="I466" t="s">
        <v>38</v>
      </c>
      <c r="J466">
        <f t="shared" si="43"/>
        <v>2.8269022423784333</v>
      </c>
      <c r="K466">
        <v>1545.78</v>
      </c>
    </row>
    <row r="467" spans="1:11" x14ac:dyDescent="0.35">
      <c r="A467" s="1">
        <v>37895</v>
      </c>
      <c r="B467" t="s">
        <v>7</v>
      </c>
      <c r="C467" t="s">
        <v>38</v>
      </c>
      <c r="D467">
        <v>5792</v>
      </c>
      <c r="E467">
        <v>52071</v>
      </c>
      <c r="F467">
        <f t="shared" si="42"/>
        <v>8.9901588397790047</v>
      </c>
      <c r="G467">
        <f t="shared" si="40"/>
        <v>407.79360497237565</v>
      </c>
      <c r="H467">
        <v>95.629462500000002</v>
      </c>
      <c r="I467" t="s">
        <v>38</v>
      </c>
      <c r="J467">
        <f t="shared" si="43"/>
        <v>2.1082333002645504</v>
      </c>
      <c r="K467">
        <v>1545.78</v>
      </c>
    </row>
    <row r="468" spans="1:11" x14ac:dyDescent="0.35">
      <c r="A468" s="1">
        <v>37926</v>
      </c>
      <c r="B468" t="s">
        <v>7</v>
      </c>
      <c r="C468" t="s">
        <v>38</v>
      </c>
      <c r="D468">
        <v>7646</v>
      </c>
      <c r="E468">
        <v>63638</v>
      </c>
      <c r="F468">
        <f t="shared" si="42"/>
        <v>8.3230447292702063</v>
      </c>
      <c r="G468">
        <f t="shared" si="40"/>
        <v>377.53330891969654</v>
      </c>
      <c r="H468">
        <v>91.926394999999985</v>
      </c>
      <c r="I468" t="s">
        <v>38</v>
      </c>
      <c r="J468">
        <f t="shared" si="43"/>
        <v>2.0265960097001763</v>
      </c>
      <c r="K468">
        <v>1545.78</v>
      </c>
    </row>
    <row r="469" spans="1:11" x14ac:dyDescent="0.35">
      <c r="A469" s="1">
        <v>37956</v>
      </c>
      <c r="B469" t="s">
        <v>7</v>
      </c>
      <c r="C469" t="s">
        <v>38</v>
      </c>
      <c r="D469">
        <v>5719</v>
      </c>
      <c r="E469">
        <v>46660</v>
      </c>
      <c r="F469">
        <f t="shared" si="42"/>
        <v>8.1587690155621608</v>
      </c>
      <c r="G469">
        <f t="shared" si="40"/>
        <v>370.08176254589961</v>
      </c>
      <c r="H469">
        <v>131.11930000000001</v>
      </c>
      <c r="I469" t="s">
        <v>38</v>
      </c>
      <c r="J469">
        <f t="shared" si="43"/>
        <v>2.8906371252204588</v>
      </c>
      <c r="K469">
        <v>1545.78</v>
      </c>
    </row>
    <row r="470" spans="1:11" x14ac:dyDescent="0.35">
      <c r="A470" s="1">
        <v>37622</v>
      </c>
      <c r="B470" t="s">
        <v>8</v>
      </c>
      <c r="C470" t="s">
        <v>38</v>
      </c>
      <c r="D470">
        <v>5876</v>
      </c>
      <c r="E470">
        <v>58314</v>
      </c>
      <c r="F470">
        <f t="shared" si="42"/>
        <v>9.9240980258679379</v>
      </c>
      <c r="G470">
        <f t="shared" si="40"/>
        <v>450.15708645336963</v>
      </c>
      <c r="H470">
        <v>201.72</v>
      </c>
      <c r="I470" t="s">
        <v>38</v>
      </c>
      <c r="J470">
        <f t="shared" si="43"/>
        <v>4.447089947089947</v>
      </c>
      <c r="K470">
        <v>3985.46</v>
      </c>
    </row>
    <row r="471" spans="1:11" x14ac:dyDescent="0.35">
      <c r="A471" s="1">
        <v>37653</v>
      </c>
      <c r="B471" t="s">
        <v>8</v>
      </c>
      <c r="C471" t="s">
        <v>38</v>
      </c>
      <c r="D471">
        <v>6785</v>
      </c>
      <c r="E471">
        <v>60982</v>
      </c>
      <c r="F471">
        <f t="shared" si="42"/>
        <v>8.9877671333824605</v>
      </c>
      <c r="G471">
        <f t="shared" si="40"/>
        <v>407.68511717022841</v>
      </c>
      <c r="H471">
        <v>210.74137500000001</v>
      </c>
      <c r="I471" t="s">
        <v>38</v>
      </c>
      <c r="J471">
        <f t="shared" si="43"/>
        <v>4.645973875661376</v>
      </c>
      <c r="K471">
        <v>3985.46</v>
      </c>
    </row>
    <row r="472" spans="1:11" x14ac:dyDescent="0.35">
      <c r="A472" s="1">
        <v>37681</v>
      </c>
      <c r="B472" t="s">
        <v>8</v>
      </c>
      <c r="C472" t="s">
        <v>38</v>
      </c>
      <c r="D472">
        <v>4104</v>
      </c>
      <c r="E472">
        <v>33154</v>
      </c>
      <c r="F472">
        <f t="shared" si="42"/>
        <v>8.0784600389863552</v>
      </c>
      <c r="G472">
        <f t="shared" si="40"/>
        <v>366.43894736842105</v>
      </c>
      <c r="H472">
        <v>321.60000000000002</v>
      </c>
      <c r="I472" t="s">
        <v>38</v>
      </c>
      <c r="J472">
        <f t="shared" si="43"/>
        <v>7.0899470899470902</v>
      </c>
      <c r="K472">
        <v>3985.46</v>
      </c>
    </row>
    <row r="473" spans="1:11" x14ac:dyDescent="0.35">
      <c r="A473" s="1">
        <v>37712</v>
      </c>
      <c r="B473" t="s">
        <v>8</v>
      </c>
      <c r="C473" t="s">
        <v>38</v>
      </c>
      <c r="D473">
        <v>4494</v>
      </c>
      <c r="E473">
        <v>40314</v>
      </c>
      <c r="F473">
        <f t="shared" si="42"/>
        <v>8.9706275033377842</v>
      </c>
      <c r="G473">
        <f t="shared" si="40"/>
        <v>406.90766355140187</v>
      </c>
      <c r="H473">
        <v>354.82499999999999</v>
      </c>
      <c r="I473" t="s">
        <v>38</v>
      </c>
      <c r="J473">
        <f t="shared" si="43"/>
        <v>7.8224206349206344</v>
      </c>
      <c r="K473">
        <v>3985.46</v>
      </c>
    </row>
    <row r="474" spans="1:11" x14ac:dyDescent="0.35">
      <c r="A474" s="1">
        <v>37742</v>
      </c>
      <c r="B474" t="s">
        <v>8</v>
      </c>
      <c r="C474" t="s">
        <v>38</v>
      </c>
      <c r="D474">
        <v>4113</v>
      </c>
      <c r="E474">
        <v>36650</v>
      </c>
      <c r="F474">
        <f t="shared" si="42"/>
        <v>8.9107707269632872</v>
      </c>
      <c r="G474">
        <f t="shared" si="40"/>
        <v>404.19256017505472</v>
      </c>
      <c r="H474">
        <v>371</v>
      </c>
      <c r="I474" t="s">
        <v>38</v>
      </c>
      <c r="J474">
        <f t="shared" si="43"/>
        <v>8.1790123456790127</v>
      </c>
      <c r="K474">
        <v>3985.46</v>
      </c>
    </row>
    <row r="475" spans="1:11" x14ac:dyDescent="0.35">
      <c r="A475" s="1">
        <v>37773</v>
      </c>
      <c r="B475" t="s">
        <v>8</v>
      </c>
      <c r="C475" t="s">
        <v>38</v>
      </c>
      <c r="D475">
        <v>3349</v>
      </c>
      <c r="E475">
        <v>33155</v>
      </c>
      <c r="F475">
        <f t="shared" si="42"/>
        <v>9.8999701403404003</v>
      </c>
      <c r="G475">
        <f t="shared" si="40"/>
        <v>449.06264556584057</v>
      </c>
      <c r="H475">
        <v>457.78399999999999</v>
      </c>
      <c r="I475" t="s">
        <v>38</v>
      </c>
      <c r="J475">
        <f t="shared" si="43"/>
        <v>10.092239858906526</v>
      </c>
      <c r="K475">
        <v>3985.46</v>
      </c>
    </row>
    <row r="476" spans="1:11" x14ac:dyDescent="0.35">
      <c r="A476" s="1">
        <v>37803</v>
      </c>
      <c r="B476" t="s">
        <v>8</v>
      </c>
      <c r="C476" t="s">
        <v>38</v>
      </c>
      <c r="D476">
        <v>4861</v>
      </c>
      <c r="E476">
        <v>51186</v>
      </c>
      <c r="F476">
        <f t="shared" si="42"/>
        <v>10.529932112734006</v>
      </c>
      <c r="G476">
        <f t="shared" si="40"/>
        <v>477.63772063361449</v>
      </c>
      <c r="H476">
        <v>453.334</v>
      </c>
      <c r="I476" t="s">
        <v>38</v>
      </c>
      <c r="J476">
        <f t="shared" si="43"/>
        <v>9.9941358024691365</v>
      </c>
      <c r="K476">
        <v>3985.46</v>
      </c>
    </row>
    <row r="477" spans="1:11" x14ac:dyDescent="0.35">
      <c r="A477" s="1">
        <v>37834</v>
      </c>
      <c r="B477" t="s">
        <v>8</v>
      </c>
      <c r="C477" t="s">
        <v>38</v>
      </c>
      <c r="D477">
        <v>3156</v>
      </c>
      <c r="E477">
        <v>32475</v>
      </c>
      <c r="F477">
        <f t="shared" si="42"/>
        <v>10.289923954372624</v>
      </c>
      <c r="G477">
        <f t="shared" si="40"/>
        <v>466.75095057034218</v>
      </c>
      <c r="H477">
        <v>459.10999999999996</v>
      </c>
      <c r="I477" t="s">
        <v>38</v>
      </c>
      <c r="J477">
        <f t="shared" si="43"/>
        <v>10.121472663139329</v>
      </c>
      <c r="K477">
        <v>3985.46</v>
      </c>
    </row>
    <row r="478" spans="1:11" x14ac:dyDescent="0.35">
      <c r="A478" s="1">
        <v>37865</v>
      </c>
      <c r="B478" t="s">
        <v>8</v>
      </c>
      <c r="C478" t="s">
        <v>38</v>
      </c>
      <c r="D478">
        <v>3760</v>
      </c>
      <c r="E478">
        <v>45336</v>
      </c>
      <c r="F478">
        <f t="shared" si="42"/>
        <v>12.057446808510639</v>
      </c>
      <c r="G478">
        <f t="shared" si="40"/>
        <v>546.92578723404256</v>
      </c>
      <c r="H478">
        <v>448.6</v>
      </c>
      <c r="I478" t="s">
        <v>38</v>
      </c>
      <c r="J478">
        <f t="shared" si="43"/>
        <v>9.889770723104057</v>
      </c>
      <c r="K478">
        <v>3985.46</v>
      </c>
    </row>
    <row r="479" spans="1:11" x14ac:dyDescent="0.35">
      <c r="A479" s="1">
        <v>37895</v>
      </c>
      <c r="B479" t="s">
        <v>8</v>
      </c>
      <c r="C479" t="s">
        <v>38</v>
      </c>
      <c r="D479">
        <v>5170</v>
      </c>
      <c r="E479">
        <v>56095</v>
      </c>
      <c r="F479">
        <f t="shared" si="42"/>
        <v>10.850096711798839</v>
      </c>
      <c r="G479">
        <f t="shared" si="40"/>
        <v>492.16038684719535</v>
      </c>
      <c r="H479">
        <v>296</v>
      </c>
      <c r="I479" t="s">
        <v>38</v>
      </c>
      <c r="J479">
        <f t="shared" si="43"/>
        <v>6.5255731922398592</v>
      </c>
      <c r="K479">
        <v>3985.46</v>
      </c>
    </row>
    <row r="480" spans="1:11" x14ac:dyDescent="0.35">
      <c r="A480" s="1">
        <v>37926</v>
      </c>
      <c r="B480" t="s">
        <v>8</v>
      </c>
      <c r="C480" t="s">
        <v>38</v>
      </c>
      <c r="D480">
        <v>5902</v>
      </c>
      <c r="E480">
        <v>51052</v>
      </c>
      <c r="F480">
        <f t="shared" si="42"/>
        <v>8.6499491697729578</v>
      </c>
      <c r="G480">
        <f t="shared" si="40"/>
        <v>392.36169434090135</v>
      </c>
      <c r="H480">
        <v>285.89999999999998</v>
      </c>
      <c r="I480" t="s">
        <v>38</v>
      </c>
      <c r="J480">
        <f t="shared" si="43"/>
        <v>6.3029100529100521</v>
      </c>
      <c r="K480">
        <v>3985.46</v>
      </c>
    </row>
    <row r="481" spans="1:11" x14ac:dyDescent="0.35">
      <c r="A481" s="1">
        <v>37956</v>
      </c>
      <c r="B481" t="s">
        <v>8</v>
      </c>
      <c r="C481" t="s">
        <v>38</v>
      </c>
      <c r="D481">
        <v>4997</v>
      </c>
      <c r="E481">
        <v>45027</v>
      </c>
      <c r="F481">
        <f t="shared" si="42"/>
        <v>9.0108064838903346</v>
      </c>
      <c r="G481">
        <f t="shared" si="40"/>
        <v>408.73018210926557</v>
      </c>
      <c r="H481">
        <v>241.5</v>
      </c>
      <c r="I481" t="s">
        <v>38</v>
      </c>
      <c r="J481">
        <f t="shared" si="43"/>
        <v>5.3240740740740744</v>
      </c>
      <c r="K481">
        <v>3985.46</v>
      </c>
    </row>
    <row r="482" spans="1:11" x14ac:dyDescent="0.35">
      <c r="A482" s="1">
        <v>37622</v>
      </c>
      <c r="B482" t="s">
        <v>9</v>
      </c>
      <c r="C482" t="s">
        <v>38</v>
      </c>
      <c r="D482">
        <v>4724</v>
      </c>
      <c r="E482">
        <v>101433</v>
      </c>
      <c r="F482">
        <f t="shared" si="42"/>
        <v>21.471845893310753</v>
      </c>
      <c r="G482">
        <f t="shared" si="40"/>
        <v>973.96292972057574</v>
      </c>
      <c r="H482">
        <v>298.33333333333337</v>
      </c>
      <c r="I482" t="s">
        <v>38</v>
      </c>
      <c r="J482">
        <f t="shared" si="43"/>
        <v>6.5770135214579666</v>
      </c>
      <c r="K482">
        <v>9309.9599999999991</v>
      </c>
    </row>
    <row r="483" spans="1:11" x14ac:dyDescent="0.35">
      <c r="A483" s="1">
        <v>37653</v>
      </c>
      <c r="B483" t="s">
        <v>9</v>
      </c>
      <c r="C483" t="s">
        <v>38</v>
      </c>
      <c r="D483">
        <v>3570</v>
      </c>
      <c r="E483">
        <v>76862</v>
      </c>
      <c r="F483">
        <f t="shared" si="42"/>
        <v>21.52997198879552</v>
      </c>
      <c r="G483">
        <f t="shared" si="40"/>
        <v>976.59952941176482</v>
      </c>
      <c r="H483">
        <v>290</v>
      </c>
      <c r="I483" t="s">
        <v>38</v>
      </c>
      <c r="J483">
        <f t="shared" si="43"/>
        <v>6.3932980599647271</v>
      </c>
      <c r="K483">
        <v>9309.9599999999991</v>
      </c>
    </row>
    <row r="484" spans="1:11" x14ac:dyDescent="0.35">
      <c r="A484" s="1">
        <v>37681</v>
      </c>
      <c r="B484" t="s">
        <v>9</v>
      </c>
      <c r="C484" t="s">
        <v>38</v>
      </c>
      <c r="D484">
        <v>2367</v>
      </c>
      <c r="E484">
        <v>84715</v>
      </c>
      <c r="F484">
        <f t="shared" si="42"/>
        <v>35.790029573299535</v>
      </c>
      <c r="G484">
        <f t="shared" si="40"/>
        <v>1623.4357414448668</v>
      </c>
      <c r="H484">
        <v>258.68333333333339</v>
      </c>
      <c r="I484" t="s">
        <v>38</v>
      </c>
      <c r="J484">
        <f t="shared" si="43"/>
        <v>5.7028953556731352</v>
      </c>
      <c r="K484">
        <v>9309.9599999999991</v>
      </c>
    </row>
    <row r="485" spans="1:11" x14ac:dyDescent="0.35">
      <c r="A485" s="1">
        <v>37712</v>
      </c>
      <c r="B485" t="s">
        <v>9</v>
      </c>
      <c r="C485" t="s">
        <v>38</v>
      </c>
      <c r="D485">
        <v>3282</v>
      </c>
      <c r="E485">
        <v>103473</v>
      </c>
      <c r="F485">
        <f t="shared" si="42"/>
        <v>31.527422303473493</v>
      </c>
      <c r="G485">
        <f t="shared" si="40"/>
        <v>1430.0838756855576</v>
      </c>
      <c r="H485">
        <v>196.35</v>
      </c>
      <c r="I485" t="s">
        <v>38</v>
      </c>
      <c r="J485">
        <f t="shared" si="43"/>
        <v>4.3287037037037033</v>
      </c>
      <c r="K485">
        <v>9309.9599999999991</v>
      </c>
    </row>
    <row r="486" spans="1:11" x14ac:dyDescent="0.35">
      <c r="A486" s="1">
        <v>37742</v>
      </c>
      <c r="B486" t="s">
        <v>9</v>
      </c>
      <c r="C486" t="s">
        <v>38</v>
      </c>
      <c r="D486">
        <v>3235</v>
      </c>
      <c r="E486">
        <v>76996</v>
      </c>
      <c r="F486">
        <f t="shared" si="42"/>
        <v>23.800927357032457</v>
      </c>
      <c r="G486">
        <f t="shared" si="40"/>
        <v>1079.6100649149921</v>
      </c>
      <c r="H486">
        <v>190.62666666666669</v>
      </c>
      <c r="I486" t="s">
        <v>38</v>
      </c>
      <c r="J486">
        <f t="shared" si="43"/>
        <v>4.2025279247501475</v>
      </c>
      <c r="K486">
        <v>9309.9599999999991</v>
      </c>
    </row>
    <row r="487" spans="1:11" x14ac:dyDescent="0.35">
      <c r="A487" s="1">
        <v>37773</v>
      </c>
      <c r="B487" t="s">
        <v>9</v>
      </c>
      <c r="C487" t="s">
        <v>38</v>
      </c>
      <c r="D487">
        <v>3074</v>
      </c>
      <c r="E487">
        <v>69657</v>
      </c>
      <c r="F487">
        <f t="shared" si="42"/>
        <v>22.660052049446975</v>
      </c>
      <c r="G487">
        <f t="shared" si="40"/>
        <v>1027.8599609629148</v>
      </c>
      <c r="H487">
        <v>214.2</v>
      </c>
      <c r="I487" t="s">
        <v>38</v>
      </c>
      <c r="J487">
        <f t="shared" si="43"/>
        <v>4.7222222222222223</v>
      </c>
      <c r="K487">
        <v>9309.9599999999991</v>
      </c>
    </row>
    <row r="488" spans="1:11" x14ac:dyDescent="0.35">
      <c r="A488" s="1">
        <v>37803</v>
      </c>
      <c r="B488" t="s">
        <v>9</v>
      </c>
      <c r="C488" t="s">
        <v>38</v>
      </c>
      <c r="D488">
        <v>4033</v>
      </c>
      <c r="E488">
        <v>95420</v>
      </c>
      <c r="F488">
        <f t="shared" si="42"/>
        <v>23.659806595586414</v>
      </c>
      <c r="G488">
        <f t="shared" si="40"/>
        <v>1073.2088271757998</v>
      </c>
      <c r="H488">
        <v>279.34999999999997</v>
      </c>
      <c r="I488" t="s">
        <v>38</v>
      </c>
      <c r="J488">
        <f t="shared" si="43"/>
        <v>6.1585097001763662</v>
      </c>
      <c r="K488">
        <v>9309.9599999999991</v>
      </c>
    </row>
    <row r="489" spans="1:11" x14ac:dyDescent="0.35">
      <c r="A489" s="1">
        <v>37834</v>
      </c>
      <c r="B489" t="s">
        <v>9</v>
      </c>
      <c r="C489" t="s">
        <v>38</v>
      </c>
      <c r="D489">
        <v>2783</v>
      </c>
      <c r="E489">
        <v>89355</v>
      </c>
      <c r="F489">
        <f t="shared" si="42"/>
        <v>32.107438016528924</v>
      </c>
      <c r="G489">
        <f t="shared" si="40"/>
        <v>1456.3933884297519</v>
      </c>
      <c r="H489">
        <v>212.7</v>
      </c>
      <c r="I489" t="s">
        <v>38</v>
      </c>
      <c r="J489">
        <f t="shared" si="43"/>
        <v>4.6891534391534391</v>
      </c>
      <c r="K489">
        <v>9309.9599999999991</v>
      </c>
    </row>
    <row r="490" spans="1:11" x14ac:dyDescent="0.35">
      <c r="A490" s="1">
        <v>37865</v>
      </c>
      <c r="B490" t="s">
        <v>9</v>
      </c>
      <c r="C490" t="s">
        <v>38</v>
      </c>
      <c r="D490">
        <v>6443</v>
      </c>
      <c r="E490">
        <v>138348</v>
      </c>
      <c r="F490">
        <f t="shared" si="42"/>
        <v>21.472605928915101</v>
      </c>
      <c r="G490">
        <f t="shared" si="40"/>
        <v>973.99740493558897</v>
      </c>
      <c r="H490">
        <v>233.97916666666669</v>
      </c>
      <c r="I490" t="s">
        <v>38</v>
      </c>
      <c r="J490">
        <f t="shared" si="43"/>
        <v>5.1582708700764259</v>
      </c>
      <c r="K490">
        <v>9309.9599999999991</v>
      </c>
    </row>
    <row r="491" spans="1:11" x14ac:dyDescent="0.35">
      <c r="A491" s="1">
        <v>37895</v>
      </c>
      <c r="B491" t="s">
        <v>9</v>
      </c>
      <c r="C491" t="s">
        <v>38</v>
      </c>
      <c r="D491">
        <v>4933</v>
      </c>
      <c r="E491">
        <v>135158</v>
      </c>
      <c r="F491">
        <f t="shared" si="42"/>
        <v>27.398743158321508</v>
      </c>
      <c r="G491">
        <f t="shared" si="40"/>
        <v>1242.8069896614636</v>
      </c>
      <c r="H491">
        <v>196.875</v>
      </c>
      <c r="I491" t="s">
        <v>38</v>
      </c>
      <c r="J491">
        <f t="shared" si="43"/>
        <v>4.3402777777777777</v>
      </c>
      <c r="K491">
        <v>9309.9599999999991</v>
      </c>
    </row>
    <row r="492" spans="1:11" x14ac:dyDescent="0.35">
      <c r="A492" s="1">
        <v>37926</v>
      </c>
      <c r="B492" t="s">
        <v>9</v>
      </c>
      <c r="C492" t="s">
        <v>38</v>
      </c>
      <c r="D492">
        <v>2222</v>
      </c>
      <c r="E492">
        <v>69930</v>
      </c>
      <c r="F492">
        <f t="shared" si="42"/>
        <v>31.471647164716472</v>
      </c>
      <c r="G492">
        <f t="shared" si="40"/>
        <v>1427.5539153915392</v>
      </c>
      <c r="H492">
        <v>377.33333333333337</v>
      </c>
      <c r="I492" t="s">
        <v>38</v>
      </c>
      <c r="J492">
        <f t="shared" si="43"/>
        <v>8.3186360964138757</v>
      </c>
      <c r="K492">
        <v>9309.9599999999991</v>
      </c>
    </row>
    <row r="493" spans="1:11" x14ac:dyDescent="0.35">
      <c r="A493" s="1">
        <v>37956</v>
      </c>
      <c r="B493" t="s">
        <v>9</v>
      </c>
      <c r="C493" t="s">
        <v>38</v>
      </c>
      <c r="D493">
        <v>2003</v>
      </c>
      <c r="E493">
        <v>45200</v>
      </c>
      <c r="F493">
        <f t="shared" si="42"/>
        <v>22.56615077383924</v>
      </c>
      <c r="G493">
        <f t="shared" si="40"/>
        <v>1023.6005991013479</v>
      </c>
      <c r="H493">
        <v>554</v>
      </c>
      <c r="I493" t="s">
        <v>38</v>
      </c>
      <c r="J493">
        <f t="shared" si="43"/>
        <v>12.213403880070548</v>
      </c>
      <c r="K493">
        <v>9309.9599999999991</v>
      </c>
    </row>
    <row r="494" spans="1:11" x14ac:dyDescent="0.35">
      <c r="A494" s="1">
        <v>37622</v>
      </c>
      <c r="B494" t="s">
        <v>10</v>
      </c>
      <c r="C494" t="s">
        <v>38</v>
      </c>
      <c r="D494">
        <v>8615</v>
      </c>
      <c r="E494">
        <v>99719</v>
      </c>
      <c r="F494">
        <f t="shared" si="42"/>
        <v>11.575043528728962</v>
      </c>
      <c r="G494">
        <f t="shared" si="40"/>
        <v>525.04397446314567</v>
      </c>
      <c r="H494">
        <v>371.5</v>
      </c>
      <c r="I494" t="s">
        <v>38</v>
      </c>
      <c r="J494">
        <f t="shared" si="43"/>
        <v>8.1900352733686059</v>
      </c>
      <c r="K494">
        <v>3188.34</v>
      </c>
    </row>
    <row r="495" spans="1:11" x14ac:dyDescent="0.35">
      <c r="A495" s="1">
        <v>37653</v>
      </c>
      <c r="B495" t="s">
        <v>10</v>
      </c>
      <c r="C495" t="s">
        <v>38</v>
      </c>
      <c r="D495">
        <v>14335</v>
      </c>
      <c r="E495">
        <v>156235</v>
      </c>
      <c r="F495">
        <f t="shared" si="42"/>
        <v>10.898848971049878</v>
      </c>
      <c r="G495">
        <f t="shared" si="40"/>
        <v>494.37178932682247</v>
      </c>
      <c r="H495">
        <v>346</v>
      </c>
      <c r="I495" t="s">
        <v>38</v>
      </c>
      <c r="J495">
        <f t="shared" si="43"/>
        <v>7.6278659611992943</v>
      </c>
      <c r="K495">
        <v>3188.34</v>
      </c>
    </row>
    <row r="496" spans="1:11" x14ac:dyDescent="0.35">
      <c r="A496" s="1">
        <v>37681</v>
      </c>
      <c r="B496" t="s">
        <v>10</v>
      </c>
      <c r="C496" t="s">
        <v>38</v>
      </c>
      <c r="D496">
        <v>11429</v>
      </c>
      <c r="E496">
        <v>144765</v>
      </c>
      <c r="F496">
        <f t="shared" si="42"/>
        <v>12.666462507655963</v>
      </c>
      <c r="G496">
        <f t="shared" si="40"/>
        <v>574.55073934727443</v>
      </c>
      <c r="H496">
        <v>319.94499999999999</v>
      </c>
      <c r="I496" t="s">
        <v>38</v>
      </c>
      <c r="J496">
        <f t="shared" si="43"/>
        <v>7.0534611992945324</v>
      </c>
      <c r="K496">
        <v>3188.34</v>
      </c>
    </row>
    <row r="497" spans="1:11" x14ac:dyDescent="0.35">
      <c r="A497" s="1">
        <v>37712</v>
      </c>
      <c r="B497" t="s">
        <v>10</v>
      </c>
      <c r="C497" t="s">
        <v>38</v>
      </c>
      <c r="D497">
        <v>11288</v>
      </c>
      <c r="E497">
        <v>154713</v>
      </c>
      <c r="F497">
        <f t="shared" si="42"/>
        <v>13.705970942593906</v>
      </c>
      <c r="G497">
        <f t="shared" si="40"/>
        <v>621.70284195605961</v>
      </c>
      <c r="H497">
        <v>330</v>
      </c>
      <c r="I497" t="s">
        <v>38</v>
      </c>
      <c r="J497">
        <f t="shared" si="43"/>
        <v>7.2751322751322753</v>
      </c>
      <c r="K497">
        <v>3188.34</v>
      </c>
    </row>
    <row r="498" spans="1:11" x14ac:dyDescent="0.35">
      <c r="A498" s="1">
        <v>37742</v>
      </c>
      <c r="B498" t="s">
        <v>10</v>
      </c>
      <c r="C498" t="s">
        <v>38</v>
      </c>
      <c r="D498">
        <v>8475</v>
      </c>
      <c r="E498">
        <v>129236</v>
      </c>
      <c r="F498">
        <f t="shared" si="42"/>
        <v>15.249085545722714</v>
      </c>
      <c r="G498">
        <f t="shared" si="40"/>
        <v>691.6985203539823</v>
      </c>
      <c r="H498">
        <v>327.08249999999998</v>
      </c>
      <c r="I498" t="s">
        <v>38</v>
      </c>
      <c r="J498">
        <f t="shared" si="43"/>
        <v>7.2108134920634921</v>
      </c>
      <c r="K498">
        <v>3188.34</v>
      </c>
    </row>
    <row r="499" spans="1:11" x14ac:dyDescent="0.35">
      <c r="A499" s="1">
        <v>37773</v>
      </c>
      <c r="B499" t="s">
        <v>10</v>
      </c>
      <c r="C499" t="s">
        <v>38</v>
      </c>
      <c r="D499">
        <v>6817</v>
      </c>
      <c r="E499">
        <v>79077</v>
      </c>
      <c r="F499">
        <f t="shared" si="42"/>
        <v>11.599970661581342</v>
      </c>
      <c r="G499">
        <f t="shared" ref="G499:G540" si="44">F499*45.36</f>
        <v>526.17466920932964</v>
      </c>
      <c r="H499">
        <v>262.57142857142856</v>
      </c>
      <c r="I499" t="s">
        <v>38</v>
      </c>
      <c r="J499">
        <f t="shared" si="43"/>
        <v>5.7886117409926934</v>
      </c>
      <c r="K499">
        <v>3188.34</v>
      </c>
    </row>
    <row r="500" spans="1:11" x14ac:dyDescent="0.35">
      <c r="A500" s="1">
        <v>37803</v>
      </c>
      <c r="B500" t="s">
        <v>10</v>
      </c>
      <c r="C500" t="s">
        <v>38</v>
      </c>
      <c r="D500">
        <v>7195</v>
      </c>
      <c r="E500">
        <v>86876</v>
      </c>
      <c r="F500">
        <f t="shared" si="42"/>
        <v>12.07449617790132</v>
      </c>
      <c r="G500">
        <f t="shared" si="44"/>
        <v>547.69914662960389</v>
      </c>
      <c r="H500">
        <v>290.96875</v>
      </c>
      <c r="I500" t="s">
        <v>38</v>
      </c>
      <c r="J500">
        <f t="shared" si="43"/>
        <v>6.4146549823633157</v>
      </c>
      <c r="K500">
        <v>3188.34</v>
      </c>
    </row>
    <row r="501" spans="1:11" x14ac:dyDescent="0.35">
      <c r="A501" s="1">
        <v>37834</v>
      </c>
      <c r="B501" t="s">
        <v>10</v>
      </c>
      <c r="C501" t="s">
        <v>38</v>
      </c>
      <c r="D501">
        <v>8936</v>
      </c>
      <c r="E501">
        <v>117419</v>
      </c>
      <c r="F501">
        <f t="shared" si="42"/>
        <v>13.139995523724261</v>
      </c>
      <c r="G501">
        <f t="shared" si="44"/>
        <v>596.0301969561325</v>
      </c>
      <c r="H501">
        <v>435.44499999999999</v>
      </c>
      <c r="I501" t="s">
        <v>38</v>
      </c>
      <c r="J501">
        <f t="shared" si="43"/>
        <v>9.5997574955908291</v>
      </c>
      <c r="K501">
        <v>3188.34</v>
      </c>
    </row>
    <row r="502" spans="1:11" x14ac:dyDescent="0.35">
      <c r="A502" s="1">
        <v>37865</v>
      </c>
      <c r="B502" t="s">
        <v>10</v>
      </c>
      <c r="C502" t="s">
        <v>38</v>
      </c>
      <c r="D502">
        <v>7307</v>
      </c>
      <c r="E502">
        <v>156354</v>
      </c>
      <c r="F502">
        <f t="shared" si="42"/>
        <v>21.397837689886412</v>
      </c>
      <c r="G502">
        <f t="shared" si="44"/>
        <v>970.60591761324758</v>
      </c>
      <c r="H502">
        <v>450.23333333333335</v>
      </c>
      <c r="I502" t="s">
        <v>38</v>
      </c>
      <c r="J502">
        <f t="shared" si="43"/>
        <v>9.9257789535567316</v>
      </c>
      <c r="K502">
        <v>3188.34</v>
      </c>
    </row>
    <row r="503" spans="1:11" x14ac:dyDescent="0.35">
      <c r="A503" s="1">
        <v>37895</v>
      </c>
      <c r="B503" t="s">
        <v>10</v>
      </c>
      <c r="C503" t="s">
        <v>38</v>
      </c>
      <c r="D503">
        <v>10832</v>
      </c>
      <c r="E503">
        <v>263316</v>
      </c>
      <c r="F503">
        <f t="shared" si="42"/>
        <v>24.309084194977842</v>
      </c>
      <c r="G503">
        <f t="shared" si="44"/>
        <v>1102.6600590841949</v>
      </c>
      <c r="H503">
        <v>481.125</v>
      </c>
      <c r="I503" t="s">
        <v>38</v>
      </c>
      <c r="J503">
        <f t="shared" si="43"/>
        <v>10.606812169312169</v>
      </c>
      <c r="K503">
        <v>3188.34</v>
      </c>
    </row>
    <row r="504" spans="1:11" x14ac:dyDescent="0.35">
      <c r="A504" s="1">
        <v>37926</v>
      </c>
      <c r="B504" t="s">
        <v>10</v>
      </c>
      <c r="C504" t="s">
        <v>38</v>
      </c>
      <c r="D504">
        <v>7210</v>
      </c>
      <c r="E504">
        <v>109123</v>
      </c>
      <c r="F504">
        <f t="shared" si="42"/>
        <v>15.134951456310679</v>
      </c>
      <c r="G504">
        <f t="shared" si="44"/>
        <v>686.52139805825243</v>
      </c>
      <c r="H504">
        <v>436.95000000000005</v>
      </c>
      <c r="I504" t="s">
        <v>38</v>
      </c>
      <c r="J504">
        <f t="shared" si="43"/>
        <v>9.6329365079365097</v>
      </c>
      <c r="K504">
        <v>3188.34</v>
      </c>
    </row>
    <row r="505" spans="1:11" x14ac:dyDescent="0.35">
      <c r="A505" s="1">
        <v>37956</v>
      </c>
      <c r="B505" t="s">
        <v>10</v>
      </c>
      <c r="C505" t="s">
        <v>38</v>
      </c>
      <c r="D505">
        <v>10816</v>
      </c>
      <c r="E505">
        <v>253015</v>
      </c>
      <c r="F505">
        <f t="shared" si="42"/>
        <v>23.392659023668639</v>
      </c>
      <c r="G505">
        <f t="shared" si="44"/>
        <v>1061.0910133136094</v>
      </c>
      <c r="H505">
        <v>572.16599999999994</v>
      </c>
      <c r="I505" t="s">
        <v>38</v>
      </c>
      <c r="J505">
        <f t="shared" si="43"/>
        <v>12.613888888888887</v>
      </c>
      <c r="K505">
        <v>3188.34</v>
      </c>
    </row>
    <row r="506" spans="1:11" x14ac:dyDescent="0.35">
      <c r="A506" s="1">
        <v>37622</v>
      </c>
      <c r="B506" t="s">
        <v>11</v>
      </c>
      <c r="C506" t="s">
        <v>38</v>
      </c>
      <c r="D506">
        <v>26276</v>
      </c>
      <c r="E506">
        <v>268546</v>
      </c>
      <c r="F506">
        <f t="shared" si="42"/>
        <v>10.220200943827066</v>
      </c>
      <c r="G506">
        <f t="shared" si="44"/>
        <v>463.5883148119957</v>
      </c>
      <c r="H506">
        <v>91.244249999999994</v>
      </c>
      <c r="I506" t="s">
        <v>38</v>
      </c>
      <c r="J506">
        <f t="shared" si="43"/>
        <v>2.0115575396825394</v>
      </c>
      <c r="K506">
        <v>1396.74</v>
      </c>
    </row>
    <row r="507" spans="1:11" x14ac:dyDescent="0.35">
      <c r="A507" s="1">
        <v>37653</v>
      </c>
      <c r="B507" t="s">
        <v>11</v>
      </c>
      <c r="C507" t="s">
        <v>38</v>
      </c>
      <c r="D507">
        <v>28814</v>
      </c>
      <c r="E507">
        <v>286089</v>
      </c>
      <c r="F507">
        <f t="shared" ref="F507:F570" si="45">E507/D507</f>
        <v>9.9288193239397522</v>
      </c>
      <c r="G507">
        <f t="shared" si="44"/>
        <v>450.37124453390715</v>
      </c>
      <c r="H507">
        <v>97.896000000000001</v>
      </c>
      <c r="I507" t="s">
        <v>38</v>
      </c>
      <c r="J507">
        <f t="shared" si="43"/>
        <v>2.1582010582010582</v>
      </c>
      <c r="K507">
        <v>1396.74</v>
      </c>
    </row>
    <row r="508" spans="1:11" x14ac:dyDescent="0.35">
      <c r="A508" s="1">
        <v>37681</v>
      </c>
      <c r="B508" t="s">
        <v>11</v>
      </c>
      <c r="C508" t="s">
        <v>38</v>
      </c>
      <c r="D508">
        <v>19530</v>
      </c>
      <c r="E508">
        <v>197747</v>
      </c>
      <c r="F508">
        <f t="shared" si="45"/>
        <v>10.125294418842806</v>
      </c>
      <c r="G508">
        <f t="shared" si="44"/>
        <v>459.28335483870967</v>
      </c>
      <c r="H508">
        <v>99.679199999999994</v>
      </c>
      <c r="I508" t="s">
        <v>38</v>
      </c>
      <c r="J508">
        <f t="shared" si="43"/>
        <v>2.1975132275132276</v>
      </c>
      <c r="K508">
        <v>1396.74</v>
      </c>
    </row>
    <row r="509" spans="1:11" x14ac:dyDescent="0.35">
      <c r="A509" s="1">
        <v>37712</v>
      </c>
      <c r="B509" t="s">
        <v>11</v>
      </c>
      <c r="C509" t="s">
        <v>38</v>
      </c>
      <c r="D509">
        <v>25732</v>
      </c>
      <c r="E509">
        <v>262365</v>
      </c>
      <c r="F509">
        <f t="shared" si="45"/>
        <v>10.196059381315093</v>
      </c>
      <c r="G509">
        <f t="shared" si="44"/>
        <v>462.49325353645264</v>
      </c>
      <c r="H509">
        <v>93.740399999999994</v>
      </c>
      <c r="I509" t="s">
        <v>38</v>
      </c>
      <c r="J509">
        <f t="shared" si="43"/>
        <v>2.0665873015873015</v>
      </c>
      <c r="K509">
        <v>1396.74</v>
      </c>
    </row>
    <row r="510" spans="1:11" x14ac:dyDescent="0.35">
      <c r="A510" s="1">
        <v>37742</v>
      </c>
      <c r="B510" t="s">
        <v>11</v>
      </c>
      <c r="C510" t="s">
        <v>38</v>
      </c>
      <c r="D510">
        <v>21460</v>
      </c>
      <c r="E510">
        <v>236326</v>
      </c>
      <c r="F510">
        <f t="shared" si="45"/>
        <v>11.012395153774465</v>
      </c>
      <c r="G510">
        <f t="shared" si="44"/>
        <v>499.52224417520972</v>
      </c>
      <c r="H510">
        <v>97.056928571428557</v>
      </c>
      <c r="I510" t="s">
        <v>38</v>
      </c>
      <c r="J510">
        <f t="shared" si="43"/>
        <v>2.139703010833963</v>
      </c>
      <c r="K510">
        <v>1396.74</v>
      </c>
    </row>
    <row r="511" spans="1:11" x14ac:dyDescent="0.35">
      <c r="A511" s="1">
        <v>37773</v>
      </c>
      <c r="B511" t="s">
        <v>11</v>
      </c>
      <c r="C511" t="s">
        <v>38</v>
      </c>
      <c r="D511">
        <v>22716</v>
      </c>
      <c r="E511">
        <v>222617</v>
      </c>
      <c r="F511">
        <f t="shared" si="45"/>
        <v>9.800008804366966</v>
      </c>
      <c r="G511">
        <f t="shared" si="44"/>
        <v>444.52839936608558</v>
      </c>
      <c r="H511">
        <v>108.85187499999999</v>
      </c>
      <c r="I511" t="s">
        <v>38</v>
      </c>
      <c r="J511">
        <f t="shared" ref="J511:J528" si="46">H511/45.36</f>
        <v>2.3997326940035273</v>
      </c>
      <c r="K511">
        <v>1396.74</v>
      </c>
    </row>
    <row r="512" spans="1:11" x14ac:dyDescent="0.35">
      <c r="A512" s="1">
        <v>37803</v>
      </c>
      <c r="B512" t="s">
        <v>11</v>
      </c>
      <c r="C512" t="s">
        <v>38</v>
      </c>
      <c r="D512">
        <v>19271</v>
      </c>
      <c r="E512">
        <v>215066</v>
      </c>
      <c r="F512">
        <f t="shared" si="45"/>
        <v>11.160085101966686</v>
      </c>
      <c r="G512">
        <f t="shared" si="44"/>
        <v>506.22146022520889</v>
      </c>
      <c r="H512">
        <v>105.49471428571428</v>
      </c>
      <c r="I512" t="s">
        <v>38</v>
      </c>
      <c r="J512">
        <f t="shared" si="46"/>
        <v>2.3257212144116903</v>
      </c>
      <c r="K512">
        <v>1396.74</v>
      </c>
    </row>
    <row r="513" spans="1:11" x14ac:dyDescent="0.35">
      <c r="A513" s="1">
        <v>37834</v>
      </c>
      <c r="B513" t="s">
        <v>11</v>
      </c>
      <c r="C513" t="s">
        <v>38</v>
      </c>
      <c r="D513">
        <v>18679</v>
      </c>
      <c r="E513">
        <v>194186</v>
      </c>
      <c r="F513">
        <f t="shared" si="45"/>
        <v>10.395952674126024</v>
      </c>
      <c r="G513">
        <f t="shared" si="44"/>
        <v>471.56041329835642</v>
      </c>
      <c r="H513">
        <v>101.67064285714287</v>
      </c>
      <c r="I513" t="s">
        <v>38</v>
      </c>
      <c r="J513">
        <f t="shared" si="46"/>
        <v>2.2414162887377174</v>
      </c>
      <c r="K513">
        <v>1396.74</v>
      </c>
    </row>
    <row r="514" spans="1:11" x14ac:dyDescent="0.35">
      <c r="A514" s="1">
        <v>37865</v>
      </c>
      <c r="B514" t="s">
        <v>11</v>
      </c>
      <c r="C514" t="s">
        <v>38</v>
      </c>
      <c r="D514">
        <v>19893</v>
      </c>
      <c r="E514">
        <v>212059</v>
      </c>
      <c r="F514">
        <f t="shared" si="45"/>
        <v>10.659980897803248</v>
      </c>
      <c r="G514">
        <f t="shared" si="44"/>
        <v>483.53673352435533</v>
      </c>
      <c r="H514">
        <v>109.46728571428569</v>
      </c>
      <c r="I514" t="s">
        <v>38</v>
      </c>
      <c r="J514">
        <f t="shared" si="46"/>
        <v>2.4132999496094731</v>
      </c>
      <c r="K514">
        <v>1396.74</v>
      </c>
    </row>
    <row r="515" spans="1:11" x14ac:dyDescent="0.35">
      <c r="A515" s="1">
        <v>37895</v>
      </c>
      <c r="B515" t="s">
        <v>11</v>
      </c>
      <c r="C515" t="s">
        <v>38</v>
      </c>
      <c r="D515">
        <v>18006</v>
      </c>
      <c r="E515">
        <v>179526</v>
      </c>
      <c r="F515">
        <f t="shared" si="45"/>
        <v>9.9703432189270238</v>
      </c>
      <c r="G515">
        <f t="shared" si="44"/>
        <v>452.25476841052978</v>
      </c>
      <c r="H515">
        <v>110.61049999999999</v>
      </c>
      <c r="I515" t="s">
        <v>38</v>
      </c>
      <c r="J515">
        <f t="shared" si="46"/>
        <v>2.438503086419753</v>
      </c>
      <c r="K515">
        <v>1396.74</v>
      </c>
    </row>
    <row r="516" spans="1:11" x14ac:dyDescent="0.35">
      <c r="A516" s="1">
        <v>37926</v>
      </c>
      <c r="B516" t="s">
        <v>11</v>
      </c>
      <c r="C516" t="s">
        <v>38</v>
      </c>
      <c r="D516">
        <v>22577</v>
      </c>
      <c r="E516">
        <v>229952</v>
      </c>
      <c r="F516">
        <f t="shared" si="45"/>
        <v>10.185232759002524</v>
      </c>
      <c r="G516">
        <f t="shared" si="44"/>
        <v>462.00215794835447</v>
      </c>
      <c r="H516">
        <v>109.90806666666667</v>
      </c>
      <c r="I516" t="s">
        <v>38</v>
      </c>
      <c r="J516">
        <f t="shared" si="46"/>
        <v>2.4230173427395649</v>
      </c>
      <c r="K516">
        <v>1396.74</v>
      </c>
    </row>
    <row r="517" spans="1:11" x14ac:dyDescent="0.35">
      <c r="A517" s="1">
        <v>37956</v>
      </c>
      <c r="B517" t="s">
        <v>11</v>
      </c>
      <c r="C517" t="s">
        <v>38</v>
      </c>
      <c r="D517">
        <v>25893</v>
      </c>
      <c r="E517">
        <v>220726</v>
      </c>
      <c r="F517">
        <f t="shared" si="45"/>
        <v>8.5245433128644805</v>
      </c>
      <c r="G517">
        <f t="shared" si="44"/>
        <v>386.67328467153283</v>
      </c>
      <c r="H517">
        <v>103.94626666666667</v>
      </c>
      <c r="I517" t="s">
        <v>38</v>
      </c>
      <c r="J517">
        <f t="shared" si="46"/>
        <v>2.2915843621399179</v>
      </c>
      <c r="K517">
        <v>1396.74</v>
      </c>
    </row>
    <row r="518" spans="1:11" x14ac:dyDescent="0.35">
      <c r="A518" s="1">
        <v>37622</v>
      </c>
      <c r="B518" t="s">
        <v>12</v>
      </c>
      <c r="C518" t="s">
        <v>38</v>
      </c>
      <c r="D518">
        <v>9767</v>
      </c>
      <c r="E518">
        <v>62399</v>
      </c>
      <c r="F518">
        <f t="shared" si="45"/>
        <v>6.3887580628647482</v>
      </c>
      <c r="G518">
        <f t="shared" si="44"/>
        <v>289.794065731545</v>
      </c>
      <c r="H518">
        <v>220.37600000000003</v>
      </c>
      <c r="I518" t="s">
        <v>38</v>
      </c>
      <c r="J518">
        <f t="shared" si="46"/>
        <v>4.8583774250440923</v>
      </c>
      <c r="K518">
        <v>1217.1099999999999</v>
      </c>
    </row>
    <row r="519" spans="1:11" x14ac:dyDescent="0.35">
      <c r="A519" s="1">
        <v>37653</v>
      </c>
      <c r="B519" t="s">
        <v>12</v>
      </c>
      <c r="C519" t="s">
        <v>38</v>
      </c>
      <c r="D519">
        <v>9109</v>
      </c>
      <c r="E519">
        <v>51629</v>
      </c>
      <c r="F519">
        <f t="shared" si="45"/>
        <v>5.6679108573937862</v>
      </c>
      <c r="G519">
        <f t="shared" si="44"/>
        <v>257.09643649138212</v>
      </c>
      <c r="H519">
        <v>228</v>
      </c>
      <c r="I519" t="s">
        <v>38</v>
      </c>
      <c r="J519">
        <f t="shared" si="46"/>
        <v>5.026455026455027</v>
      </c>
      <c r="K519">
        <v>1217.1099999999999</v>
      </c>
    </row>
    <row r="520" spans="1:11" x14ac:dyDescent="0.35">
      <c r="A520" s="1">
        <v>37681</v>
      </c>
      <c r="B520" t="s">
        <v>12</v>
      </c>
      <c r="C520" t="s">
        <v>38</v>
      </c>
      <c r="D520">
        <v>8926</v>
      </c>
      <c r="E520">
        <v>48360</v>
      </c>
      <c r="F520">
        <f t="shared" si="45"/>
        <v>5.4178803495406678</v>
      </c>
      <c r="G520">
        <f t="shared" si="44"/>
        <v>245.75505265516469</v>
      </c>
      <c r="H520">
        <v>271.875</v>
      </c>
      <c r="I520" t="s">
        <v>38</v>
      </c>
      <c r="J520">
        <f t="shared" si="46"/>
        <v>5.9937169312169312</v>
      </c>
      <c r="K520">
        <v>1217.1099999999999</v>
      </c>
    </row>
    <row r="521" spans="1:11" x14ac:dyDescent="0.35">
      <c r="A521" s="1">
        <v>37712</v>
      </c>
      <c r="B521" t="s">
        <v>12</v>
      </c>
      <c r="C521" t="s">
        <v>38</v>
      </c>
      <c r="D521">
        <v>9061</v>
      </c>
      <c r="E521">
        <v>59712</v>
      </c>
      <c r="F521">
        <f t="shared" si="45"/>
        <v>6.5900011036309456</v>
      </c>
      <c r="G521">
        <f t="shared" si="44"/>
        <v>298.9224500606997</v>
      </c>
      <c r="H521">
        <v>256.25</v>
      </c>
      <c r="I521" t="s">
        <v>38</v>
      </c>
      <c r="J521">
        <f t="shared" si="46"/>
        <v>5.6492504409171076</v>
      </c>
      <c r="K521">
        <v>1217.1099999999999</v>
      </c>
    </row>
    <row r="522" spans="1:11" x14ac:dyDescent="0.35">
      <c r="A522" s="1">
        <v>37742</v>
      </c>
      <c r="B522" t="s">
        <v>12</v>
      </c>
      <c r="C522" t="s">
        <v>38</v>
      </c>
      <c r="D522">
        <v>10930</v>
      </c>
      <c r="E522">
        <v>76729</v>
      </c>
      <c r="F522">
        <f t="shared" si="45"/>
        <v>7.0200365965233305</v>
      </c>
      <c r="G522">
        <f t="shared" si="44"/>
        <v>318.42886001829828</v>
      </c>
      <c r="H522">
        <v>210.5</v>
      </c>
      <c r="I522" t="s">
        <v>38</v>
      </c>
      <c r="J522">
        <f t="shared" si="46"/>
        <v>4.6406525573192239</v>
      </c>
      <c r="K522">
        <v>1217.1099999999999</v>
      </c>
    </row>
    <row r="523" spans="1:11" x14ac:dyDescent="0.35">
      <c r="A523" s="1">
        <v>37773</v>
      </c>
      <c r="B523" t="s">
        <v>12</v>
      </c>
      <c r="C523" t="s">
        <v>38</v>
      </c>
      <c r="D523">
        <v>8965</v>
      </c>
      <c r="E523">
        <v>51363</v>
      </c>
      <c r="F523">
        <f t="shared" si="45"/>
        <v>5.729280535415505</v>
      </c>
      <c r="G523">
        <f t="shared" si="44"/>
        <v>259.88016508644728</v>
      </c>
      <c r="H523">
        <v>239.25</v>
      </c>
      <c r="I523" t="s">
        <v>38</v>
      </c>
      <c r="J523">
        <f t="shared" si="46"/>
        <v>5.2744708994708995</v>
      </c>
      <c r="K523">
        <v>1217.1099999999999</v>
      </c>
    </row>
    <row r="524" spans="1:11" x14ac:dyDescent="0.35">
      <c r="A524" s="1">
        <v>37803</v>
      </c>
      <c r="B524" t="s">
        <v>12</v>
      </c>
      <c r="C524" t="s">
        <v>38</v>
      </c>
      <c r="D524">
        <v>8462</v>
      </c>
      <c r="E524">
        <v>43187</v>
      </c>
      <c r="F524">
        <f t="shared" si="45"/>
        <v>5.1036398014653743</v>
      </c>
      <c r="G524">
        <f t="shared" si="44"/>
        <v>231.50110139446937</v>
      </c>
      <c r="H524">
        <v>233.54166666666666</v>
      </c>
      <c r="I524" t="s">
        <v>38</v>
      </c>
      <c r="J524">
        <f t="shared" si="46"/>
        <v>5.1486258083480303</v>
      </c>
      <c r="K524">
        <v>1217.1099999999999</v>
      </c>
    </row>
    <row r="525" spans="1:11" x14ac:dyDescent="0.35">
      <c r="A525" s="1">
        <v>37834</v>
      </c>
      <c r="B525" t="s">
        <v>12</v>
      </c>
      <c r="C525" t="s">
        <v>38</v>
      </c>
      <c r="D525">
        <v>13850</v>
      </c>
      <c r="E525">
        <v>80192</v>
      </c>
      <c r="F525">
        <f t="shared" si="45"/>
        <v>5.7900361010830323</v>
      </c>
      <c r="G525">
        <f t="shared" si="44"/>
        <v>262.63603754512633</v>
      </c>
      <c r="H525">
        <v>246.45750000000001</v>
      </c>
      <c r="I525" t="s">
        <v>38</v>
      </c>
      <c r="J525">
        <f t="shared" si="46"/>
        <v>5.4333664021164028</v>
      </c>
      <c r="K525">
        <v>1217.1099999999999</v>
      </c>
    </row>
    <row r="526" spans="1:11" x14ac:dyDescent="0.35">
      <c r="A526" s="1">
        <v>37865</v>
      </c>
      <c r="B526" t="s">
        <v>12</v>
      </c>
      <c r="C526" t="s">
        <v>38</v>
      </c>
      <c r="D526">
        <v>11844</v>
      </c>
      <c r="E526">
        <v>68953</v>
      </c>
      <c r="F526">
        <f t="shared" si="45"/>
        <v>5.8217662951705504</v>
      </c>
      <c r="G526">
        <f t="shared" si="44"/>
        <v>264.07531914893616</v>
      </c>
      <c r="H526">
        <v>220.75</v>
      </c>
      <c r="I526" t="s">
        <v>38</v>
      </c>
      <c r="J526">
        <f t="shared" si="46"/>
        <v>4.8666225749559082</v>
      </c>
      <c r="K526">
        <v>1217.1099999999999</v>
      </c>
    </row>
    <row r="527" spans="1:11" x14ac:dyDescent="0.35">
      <c r="A527" s="1">
        <v>37895</v>
      </c>
      <c r="B527" t="s">
        <v>12</v>
      </c>
      <c r="C527" t="s">
        <v>38</v>
      </c>
      <c r="D527">
        <v>11710</v>
      </c>
      <c r="E527">
        <v>71554</v>
      </c>
      <c r="F527">
        <f t="shared" si="45"/>
        <v>6.1105038428693428</v>
      </c>
      <c r="G527">
        <f t="shared" si="44"/>
        <v>277.17245431255338</v>
      </c>
      <c r="H527">
        <v>243.75</v>
      </c>
      <c r="I527" t="s">
        <v>38</v>
      </c>
      <c r="J527">
        <f t="shared" si="46"/>
        <v>5.3736772486772484</v>
      </c>
      <c r="K527">
        <v>1217.1099999999999</v>
      </c>
    </row>
    <row r="528" spans="1:11" x14ac:dyDescent="0.35">
      <c r="A528" s="1">
        <v>37926</v>
      </c>
      <c r="B528" t="s">
        <v>12</v>
      </c>
      <c r="C528" t="s">
        <v>38</v>
      </c>
      <c r="D528">
        <v>10835</v>
      </c>
      <c r="E528">
        <v>62797</v>
      </c>
      <c r="F528">
        <f t="shared" si="45"/>
        <v>5.7957544993077992</v>
      </c>
      <c r="G528">
        <f t="shared" si="44"/>
        <v>262.89542408860177</v>
      </c>
      <c r="H528">
        <v>259.5625</v>
      </c>
      <c r="I528" t="s">
        <v>38</v>
      </c>
      <c r="J528">
        <f t="shared" si="46"/>
        <v>5.7222773368606701</v>
      </c>
      <c r="K528">
        <v>1217.1099999999999</v>
      </c>
    </row>
    <row r="529" spans="1:11" x14ac:dyDescent="0.35">
      <c r="A529" s="1">
        <v>37956</v>
      </c>
      <c r="B529" t="s">
        <v>12</v>
      </c>
      <c r="C529" t="s">
        <v>38</v>
      </c>
      <c r="D529">
        <v>9246</v>
      </c>
      <c r="E529">
        <v>49122</v>
      </c>
      <c r="F529">
        <f t="shared" si="45"/>
        <v>5.312783906554186</v>
      </c>
      <c r="G529">
        <f t="shared" si="44"/>
        <v>240.98787800129787</v>
      </c>
      <c r="H529">
        <v>339.16666666666669</v>
      </c>
      <c r="I529" t="s">
        <v>38</v>
      </c>
      <c r="J529">
        <f>H529/45.36</f>
        <v>7.4772192827748389</v>
      </c>
      <c r="K529">
        <v>1217.1099999999999</v>
      </c>
    </row>
    <row r="530" spans="1:11" x14ac:dyDescent="0.35">
      <c r="A530" s="1">
        <v>37622</v>
      </c>
      <c r="B530" t="s">
        <v>13</v>
      </c>
      <c r="C530" t="s">
        <v>38</v>
      </c>
      <c r="D530">
        <v>2582</v>
      </c>
      <c r="E530">
        <v>24182</v>
      </c>
      <c r="F530">
        <f t="shared" si="45"/>
        <v>9.3656080557707195</v>
      </c>
      <c r="G530">
        <f t="shared" si="44"/>
        <v>424.82398140975982</v>
      </c>
      <c r="H530">
        <v>256.39666666666665</v>
      </c>
      <c r="I530" t="s">
        <v>38</v>
      </c>
      <c r="J530">
        <f>H530/45.36</f>
        <v>5.6524838330393878</v>
      </c>
      <c r="K530">
        <v>3938.29</v>
      </c>
    </row>
    <row r="531" spans="1:11" x14ac:dyDescent="0.35">
      <c r="A531" s="1">
        <v>37653</v>
      </c>
      <c r="B531" t="s">
        <v>13</v>
      </c>
      <c r="C531" t="s">
        <v>38</v>
      </c>
      <c r="D531">
        <v>2949</v>
      </c>
      <c r="E531">
        <v>27350</v>
      </c>
      <c r="F531">
        <f t="shared" si="45"/>
        <v>9.2743302814513395</v>
      </c>
      <c r="G531">
        <f t="shared" si="44"/>
        <v>420.68362156663278</v>
      </c>
      <c r="H531">
        <v>246.37200000000001</v>
      </c>
      <c r="I531" t="s">
        <v>38</v>
      </c>
      <c r="J531">
        <f t="shared" ref="J531:J541" si="47">H531/45.36</f>
        <v>5.431481481481482</v>
      </c>
      <c r="K531">
        <v>3938.29</v>
      </c>
    </row>
    <row r="532" spans="1:11" x14ac:dyDescent="0.35">
      <c r="A532" s="1">
        <v>37681</v>
      </c>
      <c r="B532" t="s">
        <v>13</v>
      </c>
      <c r="C532" t="s">
        <v>38</v>
      </c>
      <c r="D532">
        <v>3327</v>
      </c>
      <c r="E532">
        <v>33603</v>
      </c>
      <c r="F532">
        <f t="shared" si="45"/>
        <v>10.100090171325519</v>
      </c>
      <c r="G532">
        <f t="shared" si="44"/>
        <v>458.14009017132554</v>
      </c>
      <c r="H532">
        <v>252.20500000000001</v>
      </c>
      <c r="I532" t="s">
        <v>38</v>
      </c>
      <c r="J532">
        <f t="shared" si="47"/>
        <v>5.5600749559082896</v>
      </c>
      <c r="K532">
        <v>3938.29</v>
      </c>
    </row>
    <row r="533" spans="1:11" x14ac:dyDescent="0.35">
      <c r="A533" s="1">
        <v>37712</v>
      </c>
      <c r="B533" t="s">
        <v>13</v>
      </c>
      <c r="C533" t="s">
        <v>38</v>
      </c>
      <c r="D533">
        <v>3901</v>
      </c>
      <c r="E533">
        <v>38620</v>
      </c>
      <c r="F533">
        <f t="shared" si="45"/>
        <v>9.9000256344527049</v>
      </c>
      <c r="G533">
        <f t="shared" si="44"/>
        <v>449.06516277877466</v>
      </c>
      <c r="H533">
        <v>213.9375</v>
      </c>
      <c r="I533" t="s">
        <v>38</v>
      </c>
      <c r="J533">
        <f t="shared" si="47"/>
        <v>4.7164351851851851</v>
      </c>
      <c r="K533">
        <v>3938.29</v>
      </c>
    </row>
    <row r="534" spans="1:11" x14ac:dyDescent="0.35">
      <c r="A534" s="1">
        <v>37742</v>
      </c>
      <c r="B534" t="s">
        <v>13</v>
      </c>
      <c r="C534" t="s">
        <v>38</v>
      </c>
      <c r="D534">
        <v>4011</v>
      </c>
      <c r="E534">
        <v>36961</v>
      </c>
      <c r="F534">
        <f t="shared" si="45"/>
        <v>9.2149090002493139</v>
      </c>
      <c r="G534">
        <f t="shared" si="44"/>
        <v>417.9882722513089</v>
      </c>
      <c r="H534">
        <v>256.66714285714289</v>
      </c>
      <c r="I534" t="s">
        <v>38</v>
      </c>
      <c r="J534">
        <f t="shared" si="47"/>
        <v>5.6584467120181419</v>
      </c>
      <c r="K534">
        <v>3938.29</v>
      </c>
    </row>
    <row r="535" spans="1:11" x14ac:dyDescent="0.35">
      <c r="A535" s="1">
        <v>37773</v>
      </c>
      <c r="B535" t="s">
        <v>13</v>
      </c>
      <c r="C535" t="s">
        <v>38</v>
      </c>
      <c r="D535">
        <v>3822</v>
      </c>
      <c r="E535">
        <v>36691</v>
      </c>
      <c r="F535">
        <f t="shared" si="45"/>
        <v>9.5999476713762419</v>
      </c>
      <c r="G535">
        <f t="shared" si="44"/>
        <v>435.45362637362632</v>
      </c>
      <c r="H535">
        <v>229.25857142857143</v>
      </c>
      <c r="I535" t="s">
        <v>38</v>
      </c>
      <c r="J535">
        <f t="shared" si="47"/>
        <v>5.0542013101536911</v>
      </c>
      <c r="K535">
        <v>3938.29</v>
      </c>
    </row>
    <row r="536" spans="1:11" x14ac:dyDescent="0.35">
      <c r="A536" s="1">
        <v>37803</v>
      </c>
      <c r="B536" t="s">
        <v>13</v>
      </c>
      <c r="C536" t="s">
        <v>38</v>
      </c>
      <c r="D536">
        <v>4295</v>
      </c>
      <c r="E536">
        <v>44081</v>
      </c>
      <c r="F536">
        <f t="shared" si="45"/>
        <v>10.263329452852153</v>
      </c>
      <c r="G536">
        <f t="shared" si="44"/>
        <v>465.54462398137366</v>
      </c>
      <c r="H536">
        <v>232.16666666666666</v>
      </c>
      <c r="I536" t="s">
        <v>38</v>
      </c>
      <c r="J536">
        <f t="shared" si="47"/>
        <v>5.1183127572016458</v>
      </c>
      <c r="K536">
        <v>3938.29</v>
      </c>
    </row>
    <row r="537" spans="1:11" x14ac:dyDescent="0.35">
      <c r="A537" s="1">
        <v>37834</v>
      </c>
      <c r="B537" t="s">
        <v>13</v>
      </c>
      <c r="C537" t="s">
        <v>38</v>
      </c>
      <c r="D537">
        <v>4504</v>
      </c>
      <c r="E537">
        <v>44209</v>
      </c>
      <c r="F537">
        <f t="shared" si="45"/>
        <v>9.8154973357015987</v>
      </c>
      <c r="G537">
        <f t="shared" si="44"/>
        <v>445.23095914742453</v>
      </c>
      <c r="H537">
        <v>230.47428571428571</v>
      </c>
      <c r="I537" t="s">
        <v>38</v>
      </c>
      <c r="J537">
        <f t="shared" si="47"/>
        <v>5.0810027714789623</v>
      </c>
      <c r="K537">
        <v>3938.29</v>
      </c>
    </row>
    <row r="538" spans="1:11" x14ac:dyDescent="0.35">
      <c r="A538" s="1">
        <v>37865</v>
      </c>
      <c r="B538" t="s">
        <v>13</v>
      </c>
      <c r="C538" t="s">
        <v>38</v>
      </c>
      <c r="D538">
        <v>4509</v>
      </c>
      <c r="E538">
        <v>39987</v>
      </c>
      <c r="F538">
        <f t="shared" si="45"/>
        <v>8.8682634730538918</v>
      </c>
      <c r="G538">
        <f t="shared" si="44"/>
        <v>402.26443113772456</v>
      </c>
      <c r="H538">
        <v>270.53571428571428</v>
      </c>
      <c r="I538" t="s">
        <v>38</v>
      </c>
      <c r="J538">
        <f t="shared" si="47"/>
        <v>5.9641912320483748</v>
      </c>
      <c r="K538">
        <v>3938.29</v>
      </c>
    </row>
    <row r="539" spans="1:11" x14ac:dyDescent="0.35">
      <c r="A539" s="1">
        <v>37895</v>
      </c>
      <c r="B539" t="s">
        <v>13</v>
      </c>
      <c r="C539" t="s">
        <v>38</v>
      </c>
      <c r="D539">
        <v>3274</v>
      </c>
      <c r="E539">
        <v>33297</v>
      </c>
      <c r="F539">
        <f t="shared" si="45"/>
        <v>10.170128283445326</v>
      </c>
      <c r="G539">
        <f t="shared" si="44"/>
        <v>461.31701893707998</v>
      </c>
      <c r="H539">
        <v>261.32</v>
      </c>
      <c r="I539" t="s">
        <v>38</v>
      </c>
      <c r="J539">
        <f t="shared" si="47"/>
        <v>5.7610229276895941</v>
      </c>
      <c r="K539">
        <v>3938.29</v>
      </c>
    </row>
    <row r="540" spans="1:11" x14ac:dyDescent="0.35">
      <c r="A540" s="1">
        <v>37926</v>
      </c>
      <c r="B540" t="s">
        <v>13</v>
      </c>
      <c r="C540" t="s">
        <v>38</v>
      </c>
      <c r="D540">
        <v>3171</v>
      </c>
      <c r="E540">
        <v>26659</v>
      </c>
      <c r="F540">
        <f t="shared" si="45"/>
        <v>8.4071270892462948</v>
      </c>
      <c r="G540">
        <f t="shared" si="44"/>
        <v>381.34728476821192</v>
      </c>
      <c r="H540">
        <v>346.05500000000001</v>
      </c>
      <c r="I540" t="s">
        <v>38</v>
      </c>
      <c r="J540">
        <f t="shared" si="47"/>
        <v>7.6290784832451504</v>
      </c>
      <c r="K540">
        <v>3938.29</v>
      </c>
    </row>
    <row r="541" spans="1:11" x14ac:dyDescent="0.35">
      <c r="A541" s="1">
        <v>37956</v>
      </c>
      <c r="B541" t="s">
        <v>13</v>
      </c>
      <c r="C541" t="s">
        <v>38</v>
      </c>
      <c r="D541">
        <v>3504</v>
      </c>
      <c r="E541">
        <v>27303</v>
      </c>
      <c r="F541">
        <f t="shared" si="45"/>
        <v>7.7919520547945202</v>
      </c>
      <c r="G541">
        <f>F541*45.36</f>
        <v>353.44294520547942</v>
      </c>
      <c r="H541">
        <v>365.1</v>
      </c>
      <c r="I541" t="s">
        <v>38</v>
      </c>
      <c r="J541">
        <f t="shared" si="47"/>
        <v>8.0489417989417991</v>
      </c>
      <c r="K541">
        <v>3938.29</v>
      </c>
    </row>
    <row r="542" spans="1:11" x14ac:dyDescent="0.35">
      <c r="A542" s="1">
        <v>37622</v>
      </c>
      <c r="B542" t="s">
        <v>14</v>
      </c>
      <c r="C542" t="s">
        <v>40</v>
      </c>
      <c r="D542">
        <v>20640</v>
      </c>
      <c r="E542">
        <v>42720</v>
      </c>
      <c r="F542">
        <f t="shared" si="45"/>
        <v>2.0697674418604652</v>
      </c>
      <c r="G542">
        <f>F542*562.34</f>
        <v>1163.9130232558141</v>
      </c>
      <c r="H542">
        <v>2737.6</v>
      </c>
      <c r="I542" t="s">
        <v>40</v>
      </c>
      <c r="J542">
        <f>(H542/1000)/0.56234</f>
        <v>4.8682291851904544</v>
      </c>
      <c r="K542">
        <v>7517.1463871999995</v>
      </c>
    </row>
    <row r="543" spans="1:11" x14ac:dyDescent="0.35">
      <c r="A543" s="1">
        <v>37653</v>
      </c>
      <c r="B543" t="s">
        <v>14</v>
      </c>
      <c r="C543" t="s">
        <v>40</v>
      </c>
      <c r="D543">
        <v>14858</v>
      </c>
      <c r="E543">
        <v>22138</v>
      </c>
      <c r="F543">
        <f t="shared" si="45"/>
        <v>1.4899717324000539</v>
      </c>
      <c r="G543">
        <f t="shared" ref="G543:G553" si="48">F543*562.34</f>
        <v>837.87070399784636</v>
      </c>
      <c r="H543">
        <v>2940</v>
      </c>
      <c r="I543" t="s">
        <v>40</v>
      </c>
      <c r="J543">
        <f t="shared" ref="J543:J553" si="49">(H543/1000)/0.56234</f>
        <v>5.2281537859657865</v>
      </c>
      <c r="K543">
        <v>7517.1463871999995</v>
      </c>
    </row>
    <row r="544" spans="1:11" x14ac:dyDescent="0.35">
      <c r="A544" s="1">
        <v>37681</v>
      </c>
      <c r="B544" t="s">
        <v>14</v>
      </c>
      <c r="C544" t="s">
        <v>40</v>
      </c>
      <c r="D544">
        <v>4295</v>
      </c>
      <c r="E544">
        <v>6111</v>
      </c>
      <c r="F544">
        <f t="shared" si="45"/>
        <v>1.4228172293364376</v>
      </c>
      <c r="G544">
        <f t="shared" si="48"/>
        <v>800.10704074505236</v>
      </c>
      <c r="H544">
        <v>2566.66</v>
      </c>
      <c r="I544" t="s">
        <v>40</v>
      </c>
      <c r="J544">
        <f t="shared" si="49"/>
        <v>4.5642493864921576</v>
      </c>
      <c r="K544">
        <v>7517.1463871999995</v>
      </c>
    </row>
    <row r="545" spans="1:11" x14ac:dyDescent="0.35">
      <c r="A545" s="1">
        <v>37712</v>
      </c>
      <c r="B545" t="s">
        <v>14</v>
      </c>
      <c r="C545" t="s">
        <v>40</v>
      </c>
      <c r="D545">
        <v>3306</v>
      </c>
      <c r="E545">
        <v>4879</v>
      </c>
      <c r="F545">
        <f t="shared" si="45"/>
        <v>1.4758015728977616</v>
      </c>
      <c r="G545">
        <f t="shared" si="48"/>
        <v>829.90225650332729</v>
      </c>
      <c r="H545">
        <v>2800</v>
      </c>
      <c r="I545" t="s">
        <v>40</v>
      </c>
      <c r="J545">
        <f t="shared" si="49"/>
        <v>4.9791940818721772</v>
      </c>
      <c r="K545">
        <v>7517.1463871999995</v>
      </c>
    </row>
    <row r="546" spans="1:11" x14ac:dyDescent="0.35">
      <c r="A546" s="1">
        <v>37742</v>
      </c>
      <c r="B546" t="s">
        <v>14</v>
      </c>
      <c r="C546" t="s">
        <v>40</v>
      </c>
      <c r="D546">
        <v>3066</v>
      </c>
      <c r="E546">
        <v>4869</v>
      </c>
      <c r="F546">
        <f t="shared" si="45"/>
        <v>1.5880626223091976</v>
      </c>
      <c r="G546">
        <f t="shared" si="48"/>
        <v>893.03113502935423</v>
      </c>
      <c r="H546">
        <v>2933.333333333333</v>
      </c>
      <c r="I546" t="s">
        <v>40</v>
      </c>
      <c r="J546">
        <f t="shared" si="49"/>
        <v>5.2162985619613282</v>
      </c>
      <c r="K546">
        <v>7517.1463871999995</v>
      </c>
    </row>
    <row r="547" spans="1:11" x14ac:dyDescent="0.35">
      <c r="A547" s="1">
        <v>37773</v>
      </c>
      <c r="B547" t="s">
        <v>14</v>
      </c>
      <c r="C547" t="s">
        <v>40</v>
      </c>
      <c r="D547">
        <v>11819</v>
      </c>
      <c r="E547">
        <v>21797</v>
      </c>
      <c r="F547">
        <f t="shared" si="45"/>
        <v>1.8442338607327184</v>
      </c>
      <c r="G547">
        <f t="shared" si="48"/>
        <v>1037.086469244437</v>
      </c>
      <c r="H547">
        <v>1412</v>
      </c>
      <c r="I547" t="s">
        <v>40</v>
      </c>
      <c r="J547">
        <f t="shared" si="49"/>
        <v>2.5109364441441122</v>
      </c>
      <c r="K547">
        <v>7517.1463871999995</v>
      </c>
    </row>
    <row r="548" spans="1:11" x14ac:dyDescent="0.35">
      <c r="A548" s="1">
        <v>37803</v>
      </c>
      <c r="B548" t="s">
        <v>14</v>
      </c>
      <c r="C548" t="s">
        <v>40</v>
      </c>
      <c r="D548">
        <v>16334</v>
      </c>
      <c r="E548">
        <v>28421</v>
      </c>
      <c r="F548">
        <f t="shared" si="45"/>
        <v>1.7399902044814497</v>
      </c>
      <c r="G548">
        <f t="shared" si="48"/>
        <v>978.46609158809849</v>
      </c>
      <c r="H548">
        <v>2160.7342857142858</v>
      </c>
      <c r="I548" t="s">
        <v>40</v>
      </c>
      <c r="J548">
        <f t="shared" si="49"/>
        <v>3.8423983456881707</v>
      </c>
      <c r="K548">
        <v>7517.1463871999995</v>
      </c>
    </row>
    <row r="549" spans="1:11" x14ac:dyDescent="0.35">
      <c r="A549" s="1">
        <v>37834</v>
      </c>
      <c r="B549" t="s">
        <v>14</v>
      </c>
      <c r="C549" t="s">
        <v>40</v>
      </c>
      <c r="D549">
        <v>26834</v>
      </c>
      <c r="E549">
        <v>53668</v>
      </c>
      <c r="F549">
        <f>E549/D549</f>
        <v>2</v>
      </c>
      <c r="G549">
        <f t="shared" si="48"/>
        <v>1124.68</v>
      </c>
      <c r="H549">
        <v>1368.4642857142858</v>
      </c>
      <c r="I549" t="s">
        <v>40</v>
      </c>
      <c r="J549">
        <f t="shared" si="49"/>
        <v>2.4335175973864311</v>
      </c>
      <c r="K549">
        <v>7517.1463871999995</v>
      </c>
    </row>
    <row r="550" spans="1:11" x14ac:dyDescent="0.35">
      <c r="A550" s="1">
        <v>37865</v>
      </c>
      <c r="B550" t="s">
        <v>14</v>
      </c>
      <c r="C550" t="s">
        <v>40</v>
      </c>
      <c r="D550">
        <v>61929</v>
      </c>
      <c r="E550">
        <v>131466</v>
      </c>
      <c r="F550">
        <f t="shared" si="45"/>
        <v>2.1228503608971563</v>
      </c>
      <c r="G550">
        <f t="shared" si="48"/>
        <v>1193.7636719469069</v>
      </c>
      <c r="H550">
        <v>1353.3428571428572</v>
      </c>
      <c r="I550" t="s">
        <v>40</v>
      </c>
      <c r="J550">
        <f t="shared" si="49"/>
        <v>2.4066274089391779</v>
      </c>
      <c r="K550">
        <v>7517.1463871999995</v>
      </c>
    </row>
    <row r="551" spans="1:11" x14ac:dyDescent="0.35">
      <c r="A551" s="1">
        <v>37895</v>
      </c>
      <c r="B551" t="s">
        <v>14</v>
      </c>
      <c r="C551" t="s">
        <v>40</v>
      </c>
      <c r="D551">
        <v>62704</v>
      </c>
      <c r="E551">
        <v>120326</v>
      </c>
      <c r="F551">
        <f t="shared" si="45"/>
        <v>1.918952538912988</v>
      </c>
      <c r="G551">
        <f t="shared" si="48"/>
        <v>1079.1037707323296</v>
      </c>
      <c r="H551">
        <v>1360.5625</v>
      </c>
      <c r="I551" t="s">
        <v>40</v>
      </c>
      <c r="J551">
        <f t="shared" si="49"/>
        <v>2.419465981434719</v>
      </c>
      <c r="K551">
        <v>7517.1463871999995</v>
      </c>
    </row>
    <row r="552" spans="1:11" x14ac:dyDescent="0.35">
      <c r="A552" s="1">
        <v>37926</v>
      </c>
      <c r="B552" t="s">
        <v>14</v>
      </c>
      <c r="C552" t="s">
        <v>40</v>
      </c>
      <c r="D552">
        <v>47771</v>
      </c>
      <c r="E552">
        <v>73104</v>
      </c>
      <c r="F552">
        <f t="shared" si="45"/>
        <v>1.5303008101149234</v>
      </c>
      <c r="G552">
        <f t="shared" si="48"/>
        <v>860.54935756002601</v>
      </c>
      <c r="H552">
        <v>2492.7339999999999</v>
      </c>
      <c r="I552" t="s">
        <v>40</v>
      </c>
      <c r="J552">
        <f t="shared" si="49"/>
        <v>4.4327879930291285</v>
      </c>
      <c r="K552">
        <v>7517.1463871999995</v>
      </c>
    </row>
    <row r="553" spans="1:11" x14ac:dyDescent="0.35">
      <c r="A553" s="1">
        <v>37956</v>
      </c>
      <c r="B553" t="s">
        <v>14</v>
      </c>
      <c r="C553" t="s">
        <v>40</v>
      </c>
      <c r="D553">
        <v>40229</v>
      </c>
      <c r="E553">
        <v>93693</v>
      </c>
      <c r="F553">
        <f t="shared" si="45"/>
        <v>2.3289915235278031</v>
      </c>
      <c r="G553">
        <f t="shared" si="48"/>
        <v>1309.6850933406249</v>
      </c>
      <c r="H553">
        <v>3155</v>
      </c>
      <c r="I553" t="s">
        <v>40</v>
      </c>
      <c r="J553">
        <f t="shared" si="49"/>
        <v>5.610484760109542</v>
      </c>
      <c r="K553">
        <v>7517.1463871999995</v>
      </c>
    </row>
    <row r="554" spans="1:11" x14ac:dyDescent="0.35">
      <c r="A554" s="1">
        <v>37622</v>
      </c>
      <c r="B554" t="s">
        <v>15</v>
      </c>
      <c r="C554" t="s">
        <v>41</v>
      </c>
      <c r="D554">
        <v>256667</v>
      </c>
      <c r="E554">
        <v>1735173</v>
      </c>
      <c r="F554">
        <f t="shared" si="45"/>
        <v>6.7604055059668751</v>
      </c>
      <c r="G554">
        <f>F554*27.21</f>
        <v>183.95063381735866</v>
      </c>
      <c r="H554">
        <v>26.115714285714287</v>
      </c>
      <c r="I554" t="s">
        <v>58</v>
      </c>
      <c r="J554">
        <f>H554/27.21</f>
        <v>0.95978369297002153</v>
      </c>
      <c r="K554">
        <f>2605.41+3830.55</f>
        <v>6435.96</v>
      </c>
    </row>
    <row r="555" spans="1:11" x14ac:dyDescent="0.35">
      <c r="A555" s="1">
        <v>37653</v>
      </c>
      <c r="B555" t="s">
        <v>15</v>
      </c>
      <c r="C555" t="s">
        <v>41</v>
      </c>
      <c r="D555">
        <v>249356</v>
      </c>
      <c r="E555">
        <v>1466678</v>
      </c>
      <c r="F555">
        <f t="shared" si="45"/>
        <v>5.8818636808418487</v>
      </c>
      <c r="G555">
        <f t="shared" ref="G555:G565" si="50">F555*27.21</f>
        <v>160.04551075570672</v>
      </c>
      <c r="H555">
        <v>31.445999999999998</v>
      </c>
      <c r="I555" t="s">
        <v>58</v>
      </c>
      <c r="J555">
        <f t="shared" ref="J555:J565" si="51">H555/27.21</f>
        <v>1.1556780595369349</v>
      </c>
      <c r="K555">
        <f t="shared" ref="K555:K565" si="52">2605.41+3830.55</f>
        <v>6435.96</v>
      </c>
    </row>
    <row r="556" spans="1:11" x14ac:dyDescent="0.35">
      <c r="A556" s="1">
        <v>37681</v>
      </c>
      <c r="B556" t="s">
        <v>15</v>
      </c>
      <c r="C556" t="s">
        <v>41</v>
      </c>
      <c r="D556">
        <v>234278</v>
      </c>
      <c r="E556">
        <v>1516989</v>
      </c>
      <c r="F556">
        <f t="shared" si="45"/>
        <v>6.4751662554742655</v>
      </c>
      <c r="G556">
        <f t="shared" si="50"/>
        <v>176.18927381145477</v>
      </c>
      <c r="H556">
        <v>31.276</v>
      </c>
      <c r="I556" t="s">
        <v>58</v>
      </c>
      <c r="J556">
        <f t="shared" si="51"/>
        <v>1.1494303564865858</v>
      </c>
      <c r="K556">
        <f t="shared" si="52"/>
        <v>6435.96</v>
      </c>
    </row>
    <row r="557" spans="1:11" x14ac:dyDescent="0.35">
      <c r="A557" s="1">
        <v>37712</v>
      </c>
      <c r="B557" t="s">
        <v>15</v>
      </c>
      <c r="C557" t="s">
        <v>41</v>
      </c>
      <c r="D557">
        <v>223322</v>
      </c>
      <c r="E557">
        <v>1514711</v>
      </c>
      <c r="F557">
        <f t="shared" si="45"/>
        <v>6.7826322529800018</v>
      </c>
      <c r="G557">
        <f t="shared" si="50"/>
        <v>184.55542360358587</v>
      </c>
      <c r="H557">
        <v>29.387499999999999</v>
      </c>
      <c r="I557" t="s">
        <v>58</v>
      </c>
      <c r="J557">
        <f t="shared" si="51"/>
        <v>1.0800257258360897</v>
      </c>
      <c r="K557">
        <f t="shared" si="52"/>
        <v>6435.96</v>
      </c>
    </row>
    <row r="558" spans="1:11" x14ac:dyDescent="0.35">
      <c r="A558" s="1">
        <v>37742</v>
      </c>
      <c r="B558" t="s">
        <v>15</v>
      </c>
      <c r="C558" t="s">
        <v>41</v>
      </c>
      <c r="D558">
        <v>259184</v>
      </c>
      <c r="E558">
        <v>1682273</v>
      </c>
      <c r="F558">
        <f t="shared" si="45"/>
        <v>6.4906514291005619</v>
      </c>
      <c r="G558">
        <f t="shared" si="50"/>
        <v>176.6106253858263</v>
      </c>
      <c r="H558">
        <v>30.97666666666667</v>
      </c>
      <c r="I558" t="s">
        <v>58</v>
      </c>
      <c r="J558">
        <f t="shared" si="51"/>
        <v>1.1384294989587163</v>
      </c>
      <c r="K558">
        <f t="shared" si="52"/>
        <v>6435.96</v>
      </c>
    </row>
    <row r="559" spans="1:11" x14ac:dyDescent="0.35">
      <c r="A559" s="1">
        <v>37773</v>
      </c>
      <c r="B559" t="s">
        <v>15</v>
      </c>
      <c r="C559" t="s">
        <v>41</v>
      </c>
      <c r="D559">
        <v>242367</v>
      </c>
      <c r="E559">
        <v>1822866</v>
      </c>
      <c r="F559">
        <f t="shared" si="45"/>
        <v>7.521098169305227</v>
      </c>
      <c r="G559">
        <f t="shared" si="50"/>
        <v>204.64908118679523</v>
      </c>
      <c r="H559">
        <v>31.678571428571427</v>
      </c>
      <c r="I559" t="s">
        <v>58</v>
      </c>
      <c r="J559">
        <f t="shared" si="51"/>
        <v>1.164225337323463</v>
      </c>
      <c r="K559">
        <f t="shared" si="52"/>
        <v>6435.96</v>
      </c>
    </row>
    <row r="560" spans="1:11" x14ac:dyDescent="0.35">
      <c r="A560" s="1">
        <v>37803</v>
      </c>
      <c r="B560" t="s">
        <v>15</v>
      </c>
      <c r="C560" t="s">
        <v>41</v>
      </c>
      <c r="D560">
        <v>340820</v>
      </c>
      <c r="E560">
        <v>2276806</v>
      </c>
      <c r="F560">
        <f t="shared" si="45"/>
        <v>6.6803767384543162</v>
      </c>
      <c r="G560">
        <f t="shared" si="50"/>
        <v>181.77305105334196</v>
      </c>
      <c r="H560">
        <v>30.723333333333333</v>
      </c>
      <c r="I560" t="s">
        <v>58</v>
      </c>
      <c r="J560">
        <f t="shared" si="51"/>
        <v>1.129119196373882</v>
      </c>
      <c r="K560">
        <f t="shared" si="52"/>
        <v>6435.96</v>
      </c>
    </row>
    <row r="561" spans="1:11" x14ac:dyDescent="0.35">
      <c r="A561" s="1">
        <v>37834</v>
      </c>
      <c r="B561" t="s">
        <v>15</v>
      </c>
      <c r="C561" t="s">
        <v>41</v>
      </c>
      <c r="D561">
        <v>245567</v>
      </c>
      <c r="E561">
        <v>1859443</v>
      </c>
      <c r="F561">
        <f t="shared" si="45"/>
        <v>7.5720394026884721</v>
      </c>
      <c r="G561">
        <f t="shared" si="50"/>
        <v>206.03519214715334</v>
      </c>
      <c r="H561">
        <v>31.725714285714282</v>
      </c>
      <c r="I561" t="s">
        <v>58</v>
      </c>
      <c r="J561">
        <f t="shared" si="51"/>
        <v>1.1659578936315429</v>
      </c>
      <c r="K561">
        <f t="shared" si="52"/>
        <v>6435.96</v>
      </c>
    </row>
    <row r="562" spans="1:11" x14ac:dyDescent="0.35">
      <c r="A562" s="1">
        <v>37865</v>
      </c>
      <c r="B562" t="s">
        <v>15</v>
      </c>
      <c r="C562" t="s">
        <v>41</v>
      </c>
      <c r="D562">
        <v>288417</v>
      </c>
      <c r="E562">
        <v>2119865</v>
      </c>
      <c r="F562">
        <f t="shared" si="45"/>
        <v>7.3500001733601001</v>
      </c>
      <c r="G562">
        <f t="shared" si="50"/>
        <v>199.99350471712833</v>
      </c>
      <c r="H562">
        <v>32.304285714285712</v>
      </c>
      <c r="I562" t="s">
        <v>58</v>
      </c>
      <c r="J562">
        <f t="shared" si="51"/>
        <v>1.1872210846852522</v>
      </c>
      <c r="K562">
        <f t="shared" si="52"/>
        <v>6435.96</v>
      </c>
    </row>
    <row r="563" spans="1:11" x14ac:dyDescent="0.35">
      <c r="A563" s="1">
        <v>37895</v>
      </c>
      <c r="B563" t="s">
        <v>15</v>
      </c>
      <c r="C563" t="s">
        <v>41</v>
      </c>
      <c r="D563">
        <v>252320</v>
      </c>
      <c r="E563">
        <v>1886025</v>
      </c>
      <c r="F563">
        <f t="shared" si="45"/>
        <v>7.4747344641724798</v>
      </c>
      <c r="G563">
        <f t="shared" si="50"/>
        <v>203.38752477013318</v>
      </c>
      <c r="H563">
        <v>36.172499999999999</v>
      </c>
      <c r="I563" t="s">
        <v>58</v>
      </c>
      <c r="J563">
        <f t="shared" si="51"/>
        <v>1.3293825799338479</v>
      </c>
      <c r="K563">
        <f t="shared" si="52"/>
        <v>6435.96</v>
      </c>
    </row>
    <row r="564" spans="1:11" x14ac:dyDescent="0.35">
      <c r="A564" s="1">
        <v>37926</v>
      </c>
      <c r="B564" t="s">
        <v>15</v>
      </c>
      <c r="C564" t="s">
        <v>41</v>
      </c>
      <c r="D564">
        <v>243420</v>
      </c>
      <c r="E564">
        <v>1645243</v>
      </c>
      <c r="F564">
        <f t="shared" si="45"/>
        <v>6.7588653356338835</v>
      </c>
      <c r="G564">
        <f t="shared" si="50"/>
        <v>183.90872578259797</v>
      </c>
      <c r="H564">
        <v>38.788333333333334</v>
      </c>
      <c r="I564" t="s">
        <v>58</v>
      </c>
      <c r="J564">
        <f t="shared" si="51"/>
        <v>1.4255175793213279</v>
      </c>
      <c r="K564">
        <f t="shared" si="52"/>
        <v>6435.96</v>
      </c>
    </row>
    <row r="565" spans="1:11" x14ac:dyDescent="0.35">
      <c r="A565" s="1">
        <v>37956</v>
      </c>
      <c r="B565" t="s">
        <v>15</v>
      </c>
      <c r="C565" t="s">
        <v>41</v>
      </c>
      <c r="D565">
        <v>261791</v>
      </c>
      <c r="E565">
        <v>1497282</v>
      </c>
      <c r="F565">
        <f t="shared" si="45"/>
        <v>5.7193791994377197</v>
      </c>
      <c r="G565">
        <f t="shared" si="50"/>
        <v>155.62430801670035</v>
      </c>
      <c r="H565">
        <v>34.5</v>
      </c>
      <c r="I565" t="s">
        <v>58</v>
      </c>
      <c r="J565">
        <f t="shared" si="51"/>
        <v>1.2679162072767365</v>
      </c>
      <c r="K565">
        <f t="shared" si="52"/>
        <v>6435.96</v>
      </c>
    </row>
    <row r="566" spans="1:11" x14ac:dyDescent="0.35">
      <c r="A566" s="1">
        <v>37622</v>
      </c>
      <c r="B566" t="s">
        <v>18</v>
      </c>
      <c r="C566" t="s">
        <v>40</v>
      </c>
      <c r="D566">
        <v>662209</v>
      </c>
      <c r="E566">
        <v>89773</v>
      </c>
      <c r="F566">
        <f t="shared" si="45"/>
        <v>0.13556596180359978</v>
      </c>
      <c r="G566">
        <f>F566*408.15</f>
        <v>55.331247310139247</v>
      </c>
      <c r="H566">
        <v>1385.1175000000001</v>
      </c>
      <c r="I566" t="s">
        <v>40</v>
      </c>
      <c r="J566">
        <f>(H566/1000)/0.40815</f>
        <v>3.3936481685654782</v>
      </c>
      <c r="K566">
        <f>6342.39+2324.25</f>
        <v>8666.64</v>
      </c>
    </row>
    <row r="567" spans="1:11" x14ac:dyDescent="0.35">
      <c r="A567" s="1">
        <v>37653</v>
      </c>
      <c r="B567" t="s">
        <v>18</v>
      </c>
      <c r="C567" t="s">
        <v>40</v>
      </c>
      <c r="D567">
        <v>674945</v>
      </c>
      <c r="E567">
        <v>101443</v>
      </c>
      <c r="F567">
        <f t="shared" si="45"/>
        <v>0.1502981724436806</v>
      </c>
      <c r="G567">
        <f t="shared" ref="G567:G577" si="53">F567*408.15</f>
        <v>61.344199082888231</v>
      </c>
      <c r="H567">
        <v>1308.7016666666666</v>
      </c>
      <c r="I567" t="s">
        <v>40</v>
      </c>
      <c r="J567">
        <f t="shared" ref="J567:J576" si="54">(H567/1000)/0.40815</f>
        <v>3.2064232920903262</v>
      </c>
      <c r="K567">
        <f t="shared" ref="K567:K577" si="55">6342.39+2324.25</f>
        <v>8666.64</v>
      </c>
    </row>
    <row r="568" spans="1:11" x14ac:dyDescent="0.35">
      <c r="A568" s="1">
        <v>37681</v>
      </c>
      <c r="B568" t="s">
        <v>18</v>
      </c>
      <c r="C568" t="s">
        <v>40</v>
      </c>
      <c r="D568">
        <v>672318</v>
      </c>
      <c r="E568">
        <v>94843</v>
      </c>
      <c r="F568">
        <f t="shared" si="45"/>
        <v>0.14106866096103332</v>
      </c>
      <c r="G568">
        <f t="shared" si="53"/>
        <v>57.577173971245749</v>
      </c>
      <c r="H568">
        <v>1379.1566666666668</v>
      </c>
      <c r="I568" t="s">
        <v>40</v>
      </c>
      <c r="J568">
        <f t="shared" si="54"/>
        <v>3.3790436522520317</v>
      </c>
      <c r="K568">
        <f t="shared" si="55"/>
        <v>8666.64</v>
      </c>
    </row>
    <row r="569" spans="1:11" x14ac:dyDescent="0.35">
      <c r="A569" s="1">
        <v>37712</v>
      </c>
      <c r="B569" t="s">
        <v>18</v>
      </c>
      <c r="C569" t="s">
        <v>40</v>
      </c>
      <c r="D569">
        <v>682792</v>
      </c>
      <c r="E569">
        <v>99447</v>
      </c>
      <c r="F569">
        <f t="shared" si="45"/>
        <v>0.14564757642151635</v>
      </c>
      <c r="G569">
        <f t="shared" si="53"/>
        <v>59.446058316441892</v>
      </c>
      <c r="H569">
        <v>1343.934</v>
      </c>
      <c r="I569" t="s">
        <v>40</v>
      </c>
      <c r="J569">
        <f t="shared" si="54"/>
        <v>3.2927453142227119</v>
      </c>
      <c r="K569">
        <f t="shared" si="55"/>
        <v>8666.64</v>
      </c>
    </row>
    <row r="570" spans="1:11" x14ac:dyDescent="0.35">
      <c r="A570" s="1">
        <v>37742</v>
      </c>
      <c r="B570" t="s">
        <v>18</v>
      </c>
      <c r="C570" t="s">
        <v>40</v>
      </c>
      <c r="D570">
        <v>712060</v>
      </c>
      <c r="E570">
        <v>122693</v>
      </c>
      <c r="F570">
        <f t="shared" si="45"/>
        <v>0.17230710895149284</v>
      </c>
      <c r="G570">
        <f t="shared" si="53"/>
        <v>70.3271465185518</v>
      </c>
      <c r="H570">
        <v>1284.4516666666666</v>
      </c>
      <c r="I570" t="s">
        <v>40</v>
      </c>
      <c r="J570">
        <f t="shared" si="54"/>
        <v>3.1470088611213192</v>
      </c>
      <c r="K570">
        <f t="shared" si="55"/>
        <v>8666.64</v>
      </c>
    </row>
    <row r="571" spans="1:11" x14ac:dyDescent="0.35">
      <c r="A571" s="1">
        <v>37773</v>
      </c>
      <c r="B571" t="s">
        <v>18</v>
      </c>
      <c r="C571" t="s">
        <v>40</v>
      </c>
      <c r="D571">
        <v>674673</v>
      </c>
      <c r="E571">
        <v>109311</v>
      </c>
      <c r="F571">
        <f t="shared" ref="F571:F634" si="56">E571/D571</f>
        <v>0.16202071225615966</v>
      </c>
      <c r="G571">
        <f t="shared" si="53"/>
        <v>66.128753707351564</v>
      </c>
      <c r="H571">
        <v>1429.5725</v>
      </c>
      <c r="I571" t="s">
        <v>40</v>
      </c>
      <c r="J571">
        <f t="shared" si="54"/>
        <v>3.5025664584098979</v>
      </c>
      <c r="K571">
        <f t="shared" si="55"/>
        <v>8666.64</v>
      </c>
    </row>
    <row r="572" spans="1:11" x14ac:dyDescent="0.35">
      <c r="A572" s="1">
        <v>37803</v>
      </c>
      <c r="B572" t="s">
        <v>18</v>
      </c>
      <c r="C572" t="s">
        <v>40</v>
      </c>
      <c r="D572">
        <v>692694</v>
      </c>
      <c r="E572">
        <v>121355</v>
      </c>
      <c r="F572">
        <f t="shared" si="56"/>
        <v>0.17519279797428591</v>
      </c>
      <c r="G572">
        <f t="shared" si="53"/>
        <v>71.504940493204785</v>
      </c>
      <c r="H572">
        <v>1260.217142857143</v>
      </c>
      <c r="I572" t="s">
        <v>40</v>
      </c>
      <c r="J572">
        <f t="shared" si="54"/>
        <v>3.0876323480513119</v>
      </c>
      <c r="K572">
        <f t="shared" si="55"/>
        <v>8666.64</v>
      </c>
    </row>
    <row r="573" spans="1:11" x14ac:dyDescent="0.35">
      <c r="A573" s="1">
        <v>37834</v>
      </c>
      <c r="B573" t="s">
        <v>18</v>
      </c>
      <c r="C573" t="s">
        <v>40</v>
      </c>
      <c r="D573">
        <v>673401</v>
      </c>
      <c r="E573">
        <v>127960</v>
      </c>
      <c r="F573">
        <f t="shared" si="56"/>
        <v>0.1900205078400537</v>
      </c>
      <c r="G573">
        <f t="shared" si="53"/>
        <v>77.556870274917912</v>
      </c>
      <c r="H573">
        <v>1322.3685714285714</v>
      </c>
      <c r="I573" t="s">
        <v>40</v>
      </c>
      <c r="J573">
        <f t="shared" si="54"/>
        <v>3.2399082970196527</v>
      </c>
      <c r="K573">
        <f t="shared" si="55"/>
        <v>8666.64</v>
      </c>
    </row>
    <row r="574" spans="1:11" x14ac:dyDescent="0.35">
      <c r="A574" s="1">
        <v>37865</v>
      </c>
      <c r="B574" t="s">
        <v>18</v>
      </c>
      <c r="C574" t="s">
        <v>40</v>
      </c>
      <c r="D574">
        <v>674696</v>
      </c>
      <c r="E574">
        <v>123647</v>
      </c>
      <c r="F574">
        <f t="shared" si="56"/>
        <v>0.18326327709071938</v>
      </c>
      <c r="G574">
        <f t="shared" si="53"/>
        <v>74.798906544577108</v>
      </c>
      <c r="H574">
        <v>1497.9285714285713</v>
      </c>
      <c r="I574" t="s">
        <v>40</v>
      </c>
      <c r="J574">
        <f t="shared" si="54"/>
        <v>3.6700442764389836</v>
      </c>
      <c r="K574">
        <f t="shared" si="55"/>
        <v>8666.64</v>
      </c>
    </row>
    <row r="575" spans="1:11" x14ac:dyDescent="0.35">
      <c r="A575" s="1">
        <v>37895</v>
      </c>
      <c r="B575" t="s">
        <v>18</v>
      </c>
      <c r="C575" t="s">
        <v>40</v>
      </c>
      <c r="D575">
        <v>677206</v>
      </c>
      <c r="E575">
        <v>108405</v>
      </c>
      <c r="F575">
        <f t="shared" si="56"/>
        <v>0.16007684515494547</v>
      </c>
      <c r="G575">
        <f t="shared" si="53"/>
        <v>65.335364349990996</v>
      </c>
      <c r="H575">
        <v>1388.615</v>
      </c>
      <c r="I575" t="s">
        <v>40</v>
      </c>
      <c r="J575">
        <f t="shared" si="54"/>
        <v>3.4022173220629668</v>
      </c>
      <c r="K575">
        <f t="shared" si="55"/>
        <v>8666.64</v>
      </c>
    </row>
    <row r="576" spans="1:11" x14ac:dyDescent="0.35">
      <c r="A576" s="1">
        <v>37926</v>
      </c>
      <c r="B576" t="s">
        <v>18</v>
      </c>
      <c r="C576" t="s">
        <v>40</v>
      </c>
      <c r="D576">
        <v>648608</v>
      </c>
      <c r="E576">
        <v>100652</v>
      </c>
      <c r="F576">
        <f t="shared" si="56"/>
        <v>0.15518155804430411</v>
      </c>
      <c r="G576">
        <f t="shared" si="53"/>
        <v>63.337352915782724</v>
      </c>
      <c r="H576">
        <v>1419.9166666666667</v>
      </c>
      <c r="I576" t="s">
        <v>40</v>
      </c>
      <c r="J576">
        <f t="shared" si="54"/>
        <v>3.4789088978725142</v>
      </c>
      <c r="K576">
        <f t="shared" si="55"/>
        <v>8666.64</v>
      </c>
    </row>
    <row r="577" spans="1:11" x14ac:dyDescent="0.35">
      <c r="A577" s="1">
        <v>37956</v>
      </c>
      <c r="B577" t="s">
        <v>18</v>
      </c>
      <c r="C577" t="s">
        <v>40</v>
      </c>
      <c r="D577">
        <v>686095</v>
      </c>
      <c r="E577">
        <v>94043</v>
      </c>
      <c r="F577">
        <f t="shared" si="56"/>
        <v>0.13706993929412109</v>
      </c>
      <c r="G577">
        <f t="shared" si="53"/>
        <v>55.945095722895523</v>
      </c>
      <c r="H577">
        <v>1495.4159999999999</v>
      </c>
      <c r="I577" t="s">
        <v>40</v>
      </c>
      <c r="J577">
        <f>(H577/1000)/0.40815</f>
        <v>3.6638882763689815</v>
      </c>
      <c r="K577">
        <f t="shared" si="55"/>
        <v>8666.64</v>
      </c>
    </row>
    <row r="578" spans="1:11" x14ac:dyDescent="0.35">
      <c r="A578" s="1">
        <v>37987</v>
      </c>
      <c r="B578" t="s">
        <v>2</v>
      </c>
      <c r="C578" t="s">
        <v>38</v>
      </c>
      <c r="D578">
        <v>53587</v>
      </c>
      <c r="E578">
        <v>148747</v>
      </c>
      <c r="F578">
        <f t="shared" si="56"/>
        <v>2.7758038330192023</v>
      </c>
      <c r="G578">
        <f>F578*45.36</f>
        <v>125.91046186575102</v>
      </c>
      <c r="H578">
        <v>1011.46</v>
      </c>
      <c r="I578" t="s">
        <v>59</v>
      </c>
      <c r="J578">
        <f>H578/110</f>
        <v>9.1950909090909096</v>
      </c>
      <c r="K578">
        <v>4376.41</v>
      </c>
    </row>
    <row r="579" spans="1:11" x14ac:dyDescent="0.35">
      <c r="A579" s="1">
        <v>38018</v>
      </c>
      <c r="B579" t="s">
        <v>2</v>
      </c>
      <c r="C579" t="s">
        <v>38</v>
      </c>
      <c r="D579">
        <v>17942</v>
      </c>
      <c r="E579">
        <v>50996</v>
      </c>
      <c r="F579">
        <f t="shared" si="56"/>
        <v>2.8422695351688776</v>
      </c>
      <c r="G579">
        <f t="shared" ref="G579:G642" si="57">F579*45.36</f>
        <v>128.92534611526028</v>
      </c>
      <c r="H579">
        <v>941.19333333333327</v>
      </c>
      <c r="I579" t="s">
        <v>59</v>
      </c>
      <c r="J579">
        <f t="shared" ref="J579:J589" si="58">H579/110</f>
        <v>8.5563030303030292</v>
      </c>
      <c r="K579">
        <v>4376.41</v>
      </c>
    </row>
    <row r="580" spans="1:11" x14ac:dyDescent="0.35">
      <c r="A580" s="1">
        <v>38047</v>
      </c>
      <c r="B580" t="s">
        <v>2</v>
      </c>
      <c r="C580" t="s">
        <v>38</v>
      </c>
      <c r="D580">
        <v>17220</v>
      </c>
      <c r="E580">
        <v>63923</v>
      </c>
      <c r="F580">
        <f t="shared" si="56"/>
        <v>3.7121370499419282</v>
      </c>
      <c r="G580">
        <f t="shared" si="57"/>
        <v>168.38253658536587</v>
      </c>
      <c r="H580">
        <v>1550</v>
      </c>
      <c r="I580" t="s">
        <v>59</v>
      </c>
      <c r="J580">
        <f t="shared" si="58"/>
        <v>14.090909090909092</v>
      </c>
      <c r="K580">
        <v>4376.41</v>
      </c>
    </row>
    <row r="581" spans="1:11" x14ac:dyDescent="0.35">
      <c r="A581" s="1">
        <v>38078</v>
      </c>
      <c r="B581" t="s">
        <v>2</v>
      </c>
      <c r="C581" t="s">
        <v>38</v>
      </c>
      <c r="D581">
        <v>29970</v>
      </c>
      <c r="E581">
        <v>123527</v>
      </c>
      <c r="F581">
        <f t="shared" si="56"/>
        <v>4.1216883550216883</v>
      </c>
      <c r="G581">
        <f t="shared" si="57"/>
        <v>186.95978378378379</v>
      </c>
      <c r="H581">
        <v>1413.8866666666665</v>
      </c>
      <c r="I581" t="s">
        <v>59</v>
      </c>
      <c r="J581">
        <f t="shared" si="58"/>
        <v>12.85351515151515</v>
      </c>
      <c r="K581">
        <v>4376.41</v>
      </c>
    </row>
    <row r="582" spans="1:11" x14ac:dyDescent="0.35">
      <c r="A582" s="1">
        <v>38108</v>
      </c>
      <c r="B582" t="s">
        <v>2</v>
      </c>
      <c r="C582" t="s">
        <v>38</v>
      </c>
      <c r="D582">
        <v>179371</v>
      </c>
      <c r="E582">
        <v>764176</v>
      </c>
      <c r="F582">
        <f t="shared" si="56"/>
        <v>4.2603096375668308</v>
      </c>
      <c r="G582">
        <f t="shared" si="57"/>
        <v>193.24764516003145</v>
      </c>
      <c r="H582">
        <v>912.94333333333327</v>
      </c>
      <c r="I582" t="s">
        <v>59</v>
      </c>
      <c r="J582">
        <f t="shared" si="58"/>
        <v>8.2994848484848482</v>
      </c>
      <c r="K582">
        <v>4376.41</v>
      </c>
    </row>
    <row r="583" spans="1:11" x14ac:dyDescent="0.35">
      <c r="A583" s="1">
        <v>38139</v>
      </c>
      <c r="B583" t="s">
        <v>2</v>
      </c>
      <c r="C583" t="s">
        <v>38</v>
      </c>
      <c r="D583">
        <v>546108</v>
      </c>
      <c r="E583">
        <v>2548304</v>
      </c>
      <c r="F583">
        <f t="shared" si="56"/>
        <v>4.6663004387410547</v>
      </c>
      <c r="G583">
        <f t="shared" si="57"/>
        <v>211.66338790129424</v>
      </c>
      <c r="H583">
        <v>1008.7833333333334</v>
      </c>
      <c r="I583" t="s">
        <v>59</v>
      </c>
      <c r="J583">
        <f t="shared" si="58"/>
        <v>9.1707575757575768</v>
      </c>
      <c r="K583">
        <v>4376.41</v>
      </c>
    </row>
    <row r="584" spans="1:11" x14ac:dyDescent="0.35">
      <c r="A584" s="1">
        <v>38169</v>
      </c>
      <c r="B584" t="s">
        <v>2</v>
      </c>
      <c r="C584" t="s">
        <v>38</v>
      </c>
      <c r="D584">
        <v>259272</v>
      </c>
      <c r="E584">
        <v>1275879</v>
      </c>
      <c r="F584">
        <f t="shared" si="56"/>
        <v>4.9210057391465334</v>
      </c>
      <c r="G584">
        <f t="shared" si="57"/>
        <v>223.21682032768675</v>
      </c>
      <c r="H584">
        <v>1409.69</v>
      </c>
      <c r="I584" t="s">
        <v>59</v>
      </c>
      <c r="J584">
        <f t="shared" si="58"/>
        <v>12.815363636363637</v>
      </c>
      <c r="K584">
        <v>4376.41</v>
      </c>
    </row>
    <row r="585" spans="1:11" x14ac:dyDescent="0.35">
      <c r="A585" s="1">
        <v>38200</v>
      </c>
      <c r="B585" t="s">
        <v>2</v>
      </c>
      <c r="C585" t="s">
        <v>38</v>
      </c>
      <c r="D585">
        <v>85766</v>
      </c>
      <c r="E585">
        <v>411041</v>
      </c>
      <c r="F585">
        <f t="shared" si="56"/>
        <v>4.7925868059604042</v>
      </c>
      <c r="G585">
        <f t="shared" si="57"/>
        <v>217.39173751836393</v>
      </c>
      <c r="H585">
        <v>1060.415</v>
      </c>
      <c r="I585" t="s">
        <v>59</v>
      </c>
      <c r="J585">
        <f t="shared" si="58"/>
        <v>9.6401363636363637</v>
      </c>
      <c r="K585">
        <v>4376.41</v>
      </c>
    </row>
    <row r="586" spans="1:11" x14ac:dyDescent="0.35">
      <c r="A586" s="1">
        <v>38231</v>
      </c>
      <c r="B586" t="s">
        <v>2</v>
      </c>
      <c r="C586" t="s">
        <v>38</v>
      </c>
      <c r="D586">
        <v>216110</v>
      </c>
      <c r="E586">
        <v>685861</v>
      </c>
      <c r="F586">
        <f t="shared" si="56"/>
        <v>3.1736661885151078</v>
      </c>
      <c r="G586">
        <f t="shared" si="57"/>
        <v>143.9574983110453</v>
      </c>
      <c r="H586">
        <v>996.83</v>
      </c>
      <c r="I586" t="s">
        <v>59</v>
      </c>
      <c r="J586">
        <f t="shared" si="58"/>
        <v>9.0620909090909088</v>
      </c>
      <c r="K586">
        <v>4376.41</v>
      </c>
    </row>
    <row r="587" spans="1:11" x14ac:dyDescent="0.35">
      <c r="A587" s="1">
        <v>38261</v>
      </c>
      <c r="B587" t="s">
        <v>2</v>
      </c>
      <c r="C587" t="s">
        <v>38</v>
      </c>
      <c r="D587">
        <v>398268</v>
      </c>
      <c r="E587">
        <v>1116520</v>
      </c>
      <c r="F587">
        <f t="shared" si="56"/>
        <v>2.8034388903954119</v>
      </c>
      <c r="G587">
        <f t="shared" si="57"/>
        <v>127.16398806833588</v>
      </c>
      <c r="H587">
        <v>1011.86</v>
      </c>
      <c r="I587" t="s">
        <v>59</v>
      </c>
      <c r="J587">
        <f t="shared" si="58"/>
        <v>9.1987272727272735</v>
      </c>
      <c r="K587">
        <v>4376.41</v>
      </c>
    </row>
    <row r="588" spans="1:11" x14ac:dyDescent="0.35">
      <c r="A588" s="1">
        <v>38292</v>
      </c>
      <c r="B588" t="s">
        <v>2</v>
      </c>
      <c r="C588" t="s">
        <v>38</v>
      </c>
      <c r="D588">
        <v>213919</v>
      </c>
      <c r="E588">
        <v>724679</v>
      </c>
      <c r="F588">
        <f t="shared" si="56"/>
        <v>3.3876327020975228</v>
      </c>
      <c r="G588">
        <f t="shared" si="57"/>
        <v>153.66301936714362</v>
      </c>
      <c r="H588">
        <v>883</v>
      </c>
      <c r="I588" t="s">
        <v>59</v>
      </c>
      <c r="J588">
        <f t="shared" si="58"/>
        <v>8.0272727272727273</v>
      </c>
      <c r="K588">
        <v>4376.41</v>
      </c>
    </row>
    <row r="589" spans="1:11" x14ac:dyDescent="0.35">
      <c r="A589" s="1">
        <v>38322</v>
      </c>
      <c r="B589" t="s">
        <v>2</v>
      </c>
      <c r="C589" t="s">
        <v>38</v>
      </c>
      <c r="D589">
        <v>112439</v>
      </c>
      <c r="E589">
        <v>349773</v>
      </c>
      <c r="F589">
        <f t="shared" si="56"/>
        <v>3.1107800674143311</v>
      </c>
      <c r="G589">
        <f t="shared" si="57"/>
        <v>141.10498385791405</v>
      </c>
      <c r="H589">
        <v>969.05666666666673</v>
      </c>
      <c r="I589" t="s">
        <v>59</v>
      </c>
      <c r="J589">
        <f t="shared" si="58"/>
        <v>8.8096060606060611</v>
      </c>
      <c r="K589">
        <v>4376.41</v>
      </c>
    </row>
    <row r="590" spans="1:11" x14ac:dyDescent="0.35">
      <c r="A590" s="1">
        <v>37987</v>
      </c>
      <c r="B590" t="s">
        <v>5</v>
      </c>
      <c r="C590" t="s">
        <v>38</v>
      </c>
      <c r="D590">
        <v>36614</v>
      </c>
      <c r="E590">
        <v>62901</v>
      </c>
      <c r="F590">
        <f t="shared" si="56"/>
        <v>1.7179494182553121</v>
      </c>
      <c r="G590">
        <f t="shared" si="57"/>
        <v>77.926185612060962</v>
      </c>
      <c r="H590">
        <v>309.85000000000002</v>
      </c>
      <c r="I590" t="s">
        <v>38</v>
      </c>
      <c r="J590">
        <f>H590/45.36</f>
        <v>6.8309082892416235</v>
      </c>
      <c r="K590">
        <v>1100.6600000000001</v>
      </c>
    </row>
    <row r="591" spans="1:11" x14ac:dyDescent="0.35">
      <c r="A591" s="1">
        <v>38018</v>
      </c>
      <c r="B591" t="s">
        <v>5</v>
      </c>
      <c r="C591" t="s">
        <v>38</v>
      </c>
      <c r="D591">
        <v>24847</v>
      </c>
      <c r="E591">
        <v>37567</v>
      </c>
      <c r="F591">
        <f t="shared" si="56"/>
        <v>1.5119330301444842</v>
      </c>
      <c r="G591">
        <f t="shared" si="57"/>
        <v>68.581282247353798</v>
      </c>
      <c r="H591">
        <v>338.46600000000001</v>
      </c>
      <c r="I591" t="s">
        <v>38</v>
      </c>
      <c r="J591">
        <f t="shared" ref="J591:J654" si="59">H591/45.36</f>
        <v>7.4617724867724871</v>
      </c>
      <c r="K591">
        <v>1100.6600000000001</v>
      </c>
    </row>
    <row r="592" spans="1:11" x14ac:dyDescent="0.35">
      <c r="A592" s="1">
        <v>38047</v>
      </c>
      <c r="B592" t="s">
        <v>5</v>
      </c>
      <c r="C592" t="s">
        <v>38</v>
      </c>
      <c r="D592">
        <v>21025</v>
      </c>
      <c r="E592">
        <v>39398</v>
      </c>
      <c r="F592">
        <f t="shared" si="56"/>
        <v>1.8738644470868013</v>
      </c>
      <c r="G592">
        <f t="shared" si="57"/>
        <v>84.998491319857308</v>
      </c>
      <c r="H592">
        <v>335.07749999999999</v>
      </c>
      <c r="I592" t="s">
        <v>38</v>
      </c>
      <c r="J592">
        <f t="shared" si="59"/>
        <v>7.387070105820106</v>
      </c>
      <c r="K592">
        <v>1100.6600000000001</v>
      </c>
    </row>
    <row r="593" spans="1:11" x14ac:dyDescent="0.35">
      <c r="A593" s="1">
        <v>38078</v>
      </c>
      <c r="B593" t="s">
        <v>5</v>
      </c>
      <c r="C593" t="s">
        <v>38</v>
      </c>
      <c r="D593">
        <v>38864</v>
      </c>
      <c r="E593">
        <v>85095</v>
      </c>
      <c r="F593">
        <f t="shared" si="56"/>
        <v>2.1895584602717166</v>
      </c>
      <c r="G593">
        <f t="shared" si="57"/>
        <v>99.318371757925064</v>
      </c>
      <c r="H593">
        <v>430.49</v>
      </c>
      <c r="I593" t="s">
        <v>38</v>
      </c>
      <c r="J593">
        <f t="shared" si="59"/>
        <v>9.4905202821869494</v>
      </c>
      <c r="K593">
        <v>1100.6600000000001</v>
      </c>
    </row>
    <row r="594" spans="1:11" x14ac:dyDescent="0.35">
      <c r="A594" s="1">
        <v>38108</v>
      </c>
      <c r="B594" t="s">
        <v>5</v>
      </c>
      <c r="C594" t="s">
        <v>38</v>
      </c>
      <c r="D594">
        <v>24969</v>
      </c>
      <c r="E594">
        <v>81151</v>
      </c>
      <c r="F594">
        <f t="shared" si="56"/>
        <v>3.2500700869077654</v>
      </c>
      <c r="G594">
        <f t="shared" si="57"/>
        <v>147.42317914213623</v>
      </c>
      <c r="H594">
        <v>442.3506666666666</v>
      </c>
      <c r="I594" t="s">
        <v>38</v>
      </c>
      <c r="J594">
        <f t="shared" si="59"/>
        <v>9.7519988242210456</v>
      </c>
      <c r="K594">
        <v>1100.6600000000001</v>
      </c>
    </row>
    <row r="595" spans="1:11" x14ac:dyDescent="0.35">
      <c r="A595" s="1">
        <v>38139</v>
      </c>
      <c r="B595" t="s">
        <v>5</v>
      </c>
      <c r="C595" t="s">
        <v>38</v>
      </c>
      <c r="D595">
        <v>28586</v>
      </c>
      <c r="E595">
        <v>103222</v>
      </c>
      <c r="F595">
        <f t="shared" si="56"/>
        <v>3.6109284265024839</v>
      </c>
      <c r="G595">
        <f t="shared" si="57"/>
        <v>163.79171342615265</v>
      </c>
      <c r="H595">
        <v>547.91750000000002</v>
      </c>
      <c r="I595" t="s">
        <v>38</v>
      </c>
      <c r="J595">
        <f t="shared" si="59"/>
        <v>12.079309964726631</v>
      </c>
      <c r="K595">
        <v>1100.6600000000001</v>
      </c>
    </row>
    <row r="596" spans="1:11" x14ac:dyDescent="0.35">
      <c r="A596" s="1">
        <v>38169</v>
      </c>
      <c r="B596" t="s">
        <v>5</v>
      </c>
      <c r="C596" t="s">
        <v>38</v>
      </c>
      <c r="D596">
        <v>39617</v>
      </c>
      <c r="E596">
        <v>86092</v>
      </c>
      <c r="F596">
        <f t="shared" si="56"/>
        <v>2.1731075043541912</v>
      </c>
      <c r="G596">
        <f t="shared" si="57"/>
        <v>98.572156397506106</v>
      </c>
      <c r="H596">
        <v>462.64000000000004</v>
      </c>
      <c r="I596" t="s">
        <v>38</v>
      </c>
      <c r="J596">
        <f t="shared" si="59"/>
        <v>10.199294532627867</v>
      </c>
      <c r="K596">
        <v>1100.6600000000001</v>
      </c>
    </row>
    <row r="597" spans="1:11" x14ac:dyDescent="0.35">
      <c r="A597" s="1">
        <v>38200</v>
      </c>
      <c r="B597" t="s">
        <v>5</v>
      </c>
      <c r="C597" t="s">
        <v>38</v>
      </c>
      <c r="D597">
        <v>50956</v>
      </c>
      <c r="E597">
        <v>103997</v>
      </c>
      <c r="F597">
        <f t="shared" si="56"/>
        <v>2.0409176544469738</v>
      </c>
      <c r="G597">
        <f t="shared" si="57"/>
        <v>92.576024805714738</v>
      </c>
      <c r="H597">
        <v>388.10804999999999</v>
      </c>
      <c r="I597" t="s">
        <v>38</v>
      </c>
      <c r="J597">
        <f t="shared" si="59"/>
        <v>8.5561739417989422</v>
      </c>
      <c r="K597">
        <v>1100.6600000000001</v>
      </c>
    </row>
    <row r="598" spans="1:11" x14ac:dyDescent="0.35">
      <c r="A598" s="1">
        <v>38231</v>
      </c>
      <c r="B598" t="s">
        <v>5</v>
      </c>
      <c r="C598" t="s">
        <v>38</v>
      </c>
      <c r="D598">
        <v>42798</v>
      </c>
      <c r="E598">
        <v>86360</v>
      </c>
      <c r="F598">
        <f t="shared" si="56"/>
        <v>2.0178513014626853</v>
      </c>
      <c r="G598">
        <f t="shared" si="57"/>
        <v>91.529735034347411</v>
      </c>
      <c r="H598">
        <v>386.4</v>
      </c>
      <c r="I598" t="s">
        <v>38</v>
      </c>
      <c r="J598">
        <f t="shared" si="59"/>
        <v>8.5185185185185173</v>
      </c>
      <c r="K598">
        <v>1100.6600000000001</v>
      </c>
    </row>
    <row r="599" spans="1:11" x14ac:dyDescent="0.35">
      <c r="A599" s="1">
        <v>38261</v>
      </c>
      <c r="B599" t="s">
        <v>5</v>
      </c>
      <c r="C599" t="s">
        <v>38</v>
      </c>
      <c r="D599">
        <v>38749</v>
      </c>
      <c r="E599">
        <v>55158</v>
      </c>
      <c r="F599">
        <f t="shared" si="56"/>
        <v>1.4234689927482</v>
      </c>
      <c r="G599">
        <f t="shared" si="57"/>
        <v>64.568553511058354</v>
      </c>
      <c r="H599">
        <v>376.52875</v>
      </c>
      <c r="I599" t="s">
        <v>38</v>
      </c>
      <c r="J599">
        <f t="shared" si="59"/>
        <v>8.3008983686067026</v>
      </c>
      <c r="K599">
        <v>1100.6600000000001</v>
      </c>
    </row>
    <row r="600" spans="1:11" x14ac:dyDescent="0.35">
      <c r="A600" s="1">
        <v>38292</v>
      </c>
      <c r="B600" t="s">
        <v>5</v>
      </c>
      <c r="C600" t="s">
        <v>38</v>
      </c>
      <c r="D600">
        <v>25112</v>
      </c>
      <c r="E600">
        <v>42582</v>
      </c>
      <c r="F600">
        <f t="shared" si="56"/>
        <v>1.6956833386428798</v>
      </c>
      <c r="G600">
        <f t="shared" si="57"/>
        <v>76.916196240841032</v>
      </c>
      <c r="H600">
        <v>358.72</v>
      </c>
      <c r="I600" t="s">
        <v>38</v>
      </c>
      <c r="J600">
        <f t="shared" si="59"/>
        <v>7.9082892416225761</v>
      </c>
      <c r="K600">
        <v>1100.6600000000001</v>
      </c>
    </row>
    <row r="601" spans="1:11" x14ac:dyDescent="0.35">
      <c r="A601" s="1">
        <v>38322</v>
      </c>
      <c r="B601" t="s">
        <v>5</v>
      </c>
      <c r="C601" t="s">
        <v>38</v>
      </c>
      <c r="D601">
        <v>29610</v>
      </c>
      <c r="E601">
        <v>47781</v>
      </c>
      <c r="F601">
        <f t="shared" si="56"/>
        <v>1.613677811550152</v>
      </c>
      <c r="G601">
        <f t="shared" si="57"/>
        <v>73.196425531914898</v>
      </c>
      <c r="H601">
        <v>355.58333333333331</v>
      </c>
      <c r="I601" t="s">
        <v>38</v>
      </c>
      <c r="J601">
        <f t="shared" si="59"/>
        <v>7.8391387419165195</v>
      </c>
      <c r="K601">
        <v>1100.6600000000001</v>
      </c>
    </row>
    <row r="602" spans="1:11" x14ac:dyDescent="0.35">
      <c r="A602" s="1">
        <v>37987</v>
      </c>
      <c r="B602" t="s">
        <v>7</v>
      </c>
      <c r="C602" t="s">
        <v>38</v>
      </c>
      <c r="D602">
        <v>5505</v>
      </c>
      <c r="E602">
        <v>53424</v>
      </c>
      <c r="F602">
        <f t="shared" si="56"/>
        <v>9.7046321525885553</v>
      </c>
      <c r="G602">
        <f t="shared" si="57"/>
        <v>440.20211444141688</v>
      </c>
      <c r="H602">
        <v>127.83374999999999</v>
      </c>
      <c r="I602" t="s">
        <v>38</v>
      </c>
      <c r="J602">
        <f t="shared" si="59"/>
        <v>2.8182043650793651</v>
      </c>
      <c r="K602">
        <v>3591.85</v>
      </c>
    </row>
    <row r="603" spans="1:11" x14ac:dyDescent="0.35">
      <c r="A603" s="1">
        <v>38018</v>
      </c>
      <c r="B603" t="s">
        <v>7</v>
      </c>
      <c r="C603" t="s">
        <v>38</v>
      </c>
      <c r="D603">
        <v>6311</v>
      </c>
      <c r="E603">
        <v>62456</v>
      </c>
      <c r="F603">
        <f t="shared" si="56"/>
        <v>9.8963714149896997</v>
      </c>
      <c r="G603">
        <f t="shared" si="57"/>
        <v>448.89940738393278</v>
      </c>
      <c r="H603">
        <v>199.96875</v>
      </c>
      <c r="I603" t="s">
        <v>38</v>
      </c>
      <c r="J603">
        <f t="shared" si="59"/>
        <v>4.4084821428571432</v>
      </c>
      <c r="K603">
        <v>3591.85</v>
      </c>
    </row>
    <row r="604" spans="1:11" x14ac:dyDescent="0.35">
      <c r="A604" s="1">
        <v>38047</v>
      </c>
      <c r="B604" t="s">
        <v>7</v>
      </c>
      <c r="C604" t="s">
        <v>38</v>
      </c>
      <c r="D604">
        <v>8166</v>
      </c>
      <c r="E604">
        <v>77740</v>
      </c>
      <c r="F604">
        <f t="shared" si="56"/>
        <v>9.5199608131276019</v>
      </c>
      <c r="G604">
        <f t="shared" si="57"/>
        <v>431.825422483468</v>
      </c>
      <c r="H604">
        <v>262.33125000000001</v>
      </c>
      <c r="I604" t="s">
        <v>38</v>
      </c>
      <c r="J604">
        <f t="shared" si="59"/>
        <v>5.7833167989417991</v>
      </c>
      <c r="K604">
        <v>3591.85</v>
      </c>
    </row>
    <row r="605" spans="1:11" x14ac:dyDescent="0.35">
      <c r="A605" s="1">
        <v>38078</v>
      </c>
      <c r="B605" t="s">
        <v>7</v>
      </c>
      <c r="C605" t="s">
        <v>38</v>
      </c>
      <c r="D605">
        <v>8320</v>
      </c>
      <c r="E605">
        <v>76606</v>
      </c>
      <c r="F605">
        <f t="shared" si="56"/>
        <v>9.2074519230769223</v>
      </c>
      <c r="G605">
        <f t="shared" si="57"/>
        <v>417.6500192307692</v>
      </c>
      <c r="H605">
        <v>474.76599999999996</v>
      </c>
      <c r="I605" t="s">
        <v>38</v>
      </c>
      <c r="J605">
        <f t="shared" si="59"/>
        <v>10.466622574955908</v>
      </c>
      <c r="K605">
        <v>3591.85</v>
      </c>
    </row>
    <row r="606" spans="1:11" x14ac:dyDescent="0.35">
      <c r="A606" s="1">
        <v>38108</v>
      </c>
      <c r="B606" t="s">
        <v>7</v>
      </c>
      <c r="C606" t="s">
        <v>38</v>
      </c>
      <c r="D606">
        <v>4634</v>
      </c>
      <c r="E606">
        <v>39894</v>
      </c>
      <c r="F606">
        <f t="shared" si="56"/>
        <v>8.6089771255934391</v>
      </c>
      <c r="G606">
        <f t="shared" si="57"/>
        <v>390.50320241691838</v>
      </c>
      <c r="H606">
        <v>364.7</v>
      </c>
      <c r="I606" t="s">
        <v>38</v>
      </c>
      <c r="J606">
        <f t="shared" si="59"/>
        <v>8.0401234567901234</v>
      </c>
      <c r="K606">
        <v>3591.85</v>
      </c>
    </row>
    <row r="607" spans="1:11" x14ac:dyDescent="0.35">
      <c r="A607" s="1">
        <v>38139</v>
      </c>
      <c r="B607" t="s">
        <v>7</v>
      </c>
      <c r="C607" t="s">
        <v>38</v>
      </c>
      <c r="D607">
        <v>5581</v>
      </c>
      <c r="E607">
        <v>45471</v>
      </c>
      <c r="F607">
        <f t="shared" si="56"/>
        <v>8.1474646120766891</v>
      </c>
      <c r="G607">
        <f t="shared" si="57"/>
        <v>369.5689948037986</v>
      </c>
      <c r="H607">
        <v>291.60000000000002</v>
      </c>
      <c r="I607" t="s">
        <v>38</v>
      </c>
      <c r="J607">
        <f t="shared" si="59"/>
        <v>6.4285714285714288</v>
      </c>
      <c r="K607">
        <v>3591.85</v>
      </c>
    </row>
    <row r="608" spans="1:11" x14ac:dyDescent="0.35">
      <c r="A608" s="1">
        <v>38169</v>
      </c>
      <c r="B608" t="s">
        <v>7</v>
      </c>
      <c r="C608" t="s">
        <v>38</v>
      </c>
      <c r="D608">
        <v>4879</v>
      </c>
      <c r="E608">
        <v>46711</v>
      </c>
      <c r="F608">
        <f t="shared" si="56"/>
        <v>9.573888091822095</v>
      </c>
      <c r="G608">
        <f t="shared" si="57"/>
        <v>434.2715638450502</v>
      </c>
      <c r="H608">
        <v>286.66599999999994</v>
      </c>
      <c r="I608" t="s">
        <v>38</v>
      </c>
      <c r="J608">
        <f t="shared" si="59"/>
        <v>6.3197971781305098</v>
      </c>
      <c r="K608">
        <v>3591.85</v>
      </c>
    </row>
    <row r="609" spans="1:11" x14ac:dyDescent="0.35">
      <c r="A609" s="1">
        <v>38200</v>
      </c>
      <c r="B609" t="s">
        <v>7</v>
      </c>
      <c r="C609" t="s">
        <v>38</v>
      </c>
      <c r="D609">
        <v>2875</v>
      </c>
      <c r="E609">
        <v>25155</v>
      </c>
      <c r="F609">
        <f t="shared" si="56"/>
        <v>8.7495652173913037</v>
      </c>
      <c r="G609">
        <f t="shared" si="57"/>
        <v>396.88027826086955</v>
      </c>
      <c r="H609">
        <v>293.7</v>
      </c>
      <c r="I609" t="s">
        <v>38</v>
      </c>
      <c r="J609">
        <f t="shared" si="59"/>
        <v>6.4748677248677247</v>
      </c>
      <c r="K609">
        <v>3591.85</v>
      </c>
    </row>
    <row r="610" spans="1:11" x14ac:dyDescent="0.35">
      <c r="A610" s="1">
        <v>38231</v>
      </c>
      <c r="B610" t="s">
        <v>7</v>
      </c>
      <c r="C610" t="s">
        <v>38</v>
      </c>
      <c r="D610">
        <v>5858</v>
      </c>
      <c r="E610">
        <v>49379</v>
      </c>
      <c r="F610">
        <f t="shared" si="56"/>
        <v>8.4293274155001701</v>
      </c>
      <c r="G610">
        <f t="shared" si="57"/>
        <v>382.35429156708773</v>
      </c>
      <c r="H610">
        <v>270</v>
      </c>
      <c r="I610" t="s">
        <v>38</v>
      </c>
      <c r="J610">
        <f t="shared" si="59"/>
        <v>5.9523809523809526</v>
      </c>
      <c r="K610">
        <v>3591.85</v>
      </c>
    </row>
    <row r="611" spans="1:11" x14ac:dyDescent="0.35">
      <c r="A611" s="1">
        <v>38261</v>
      </c>
      <c r="B611" t="s">
        <v>7</v>
      </c>
      <c r="C611" t="s">
        <v>38</v>
      </c>
      <c r="D611">
        <v>6434</v>
      </c>
      <c r="E611">
        <v>54129</v>
      </c>
      <c r="F611">
        <f t="shared" si="56"/>
        <v>8.4129623873173767</v>
      </c>
      <c r="G611">
        <f t="shared" si="57"/>
        <v>381.61197388871619</v>
      </c>
      <c r="H611">
        <v>245.1</v>
      </c>
      <c r="I611" t="s">
        <v>38</v>
      </c>
      <c r="J611">
        <f t="shared" si="59"/>
        <v>5.4034391534391535</v>
      </c>
      <c r="K611">
        <v>3591.85</v>
      </c>
    </row>
    <row r="612" spans="1:11" x14ac:dyDescent="0.35">
      <c r="A612" s="1">
        <v>38292</v>
      </c>
      <c r="B612" t="s">
        <v>7</v>
      </c>
      <c r="C612" t="s">
        <v>38</v>
      </c>
      <c r="D612">
        <v>5171</v>
      </c>
      <c r="E612">
        <v>33891</v>
      </c>
      <c r="F612">
        <f t="shared" si="56"/>
        <v>6.5540514407271324</v>
      </c>
      <c r="G612">
        <f t="shared" si="57"/>
        <v>297.29177335138274</v>
      </c>
      <c r="H612">
        <v>427</v>
      </c>
      <c r="I612" t="s">
        <v>38</v>
      </c>
      <c r="J612">
        <f t="shared" si="59"/>
        <v>9.4135802469135808</v>
      </c>
      <c r="K612">
        <v>3591.85</v>
      </c>
    </row>
    <row r="613" spans="1:11" x14ac:dyDescent="0.35">
      <c r="A613" s="1">
        <v>38322</v>
      </c>
      <c r="B613" t="s">
        <v>7</v>
      </c>
      <c r="C613" t="s">
        <v>38</v>
      </c>
      <c r="D613">
        <v>4708</v>
      </c>
      <c r="E613">
        <v>43858</v>
      </c>
      <c r="F613">
        <f t="shared" si="56"/>
        <v>9.3156329651656762</v>
      </c>
      <c r="G613">
        <f t="shared" si="57"/>
        <v>422.55711129991505</v>
      </c>
      <c r="H613">
        <v>425.97333333333336</v>
      </c>
      <c r="I613" t="s">
        <v>38</v>
      </c>
      <c r="J613">
        <f t="shared" si="59"/>
        <v>9.3909465020576146</v>
      </c>
      <c r="K613">
        <v>3591.85</v>
      </c>
    </row>
    <row r="614" spans="1:11" x14ac:dyDescent="0.35">
      <c r="A614" s="1">
        <v>37987</v>
      </c>
      <c r="B614" t="s">
        <v>8</v>
      </c>
      <c r="C614" t="s">
        <v>38</v>
      </c>
      <c r="D614">
        <v>5425</v>
      </c>
      <c r="E614">
        <v>45581</v>
      </c>
      <c r="F614">
        <f t="shared" si="56"/>
        <v>8.402027649769586</v>
      </c>
      <c r="G614">
        <f t="shared" si="57"/>
        <v>381.11597419354842</v>
      </c>
      <c r="H614">
        <v>398.5</v>
      </c>
      <c r="I614" t="s">
        <v>38</v>
      </c>
      <c r="J614">
        <f t="shared" si="59"/>
        <v>8.7852733686067026</v>
      </c>
      <c r="K614">
        <v>3985.16</v>
      </c>
    </row>
    <row r="615" spans="1:11" x14ac:dyDescent="0.35">
      <c r="A615" s="1">
        <v>38018</v>
      </c>
      <c r="B615" t="s">
        <v>8</v>
      </c>
      <c r="C615" t="s">
        <v>38</v>
      </c>
      <c r="D615">
        <v>4361</v>
      </c>
      <c r="E615">
        <v>41382</v>
      </c>
      <c r="F615">
        <f t="shared" si="56"/>
        <v>9.4891080027516619</v>
      </c>
      <c r="G615">
        <f t="shared" si="57"/>
        <v>430.4259390048154</v>
      </c>
      <c r="H615">
        <v>478.125</v>
      </c>
      <c r="I615" t="s">
        <v>38</v>
      </c>
      <c r="J615">
        <f t="shared" si="59"/>
        <v>10.540674603174603</v>
      </c>
      <c r="K615">
        <v>3985.16</v>
      </c>
    </row>
    <row r="616" spans="1:11" x14ac:dyDescent="0.35">
      <c r="A616" s="1">
        <v>38047</v>
      </c>
      <c r="B616" t="s">
        <v>8</v>
      </c>
      <c r="C616" t="s">
        <v>38</v>
      </c>
      <c r="D616">
        <v>4076</v>
      </c>
      <c r="E616">
        <v>37516</v>
      </c>
      <c r="F616">
        <f t="shared" si="56"/>
        <v>9.2041216879293426</v>
      </c>
      <c r="G616">
        <f t="shared" si="57"/>
        <v>417.49895976447499</v>
      </c>
      <c r="H616">
        <v>510</v>
      </c>
      <c r="I616" t="s">
        <v>38</v>
      </c>
      <c r="J616">
        <f t="shared" si="59"/>
        <v>11.243386243386244</v>
      </c>
      <c r="K616">
        <v>3985.16</v>
      </c>
    </row>
    <row r="617" spans="1:11" x14ac:dyDescent="0.35">
      <c r="A617" s="1">
        <v>38078</v>
      </c>
      <c r="B617" t="s">
        <v>8</v>
      </c>
      <c r="C617" t="s">
        <v>38</v>
      </c>
      <c r="D617">
        <v>3614</v>
      </c>
      <c r="E617">
        <v>31586</v>
      </c>
      <c r="F617">
        <f t="shared" si="56"/>
        <v>8.7399003873824022</v>
      </c>
      <c r="G617">
        <f t="shared" si="57"/>
        <v>396.44188157166576</v>
      </c>
      <c r="H617">
        <v>593.5</v>
      </c>
      <c r="I617" t="s">
        <v>38</v>
      </c>
      <c r="J617">
        <f t="shared" si="59"/>
        <v>13.084215167548502</v>
      </c>
      <c r="K617">
        <v>3985.16</v>
      </c>
    </row>
    <row r="618" spans="1:11" x14ac:dyDescent="0.35">
      <c r="A618" s="1">
        <v>38108</v>
      </c>
      <c r="B618" t="s">
        <v>8</v>
      </c>
      <c r="C618" t="s">
        <v>38</v>
      </c>
      <c r="D618">
        <v>3983</v>
      </c>
      <c r="E618">
        <v>37400</v>
      </c>
      <c r="F618">
        <f t="shared" si="56"/>
        <v>9.3899071051970875</v>
      </c>
      <c r="G618">
        <f t="shared" si="57"/>
        <v>425.9261862917399</v>
      </c>
      <c r="H618">
        <v>631.25</v>
      </c>
      <c r="I618" t="s">
        <v>38</v>
      </c>
      <c r="J618">
        <f t="shared" si="59"/>
        <v>13.916446208112875</v>
      </c>
      <c r="K618">
        <v>3985.16</v>
      </c>
    </row>
    <row r="619" spans="1:11" x14ac:dyDescent="0.35">
      <c r="A619" s="1">
        <v>38139</v>
      </c>
      <c r="B619" t="s">
        <v>8</v>
      </c>
      <c r="C619" t="s">
        <v>38</v>
      </c>
      <c r="D619">
        <v>3019</v>
      </c>
      <c r="E619">
        <v>27016</v>
      </c>
      <c r="F619">
        <f t="shared" si="56"/>
        <v>8.9486584961907916</v>
      </c>
      <c r="G619">
        <f t="shared" si="57"/>
        <v>405.91114938721432</v>
      </c>
      <c r="H619">
        <v>862.5</v>
      </c>
      <c r="I619" t="s">
        <v>38</v>
      </c>
      <c r="J619">
        <f t="shared" si="59"/>
        <v>19.014550264550266</v>
      </c>
      <c r="K619">
        <v>3985.16</v>
      </c>
    </row>
    <row r="620" spans="1:11" x14ac:dyDescent="0.35">
      <c r="A620" s="1">
        <v>38169</v>
      </c>
      <c r="B620" t="s">
        <v>8</v>
      </c>
      <c r="C620" t="s">
        <v>38</v>
      </c>
      <c r="D620">
        <v>2183</v>
      </c>
      <c r="E620">
        <v>23864</v>
      </c>
      <c r="F620">
        <f t="shared" si="56"/>
        <v>10.931745304626661</v>
      </c>
      <c r="G620">
        <f t="shared" si="57"/>
        <v>495.86396701786532</v>
      </c>
      <c r="H620">
        <v>775</v>
      </c>
      <c r="I620" t="s">
        <v>38</v>
      </c>
      <c r="J620">
        <f t="shared" si="59"/>
        <v>17.085537918871253</v>
      </c>
      <c r="K620">
        <v>3985.16</v>
      </c>
    </row>
    <row r="621" spans="1:11" x14ac:dyDescent="0.35">
      <c r="A621" s="1">
        <v>38200</v>
      </c>
      <c r="B621" t="s">
        <v>8</v>
      </c>
      <c r="C621" t="s">
        <v>38</v>
      </c>
      <c r="D621">
        <v>2342</v>
      </c>
      <c r="E621">
        <v>17371</v>
      </c>
      <c r="F621">
        <f t="shared" si="56"/>
        <v>7.4171648163962427</v>
      </c>
      <c r="G621">
        <f t="shared" si="57"/>
        <v>336.44259607173359</v>
      </c>
      <c r="H621">
        <v>693.75</v>
      </c>
      <c r="I621" t="s">
        <v>38</v>
      </c>
      <c r="J621">
        <f t="shared" si="59"/>
        <v>15.294312169312169</v>
      </c>
      <c r="K621">
        <v>3985.16</v>
      </c>
    </row>
    <row r="622" spans="1:11" x14ac:dyDescent="0.35">
      <c r="A622" s="1">
        <v>38231</v>
      </c>
      <c r="B622" t="s">
        <v>8</v>
      </c>
      <c r="C622" t="s">
        <v>38</v>
      </c>
      <c r="D622">
        <v>778</v>
      </c>
      <c r="E622">
        <v>6933</v>
      </c>
      <c r="F622">
        <f t="shared" si="56"/>
        <v>8.9113110539845763</v>
      </c>
      <c r="G622">
        <f t="shared" si="57"/>
        <v>404.21706940874037</v>
      </c>
      <c r="H622">
        <v>455.45</v>
      </c>
      <c r="I622" t="s">
        <v>38</v>
      </c>
      <c r="J622">
        <f t="shared" si="59"/>
        <v>10.040784832451498</v>
      </c>
      <c r="K622">
        <v>3985.16</v>
      </c>
    </row>
    <row r="623" spans="1:11" x14ac:dyDescent="0.35">
      <c r="A623" s="1">
        <v>38261</v>
      </c>
      <c r="B623" t="s">
        <v>8</v>
      </c>
      <c r="C623" t="s">
        <v>38</v>
      </c>
      <c r="D623">
        <v>2736</v>
      </c>
      <c r="E623">
        <v>26789</v>
      </c>
      <c r="F623">
        <f t="shared" si="56"/>
        <v>9.7913011695906427</v>
      </c>
      <c r="G623">
        <f t="shared" si="57"/>
        <v>444.13342105263155</v>
      </c>
      <c r="H623">
        <v>506.25</v>
      </c>
      <c r="I623" t="s">
        <v>38</v>
      </c>
      <c r="J623">
        <f t="shared" si="59"/>
        <v>11.160714285714286</v>
      </c>
      <c r="K623">
        <v>3985.16</v>
      </c>
    </row>
    <row r="624" spans="1:11" x14ac:dyDescent="0.35">
      <c r="A624" s="1">
        <v>38292</v>
      </c>
      <c r="B624" t="s">
        <v>8</v>
      </c>
      <c r="C624" t="s">
        <v>38</v>
      </c>
      <c r="D624">
        <v>2126</v>
      </c>
      <c r="E624">
        <v>17872</v>
      </c>
      <c r="F624">
        <f t="shared" si="56"/>
        <v>8.4063969896519293</v>
      </c>
      <c r="G624">
        <f t="shared" si="57"/>
        <v>381.31416745061154</v>
      </c>
      <c r="H624">
        <v>633</v>
      </c>
      <c r="I624" t="s">
        <v>38</v>
      </c>
      <c r="J624">
        <f t="shared" si="59"/>
        <v>13.955026455026456</v>
      </c>
      <c r="K624">
        <v>3985.16</v>
      </c>
    </row>
    <row r="625" spans="1:11" x14ac:dyDescent="0.35">
      <c r="A625" s="1">
        <v>38322</v>
      </c>
      <c r="B625" t="s">
        <v>8</v>
      </c>
      <c r="C625" t="s">
        <v>38</v>
      </c>
      <c r="D625">
        <v>5610</v>
      </c>
      <c r="E625">
        <v>47180</v>
      </c>
      <c r="F625">
        <f t="shared" si="56"/>
        <v>8.4099821746880572</v>
      </c>
      <c r="G625">
        <f t="shared" si="57"/>
        <v>381.47679144385029</v>
      </c>
      <c r="H625">
        <v>537.5</v>
      </c>
      <c r="I625" t="s">
        <v>38</v>
      </c>
      <c r="J625">
        <f t="shared" si="59"/>
        <v>11.849647266313934</v>
      </c>
      <c r="K625">
        <v>3985.16</v>
      </c>
    </row>
    <row r="626" spans="1:11" x14ac:dyDescent="0.35">
      <c r="A626" s="1">
        <v>37987</v>
      </c>
      <c r="B626" t="s">
        <v>9</v>
      </c>
      <c r="C626" t="s">
        <v>38</v>
      </c>
      <c r="D626">
        <v>3228</v>
      </c>
      <c r="E626">
        <v>64590</v>
      </c>
      <c r="F626">
        <f t="shared" si="56"/>
        <v>20.009293680297397</v>
      </c>
      <c r="G626">
        <f t="shared" si="57"/>
        <v>907.62156133828989</v>
      </c>
      <c r="H626">
        <v>595</v>
      </c>
      <c r="I626" t="s">
        <v>38</v>
      </c>
      <c r="J626">
        <f t="shared" si="59"/>
        <v>13.117283950617285</v>
      </c>
      <c r="K626">
        <v>9274.52</v>
      </c>
    </row>
    <row r="627" spans="1:11" x14ac:dyDescent="0.35">
      <c r="A627" s="1">
        <v>38018</v>
      </c>
      <c r="B627" t="s">
        <v>9</v>
      </c>
      <c r="C627" t="s">
        <v>38</v>
      </c>
      <c r="D627">
        <v>1710</v>
      </c>
      <c r="E627">
        <v>41875</v>
      </c>
      <c r="F627">
        <f t="shared" si="56"/>
        <v>24.488304093567251</v>
      </c>
      <c r="G627">
        <f t="shared" si="57"/>
        <v>1110.7894736842104</v>
      </c>
      <c r="H627">
        <v>895.625</v>
      </c>
      <c r="I627" t="s">
        <v>38</v>
      </c>
      <c r="J627">
        <f t="shared" si="59"/>
        <v>19.744819223985893</v>
      </c>
      <c r="K627">
        <v>9274.52</v>
      </c>
    </row>
    <row r="628" spans="1:11" x14ac:dyDescent="0.35">
      <c r="A628" s="1">
        <v>38047</v>
      </c>
      <c r="B628" t="s">
        <v>9</v>
      </c>
      <c r="C628" t="s">
        <v>38</v>
      </c>
      <c r="D628">
        <v>2989</v>
      </c>
      <c r="E628">
        <v>84589</v>
      </c>
      <c r="F628">
        <f t="shared" si="56"/>
        <v>28.300100368016057</v>
      </c>
      <c r="G628">
        <f t="shared" si="57"/>
        <v>1283.6925526932084</v>
      </c>
      <c r="H628">
        <v>471.25</v>
      </c>
      <c r="I628" t="s">
        <v>38</v>
      </c>
      <c r="J628">
        <f t="shared" si="59"/>
        <v>10.38910934744268</v>
      </c>
      <c r="K628">
        <v>9274.52</v>
      </c>
    </row>
    <row r="629" spans="1:11" x14ac:dyDescent="0.35">
      <c r="A629" s="1">
        <v>38078</v>
      </c>
      <c r="B629" t="s">
        <v>9</v>
      </c>
      <c r="C629" t="s">
        <v>38</v>
      </c>
      <c r="D629">
        <v>3352</v>
      </c>
      <c r="E629">
        <v>102236</v>
      </c>
      <c r="F629">
        <f t="shared" si="56"/>
        <v>30.5</v>
      </c>
      <c r="G629">
        <f t="shared" si="57"/>
        <v>1383.48</v>
      </c>
      <c r="H629">
        <v>381.875</v>
      </c>
      <c r="I629" t="s">
        <v>38</v>
      </c>
      <c r="J629">
        <f t="shared" si="59"/>
        <v>8.4187610229276899</v>
      </c>
      <c r="K629">
        <v>9274.52</v>
      </c>
    </row>
    <row r="630" spans="1:11" x14ac:dyDescent="0.35">
      <c r="A630" s="1">
        <v>38108</v>
      </c>
      <c r="B630" t="s">
        <v>9</v>
      </c>
      <c r="C630" t="s">
        <v>38</v>
      </c>
      <c r="D630">
        <v>2945</v>
      </c>
      <c r="E630">
        <v>70739</v>
      </c>
      <c r="F630">
        <f t="shared" si="56"/>
        <v>24.020033955857386</v>
      </c>
      <c r="G630">
        <f t="shared" si="57"/>
        <v>1089.5487402376909</v>
      </c>
      <c r="H630">
        <v>332</v>
      </c>
      <c r="I630" t="s">
        <v>38</v>
      </c>
      <c r="J630">
        <f t="shared" si="59"/>
        <v>7.3192239858906527</v>
      </c>
      <c r="K630">
        <v>9274.52</v>
      </c>
    </row>
    <row r="631" spans="1:11" x14ac:dyDescent="0.35">
      <c r="A631" s="1">
        <v>38139</v>
      </c>
      <c r="B631" t="s">
        <v>9</v>
      </c>
      <c r="C631" t="s">
        <v>38</v>
      </c>
      <c r="D631">
        <v>4544</v>
      </c>
      <c r="E631">
        <v>106118</v>
      </c>
      <c r="F631">
        <f t="shared" si="56"/>
        <v>23.353433098591548</v>
      </c>
      <c r="G631">
        <f t="shared" si="57"/>
        <v>1059.3117253521127</v>
      </c>
      <c r="H631">
        <v>337.5</v>
      </c>
      <c r="I631" t="s">
        <v>38</v>
      </c>
      <c r="J631">
        <f t="shared" si="59"/>
        <v>7.4404761904761907</v>
      </c>
      <c r="K631">
        <v>9274.52</v>
      </c>
    </row>
    <row r="632" spans="1:11" x14ac:dyDescent="0.35">
      <c r="A632" s="1">
        <v>38169</v>
      </c>
      <c r="B632" t="s">
        <v>9</v>
      </c>
      <c r="C632" t="s">
        <v>38</v>
      </c>
      <c r="D632">
        <v>2084</v>
      </c>
      <c r="E632">
        <v>47897</v>
      </c>
      <c r="F632">
        <f t="shared" si="56"/>
        <v>22.983205374280232</v>
      </c>
      <c r="G632">
        <f t="shared" si="57"/>
        <v>1042.5181957773514</v>
      </c>
      <c r="H632">
        <v>675</v>
      </c>
      <c r="I632" t="s">
        <v>38</v>
      </c>
      <c r="J632">
        <f t="shared" si="59"/>
        <v>14.880952380952381</v>
      </c>
      <c r="K632">
        <v>9274.52</v>
      </c>
    </row>
    <row r="633" spans="1:11" x14ac:dyDescent="0.35">
      <c r="A633" s="1">
        <v>38200</v>
      </c>
      <c r="B633" t="s">
        <v>9</v>
      </c>
      <c r="C633" t="s">
        <v>38</v>
      </c>
      <c r="D633">
        <v>1821</v>
      </c>
      <c r="E633">
        <v>34560</v>
      </c>
      <c r="F633">
        <f t="shared" si="56"/>
        <v>18.978583196046127</v>
      </c>
      <c r="G633">
        <f t="shared" si="57"/>
        <v>860.86853377265231</v>
      </c>
      <c r="H633">
        <v>597.91666666666663</v>
      </c>
      <c r="I633" t="s">
        <v>38</v>
      </c>
      <c r="J633">
        <f t="shared" si="59"/>
        <v>13.181584362139917</v>
      </c>
      <c r="K633">
        <v>9274.52</v>
      </c>
    </row>
    <row r="634" spans="1:11" x14ac:dyDescent="0.35">
      <c r="A634" s="1">
        <v>38231</v>
      </c>
      <c r="B634" t="s">
        <v>9</v>
      </c>
      <c r="C634" t="s">
        <v>38</v>
      </c>
      <c r="D634">
        <v>2061</v>
      </c>
      <c r="E634">
        <v>66879</v>
      </c>
      <c r="F634">
        <f t="shared" si="56"/>
        <v>32.449781659388648</v>
      </c>
      <c r="G634">
        <f t="shared" si="57"/>
        <v>1471.922096069869</v>
      </c>
      <c r="H634">
        <v>600</v>
      </c>
      <c r="I634" t="s">
        <v>38</v>
      </c>
      <c r="J634">
        <f t="shared" si="59"/>
        <v>13.227513227513228</v>
      </c>
      <c r="K634">
        <v>9274.52</v>
      </c>
    </row>
    <row r="635" spans="1:11" x14ac:dyDescent="0.35">
      <c r="A635" s="1">
        <v>38261</v>
      </c>
      <c r="B635" t="s">
        <v>9</v>
      </c>
      <c r="C635" t="s">
        <v>38</v>
      </c>
      <c r="D635">
        <v>3033</v>
      </c>
      <c r="E635">
        <v>76311</v>
      </c>
      <c r="F635">
        <f t="shared" ref="F635:F698" si="60">E635/D635</f>
        <v>25.160237388724035</v>
      </c>
      <c r="G635">
        <f t="shared" si="57"/>
        <v>1141.2683679525221</v>
      </c>
      <c r="H635">
        <v>562.5</v>
      </c>
      <c r="I635" t="s">
        <v>38</v>
      </c>
      <c r="J635">
        <f t="shared" si="59"/>
        <v>12.40079365079365</v>
      </c>
      <c r="K635">
        <v>9274.52</v>
      </c>
    </row>
    <row r="636" spans="1:11" x14ac:dyDescent="0.35">
      <c r="A636" s="1">
        <v>38292</v>
      </c>
      <c r="B636" t="s">
        <v>9</v>
      </c>
      <c r="C636" t="s">
        <v>38</v>
      </c>
      <c r="D636">
        <v>2717</v>
      </c>
      <c r="E636">
        <v>61490</v>
      </c>
      <c r="F636">
        <f t="shared" si="60"/>
        <v>22.631578947368421</v>
      </c>
      <c r="G636">
        <f t="shared" si="57"/>
        <v>1026.5684210526315</v>
      </c>
      <c r="H636">
        <v>750</v>
      </c>
      <c r="I636" t="s">
        <v>38</v>
      </c>
      <c r="J636">
        <f t="shared" si="59"/>
        <v>16.534391534391535</v>
      </c>
      <c r="K636">
        <v>9274.52</v>
      </c>
    </row>
    <row r="637" spans="1:11" x14ac:dyDescent="0.35">
      <c r="A637" s="1">
        <v>38322</v>
      </c>
      <c r="B637" t="s">
        <v>9</v>
      </c>
      <c r="C637" t="s">
        <v>38</v>
      </c>
      <c r="D637">
        <v>2092</v>
      </c>
      <c r="E637">
        <v>54010</v>
      </c>
      <c r="F637">
        <f t="shared" si="60"/>
        <v>25.817399617590823</v>
      </c>
      <c r="G637">
        <f t="shared" si="57"/>
        <v>1171.0772466539197</v>
      </c>
      <c r="H637">
        <v>715</v>
      </c>
      <c r="I637" t="s">
        <v>38</v>
      </c>
      <c r="J637">
        <f t="shared" si="59"/>
        <v>15.76278659611993</v>
      </c>
      <c r="K637">
        <v>9274.52</v>
      </c>
    </row>
    <row r="638" spans="1:11" x14ac:dyDescent="0.35">
      <c r="A638" s="1">
        <v>37987</v>
      </c>
      <c r="B638" t="s">
        <v>10</v>
      </c>
      <c r="C638" t="s">
        <v>38</v>
      </c>
      <c r="D638">
        <v>9548</v>
      </c>
      <c r="E638">
        <v>231001</v>
      </c>
      <c r="F638">
        <f t="shared" si="60"/>
        <v>24.193653121072476</v>
      </c>
      <c r="G638">
        <f t="shared" si="57"/>
        <v>1097.4241055718476</v>
      </c>
      <c r="H638">
        <v>666.66666666666674</v>
      </c>
      <c r="I638" t="s">
        <v>38</v>
      </c>
      <c r="J638">
        <f t="shared" si="59"/>
        <v>14.697236919459144</v>
      </c>
      <c r="K638">
        <v>2563.46</v>
      </c>
    </row>
    <row r="639" spans="1:11" x14ac:dyDescent="0.35">
      <c r="A639" s="1">
        <v>38018</v>
      </c>
      <c r="B639" t="s">
        <v>10</v>
      </c>
      <c r="C639" t="s">
        <v>38</v>
      </c>
      <c r="D639">
        <v>8865</v>
      </c>
      <c r="E639">
        <v>187609</v>
      </c>
      <c r="F639">
        <f t="shared" si="60"/>
        <v>21.162887760857306</v>
      </c>
      <c r="G639">
        <f t="shared" si="57"/>
        <v>959.94858883248742</v>
      </c>
      <c r="H639">
        <v>698.33333333333337</v>
      </c>
      <c r="I639" t="s">
        <v>38</v>
      </c>
      <c r="J639">
        <f t="shared" si="59"/>
        <v>15.395355673133452</v>
      </c>
      <c r="K639">
        <v>2563.46</v>
      </c>
    </row>
    <row r="640" spans="1:11" x14ac:dyDescent="0.35">
      <c r="A640" s="1">
        <v>38047</v>
      </c>
      <c r="B640" t="s">
        <v>10</v>
      </c>
      <c r="C640" t="s">
        <v>38</v>
      </c>
      <c r="D640">
        <v>8585</v>
      </c>
      <c r="E640">
        <v>147841</v>
      </c>
      <c r="F640">
        <f t="shared" si="60"/>
        <v>17.22085032032615</v>
      </c>
      <c r="G640">
        <f t="shared" si="57"/>
        <v>781.1377705299941</v>
      </c>
      <c r="H640">
        <v>795</v>
      </c>
      <c r="I640" t="s">
        <v>38</v>
      </c>
      <c r="J640">
        <f t="shared" si="59"/>
        <v>17.526455026455025</v>
      </c>
      <c r="K640">
        <v>2563.46</v>
      </c>
    </row>
    <row r="641" spans="1:11" x14ac:dyDescent="0.35">
      <c r="A641" s="1">
        <v>38078</v>
      </c>
      <c r="B641" t="s">
        <v>10</v>
      </c>
      <c r="C641" t="s">
        <v>38</v>
      </c>
      <c r="D641">
        <v>8286</v>
      </c>
      <c r="E641">
        <v>155360</v>
      </c>
      <c r="F641">
        <f t="shared" si="60"/>
        <v>18.749698286265989</v>
      </c>
      <c r="G641">
        <f t="shared" si="57"/>
        <v>850.48631426502527</v>
      </c>
      <c r="H641">
        <v>880.83333333333337</v>
      </c>
      <c r="I641" t="s">
        <v>38</v>
      </c>
      <c r="J641">
        <f t="shared" si="59"/>
        <v>19.418724279835391</v>
      </c>
      <c r="K641">
        <v>2563.46</v>
      </c>
    </row>
    <row r="642" spans="1:11" x14ac:dyDescent="0.35">
      <c r="A642" s="1">
        <v>38108</v>
      </c>
      <c r="B642" t="s">
        <v>10</v>
      </c>
      <c r="C642" t="s">
        <v>38</v>
      </c>
      <c r="D642">
        <v>6758</v>
      </c>
      <c r="E642">
        <v>120699</v>
      </c>
      <c r="F642">
        <f t="shared" si="60"/>
        <v>17.86016572950577</v>
      </c>
      <c r="G642">
        <f t="shared" si="57"/>
        <v>810.13711749038168</v>
      </c>
      <c r="H642">
        <v>825</v>
      </c>
      <c r="I642" t="s">
        <v>38</v>
      </c>
      <c r="J642">
        <f t="shared" si="59"/>
        <v>18.187830687830687</v>
      </c>
      <c r="K642">
        <v>2563.46</v>
      </c>
    </row>
    <row r="643" spans="1:11" x14ac:dyDescent="0.35">
      <c r="A643" s="1">
        <v>38139</v>
      </c>
      <c r="B643" t="s">
        <v>10</v>
      </c>
      <c r="C643" t="s">
        <v>38</v>
      </c>
      <c r="D643">
        <v>7795</v>
      </c>
      <c r="E643">
        <v>101147</v>
      </c>
      <c r="F643">
        <f t="shared" si="60"/>
        <v>12.9758819756254</v>
      </c>
      <c r="G643">
        <f t="shared" ref="G643:G684" si="61">F643*45.36</f>
        <v>588.58600641436817</v>
      </c>
      <c r="H643">
        <v>938.41875000000005</v>
      </c>
      <c r="I643" t="s">
        <v>38</v>
      </c>
      <c r="J643">
        <f t="shared" si="59"/>
        <v>20.688244047619047</v>
      </c>
      <c r="K643">
        <v>2563.46</v>
      </c>
    </row>
    <row r="644" spans="1:11" x14ac:dyDescent="0.35">
      <c r="A644" s="1">
        <v>38169</v>
      </c>
      <c r="B644" t="s">
        <v>10</v>
      </c>
      <c r="C644" t="s">
        <v>38</v>
      </c>
      <c r="D644">
        <v>4645</v>
      </c>
      <c r="E644">
        <v>84203</v>
      </c>
      <c r="F644">
        <f t="shared" si="60"/>
        <v>18.127664155005384</v>
      </c>
      <c r="G644">
        <f t="shared" si="61"/>
        <v>822.27084607104416</v>
      </c>
      <c r="H644">
        <v>627.08333333333337</v>
      </c>
      <c r="I644" t="s">
        <v>38</v>
      </c>
      <c r="J644">
        <f t="shared" si="59"/>
        <v>13.824588477366255</v>
      </c>
      <c r="K644">
        <v>2563.46</v>
      </c>
    </row>
    <row r="645" spans="1:11" x14ac:dyDescent="0.35">
      <c r="A645" s="1">
        <v>38200</v>
      </c>
      <c r="B645" t="s">
        <v>10</v>
      </c>
      <c r="C645" t="s">
        <v>38</v>
      </c>
      <c r="D645">
        <v>4256</v>
      </c>
      <c r="E645">
        <v>92414</v>
      </c>
      <c r="F645">
        <f t="shared" si="60"/>
        <v>21.713815789473685</v>
      </c>
      <c r="G645">
        <f t="shared" si="61"/>
        <v>984.93868421052639</v>
      </c>
      <c r="H645">
        <v>940</v>
      </c>
      <c r="I645" t="s">
        <v>38</v>
      </c>
      <c r="J645">
        <f t="shared" si="59"/>
        <v>20.723104056437389</v>
      </c>
      <c r="K645">
        <v>2563.46</v>
      </c>
    </row>
    <row r="646" spans="1:11" x14ac:dyDescent="0.35">
      <c r="A646" s="1">
        <v>38231</v>
      </c>
      <c r="B646" t="s">
        <v>10</v>
      </c>
      <c r="C646" t="s">
        <v>38</v>
      </c>
      <c r="D646">
        <v>4894</v>
      </c>
      <c r="E646">
        <v>99295</v>
      </c>
      <c r="F646">
        <f t="shared" si="60"/>
        <v>20.289129546383325</v>
      </c>
      <c r="G646">
        <f t="shared" si="61"/>
        <v>920.31491622394765</v>
      </c>
      <c r="H646">
        <v>957</v>
      </c>
      <c r="I646" t="s">
        <v>38</v>
      </c>
      <c r="J646">
        <f t="shared" si="59"/>
        <v>21.097883597883598</v>
      </c>
      <c r="K646">
        <v>2563.46</v>
      </c>
    </row>
    <row r="647" spans="1:11" x14ac:dyDescent="0.35">
      <c r="A647" s="1">
        <v>38261</v>
      </c>
      <c r="B647" t="s">
        <v>10</v>
      </c>
      <c r="C647" t="s">
        <v>38</v>
      </c>
      <c r="D647">
        <v>4342</v>
      </c>
      <c r="E647">
        <v>69167</v>
      </c>
      <c r="F647">
        <f t="shared" si="60"/>
        <v>15.929755872869645</v>
      </c>
      <c r="G647">
        <f t="shared" si="61"/>
        <v>722.57372639336711</v>
      </c>
      <c r="H647">
        <v>1128.4000000000001</v>
      </c>
      <c r="I647" t="s">
        <v>38</v>
      </c>
      <c r="J647">
        <f t="shared" si="59"/>
        <v>24.876543209876544</v>
      </c>
      <c r="K647">
        <v>2563.46</v>
      </c>
    </row>
    <row r="648" spans="1:11" x14ac:dyDescent="0.35">
      <c r="A648" s="1">
        <v>38292</v>
      </c>
      <c r="B648" t="s">
        <v>10</v>
      </c>
      <c r="C648" t="s">
        <v>38</v>
      </c>
      <c r="D648">
        <v>3361</v>
      </c>
      <c r="E648">
        <v>44037</v>
      </c>
      <c r="F648">
        <f t="shared" si="60"/>
        <v>13.102350490925319</v>
      </c>
      <c r="G648">
        <f t="shared" si="61"/>
        <v>594.32261826837248</v>
      </c>
      <c r="H648">
        <v>1145.9000000000001</v>
      </c>
      <c r="I648" t="s">
        <v>38</v>
      </c>
      <c r="J648">
        <f t="shared" si="59"/>
        <v>25.262345679012348</v>
      </c>
      <c r="K648">
        <v>2563.46</v>
      </c>
    </row>
    <row r="649" spans="1:11" x14ac:dyDescent="0.35">
      <c r="A649" s="1">
        <v>38322</v>
      </c>
      <c r="B649" t="s">
        <v>10</v>
      </c>
      <c r="C649" t="s">
        <v>38</v>
      </c>
      <c r="D649">
        <v>12875</v>
      </c>
      <c r="E649">
        <v>195115</v>
      </c>
      <c r="F649">
        <f t="shared" si="60"/>
        <v>15.154563106796116</v>
      </c>
      <c r="G649">
        <f t="shared" si="61"/>
        <v>687.41098252427184</v>
      </c>
      <c r="H649">
        <v>699.375</v>
      </c>
      <c r="I649" t="s">
        <v>38</v>
      </c>
      <c r="J649">
        <f t="shared" si="59"/>
        <v>15.418320105820106</v>
      </c>
      <c r="K649">
        <v>2563.46</v>
      </c>
    </row>
    <row r="650" spans="1:11" x14ac:dyDescent="0.35">
      <c r="A650" s="1">
        <v>37987</v>
      </c>
      <c r="B650" t="s">
        <v>11</v>
      </c>
      <c r="C650" t="s">
        <v>38</v>
      </c>
      <c r="D650">
        <v>27689</v>
      </c>
      <c r="E650">
        <v>271075</v>
      </c>
      <c r="F650">
        <f t="shared" si="60"/>
        <v>9.7899888042182823</v>
      </c>
      <c r="G650">
        <f t="shared" si="61"/>
        <v>444.07389215934126</v>
      </c>
      <c r="H650">
        <v>123.15576000000001</v>
      </c>
      <c r="I650" t="s">
        <v>38</v>
      </c>
      <c r="J650">
        <f t="shared" si="59"/>
        <v>2.7150740740740744</v>
      </c>
      <c r="K650">
        <v>1852.92</v>
      </c>
    </row>
    <row r="651" spans="1:11" x14ac:dyDescent="0.35">
      <c r="A651" s="1">
        <v>38018</v>
      </c>
      <c r="B651" t="s">
        <v>11</v>
      </c>
      <c r="C651" t="s">
        <v>38</v>
      </c>
      <c r="D651">
        <v>26658</v>
      </c>
      <c r="E651">
        <v>226283</v>
      </c>
      <c r="F651">
        <f t="shared" si="60"/>
        <v>8.4883712206467106</v>
      </c>
      <c r="G651">
        <f t="shared" si="61"/>
        <v>385.03251856853478</v>
      </c>
      <c r="H651">
        <v>163.13093333333336</v>
      </c>
      <c r="I651" t="s">
        <v>38</v>
      </c>
      <c r="J651">
        <f t="shared" si="59"/>
        <v>3.5963609641387424</v>
      </c>
      <c r="K651">
        <v>1852.92</v>
      </c>
    </row>
    <row r="652" spans="1:11" x14ac:dyDescent="0.35">
      <c r="A652" s="1">
        <v>38047</v>
      </c>
      <c r="B652" t="s">
        <v>11</v>
      </c>
      <c r="C652" t="s">
        <v>38</v>
      </c>
      <c r="D652">
        <v>22456</v>
      </c>
      <c r="E652">
        <v>205901</v>
      </c>
      <c r="F652">
        <f t="shared" si="60"/>
        <v>9.1690862130388311</v>
      </c>
      <c r="G652">
        <f t="shared" si="61"/>
        <v>415.90975062344137</v>
      </c>
      <c r="H652">
        <v>258.61675000000002</v>
      </c>
      <c r="I652" t="s">
        <v>38</v>
      </c>
      <c r="J652">
        <f t="shared" si="59"/>
        <v>5.7014274691358029</v>
      </c>
      <c r="K652">
        <v>1852.92</v>
      </c>
    </row>
    <row r="653" spans="1:11" x14ac:dyDescent="0.35">
      <c r="A653" s="1">
        <v>38078</v>
      </c>
      <c r="B653" t="s">
        <v>11</v>
      </c>
      <c r="C653" t="s">
        <v>38</v>
      </c>
      <c r="D653">
        <v>24197</v>
      </c>
      <c r="E653">
        <v>232775</v>
      </c>
      <c r="F653">
        <f t="shared" si="60"/>
        <v>9.6199942141587798</v>
      </c>
      <c r="G653">
        <f t="shared" si="61"/>
        <v>436.36293755424225</v>
      </c>
      <c r="H653">
        <v>505.75666666666666</v>
      </c>
      <c r="I653" t="s">
        <v>38</v>
      </c>
      <c r="J653">
        <f t="shared" si="59"/>
        <v>11.149838330393885</v>
      </c>
      <c r="K653">
        <v>1852.92</v>
      </c>
    </row>
    <row r="654" spans="1:11" x14ac:dyDescent="0.35">
      <c r="A654" s="1">
        <v>38108</v>
      </c>
      <c r="B654" t="s">
        <v>11</v>
      </c>
      <c r="C654" t="s">
        <v>38</v>
      </c>
      <c r="D654">
        <v>15931</v>
      </c>
      <c r="E654">
        <v>152780</v>
      </c>
      <c r="F654">
        <f t="shared" si="60"/>
        <v>9.5901073378946702</v>
      </c>
      <c r="G654">
        <f t="shared" si="61"/>
        <v>435.00726884690221</v>
      </c>
      <c r="H654">
        <v>539</v>
      </c>
      <c r="I654" t="s">
        <v>38</v>
      </c>
      <c r="J654">
        <f t="shared" si="59"/>
        <v>11.882716049382717</v>
      </c>
      <c r="K654">
        <v>1852.92</v>
      </c>
    </row>
    <row r="655" spans="1:11" x14ac:dyDescent="0.35">
      <c r="A655" s="1">
        <v>38139</v>
      </c>
      <c r="B655" t="s">
        <v>11</v>
      </c>
      <c r="C655" t="s">
        <v>38</v>
      </c>
      <c r="D655">
        <v>16957</v>
      </c>
      <c r="E655">
        <v>134004</v>
      </c>
      <c r="F655">
        <f t="shared" si="60"/>
        <v>7.9025771067995514</v>
      </c>
      <c r="G655">
        <f t="shared" si="61"/>
        <v>358.46089756442763</v>
      </c>
      <c r="H655">
        <v>497.83249999999998</v>
      </c>
      <c r="I655" t="s">
        <v>38</v>
      </c>
      <c r="J655">
        <f t="shared" ref="J655:J685" si="62">H655/45.36</f>
        <v>10.975143298059965</v>
      </c>
      <c r="K655">
        <v>1852.92</v>
      </c>
    </row>
    <row r="656" spans="1:11" x14ac:dyDescent="0.35">
      <c r="A656" s="1">
        <v>38169</v>
      </c>
      <c r="B656" t="s">
        <v>11</v>
      </c>
      <c r="C656" t="s">
        <v>38</v>
      </c>
      <c r="D656">
        <v>13238</v>
      </c>
      <c r="E656">
        <v>119227</v>
      </c>
      <c r="F656">
        <f t="shared" si="60"/>
        <v>9.0064209095029462</v>
      </c>
      <c r="G656">
        <f t="shared" si="61"/>
        <v>408.53125245505362</v>
      </c>
      <c r="H656">
        <v>653.05666666666673</v>
      </c>
      <c r="I656" t="s">
        <v>38</v>
      </c>
      <c r="J656">
        <f t="shared" si="62"/>
        <v>14.397192827748384</v>
      </c>
      <c r="K656">
        <v>1852.92</v>
      </c>
    </row>
    <row r="657" spans="1:11" x14ac:dyDescent="0.35">
      <c r="A657" s="1">
        <v>38200</v>
      </c>
      <c r="B657" t="s">
        <v>11</v>
      </c>
      <c r="C657" t="s">
        <v>38</v>
      </c>
      <c r="D657">
        <v>13732</v>
      </c>
      <c r="E657">
        <v>111080</v>
      </c>
      <c r="F657">
        <f t="shared" si="60"/>
        <v>8.0891348674628603</v>
      </c>
      <c r="G657">
        <f t="shared" si="61"/>
        <v>366.92315758811532</v>
      </c>
      <c r="H657">
        <v>779</v>
      </c>
      <c r="I657" t="s">
        <v>38</v>
      </c>
      <c r="J657">
        <f t="shared" si="62"/>
        <v>17.173721340388006</v>
      </c>
      <c r="K657">
        <v>1852.92</v>
      </c>
    </row>
    <row r="658" spans="1:11" x14ac:dyDescent="0.35">
      <c r="A658" s="1">
        <v>38231</v>
      </c>
      <c r="B658" t="s">
        <v>11</v>
      </c>
      <c r="C658" t="s">
        <v>38</v>
      </c>
      <c r="D658">
        <v>12891</v>
      </c>
      <c r="E658">
        <v>127964</v>
      </c>
      <c r="F658">
        <f t="shared" si="60"/>
        <v>9.9266154681560774</v>
      </c>
      <c r="G658">
        <f t="shared" si="61"/>
        <v>450.27127763555967</v>
      </c>
      <c r="H658">
        <v>488</v>
      </c>
      <c r="I658" t="s">
        <v>38</v>
      </c>
      <c r="J658">
        <f t="shared" si="62"/>
        <v>10.758377425044092</v>
      </c>
      <c r="K658">
        <v>1852.92</v>
      </c>
    </row>
    <row r="659" spans="1:11" x14ac:dyDescent="0.35">
      <c r="A659" s="1">
        <v>38261</v>
      </c>
      <c r="B659" t="s">
        <v>11</v>
      </c>
      <c r="C659" t="s">
        <v>38</v>
      </c>
      <c r="D659">
        <v>12162</v>
      </c>
      <c r="E659">
        <v>107042</v>
      </c>
      <c r="F659">
        <f t="shared" si="60"/>
        <v>8.8013484624239435</v>
      </c>
      <c r="G659">
        <f t="shared" si="61"/>
        <v>399.22916625555007</v>
      </c>
      <c r="H659">
        <v>483.70749999999998</v>
      </c>
      <c r="I659" t="s">
        <v>38</v>
      </c>
      <c r="J659">
        <f t="shared" si="62"/>
        <v>10.663745590828924</v>
      </c>
      <c r="K659">
        <v>1852.92</v>
      </c>
    </row>
    <row r="660" spans="1:11" x14ac:dyDescent="0.35">
      <c r="A660" s="1">
        <v>38292</v>
      </c>
      <c r="B660" t="s">
        <v>11</v>
      </c>
      <c r="C660" t="s">
        <v>38</v>
      </c>
      <c r="D660">
        <v>13990</v>
      </c>
      <c r="E660">
        <v>123529</v>
      </c>
      <c r="F660">
        <f t="shared" si="60"/>
        <v>8.8298070050035733</v>
      </c>
      <c r="G660">
        <f t="shared" si="61"/>
        <v>400.52004574696207</v>
      </c>
      <c r="H660">
        <v>457.5</v>
      </c>
      <c r="I660" t="s">
        <v>38</v>
      </c>
      <c r="J660">
        <f t="shared" si="62"/>
        <v>10.085978835978835</v>
      </c>
      <c r="K660">
        <v>1852.92</v>
      </c>
    </row>
    <row r="661" spans="1:11" x14ac:dyDescent="0.35">
      <c r="A661" s="1">
        <v>38322</v>
      </c>
      <c r="B661" t="s">
        <v>11</v>
      </c>
      <c r="C661" t="s">
        <v>38</v>
      </c>
      <c r="D661">
        <v>19803</v>
      </c>
      <c r="E661">
        <v>183816</v>
      </c>
      <c r="F661">
        <f t="shared" si="60"/>
        <v>9.2822299651567945</v>
      </c>
      <c r="G661">
        <f t="shared" si="61"/>
        <v>421.04195121951221</v>
      </c>
      <c r="H661">
        <v>433.58222222222224</v>
      </c>
      <c r="I661" t="s">
        <v>38</v>
      </c>
      <c r="J661">
        <f t="shared" si="62"/>
        <v>9.5586909660983732</v>
      </c>
      <c r="K661">
        <v>1852.92</v>
      </c>
    </row>
    <row r="662" spans="1:11" x14ac:dyDescent="0.35">
      <c r="A662" s="1">
        <v>37987</v>
      </c>
      <c r="B662" t="s">
        <v>12</v>
      </c>
      <c r="C662" t="s">
        <v>38</v>
      </c>
      <c r="D662">
        <v>11337</v>
      </c>
      <c r="E662">
        <v>67557</v>
      </c>
      <c r="F662">
        <f t="shared" si="60"/>
        <v>5.9589838581635357</v>
      </c>
      <c r="G662">
        <f t="shared" si="61"/>
        <v>270.29950780629798</v>
      </c>
      <c r="H662">
        <v>325</v>
      </c>
      <c r="I662" t="s">
        <v>38</v>
      </c>
      <c r="J662">
        <f t="shared" si="62"/>
        <v>7.1649029982363315</v>
      </c>
      <c r="K662">
        <v>1244.4000000000001</v>
      </c>
    </row>
    <row r="663" spans="1:11" x14ac:dyDescent="0.35">
      <c r="A663" s="1">
        <v>38018</v>
      </c>
      <c r="B663" t="s">
        <v>12</v>
      </c>
      <c r="C663" t="s">
        <v>38</v>
      </c>
      <c r="D663">
        <v>11045</v>
      </c>
      <c r="E663">
        <v>69437</v>
      </c>
      <c r="F663">
        <f t="shared" si="60"/>
        <v>6.2867360796740606</v>
      </c>
      <c r="G663">
        <f t="shared" si="61"/>
        <v>285.16634857401539</v>
      </c>
      <c r="H663">
        <v>417.75</v>
      </c>
      <c r="I663" t="s">
        <v>38</v>
      </c>
      <c r="J663">
        <f t="shared" si="62"/>
        <v>9.2096560846560855</v>
      </c>
      <c r="K663">
        <v>1244.4000000000001</v>
      </c>
    </row>
    <row r="664" spans="1:11" x14ac:dyDescent="0.35">
      <c r="A664" s="1">
        <v>38047</v>
      </c>
      <c r="B664" t="s">
        <v>12</v>
      </c>
      <c r="C664" t="s">
        <v>38</v>
      </c>
      <c r="D664">
        <v>8919</v>
      </c>
      <c r="E664">
        <v>64808</v>
      </c>
      <c r="F664">
        <f t="shared" si="60"/>
        <v>7.2662854580109881</v>
      </c>
      <c r="G664">
        <f t="shared" si="61"/>
        <v>329.59870837537841</v>
      </c>
      <c r="H664">
        <v>385</v>
      </c>
      <c r="I664" t="s">
        <v>38</v>
      </c>
      <c r="J664">
        <f t="shared" si="62"/>
        <v>8.4876543209876552</v>
      </c>
      <c r="K664">
        <v>1244.4000000000001</v>
      </c>
    </row>
    <row r="665" spans="1:11" x14ac:dyDescent="0.35">
      <c r="A665" s="1">
        <v>38078</v>
      </c>
      <c r="B665" t="s">
        <v>12</v>
      </c>
      <c r="C665" t="s">
        <v>38</v>
      </c>
      <c r="D665">
        <v>9551</v>
      </c>
      <c r="E665">
        <v>83379</v>
      </c>
      <c r="F665">
        <f t="shared" si="60"/>
        <v>8.7298712176735425</v>
      </c>
      <c r="G665">
        <f t="shared" si="61"/>
        <v>395.98695843367187</v>
      </c>
      <c r="H665">
        <v>466.66666666666669</v>
      </c>
      <c r="I665" t="s">
        <v>38</v>
      </c>
      <c r="J665">
        <f t="shared" si="62"/>
        <v>10.2880658436214</v>
      </c>
      <c r="K665">
        <v>1244.4000000000001</v>
      </c>
    </row>
    <row r="666" spans="1:11" x14ac:dyDescent="0.35">
      <c r="A666" s="1">
        <v>38108</v>
      </c>
      <c r="B666" t="s">
        <v>12</v>
      </c>
      <c r="C666" t="s">
        <v>38</v>
      </c>
      <c r="D666">
        <v>9264</v>
      </c>
      <c r="E666">
        <v>70290</v>
      </c>
      <c r="F666">
        <f t="shared" si="60"/>
        <v>7.5874352331606216</v>
      </c>
      <c r="G666">
        <f t="shared" si="61"/>
        <v>344.16606217616578</v>
      </c>
      <c r="H666">
        <v>500</v>
      </c>
      <c r="I666" t="s">
        <v>38</v>
      </c>
      <c r="J666">
        <f t="shared" si="62"/>
        <v>11.022927689594356</v>
      </c>
      <c r="K666">
        <v>1244.4000000000001</v>
      </c>
    </row>
    <row r="667" spans="1:11" x14ac:dyDescent="0.35">
      <c r="A667" s="1">
        <v>38139</v>
      </c>
      <c r="B667" t="s">
        <v>12</v>
      </c>
      <c r="C667" t="s">
        <v>38</v>
      </c>
      <c r="D667">
        <v>10672</v>
      </c>
      <c r="E667">
        <v>93137</v>
      </c>
      <c r="F667">
        <f t="shared" si="60"/>
        <v>8.7272301349325332</v>
      </c>
      <c r="G667">
        <f t="shared" si="61"/>
        <v>395.86715892053968</v>
      </c>
      <c r="H667">
        <v>460</v>
      </c>
      <c r="I667" t="s">
        <v>38</v>
      </c>
      <c r="J667">
        <f t="shared" si="62"/>
        <v>10.141093474426809</v>
      </c>
      <c r="K667">
        <v>1244.4000000000001</v>
      </c>
    </row>
    <row r="668" spans="1:11" x14ac:dyDescent="0.35">
      <c r="A668" s="1">
        <v>38169</v>
      </c>
      <c r="B668" t="s">
        <v>12</v>
      </c>
      <c r="C668" t="s">
        <v>38</v>
      </c>
      <c r="D668">
        <v>7837</v>
      </c>
      <c r="E668">
        <v>50574</v>
      </c>
      <c r="F668">
        <f t="shared" si="60"/>
        <v>6.4532346561184131</v>
      </c>
      <c r="G668">
        <f t="shared" si="61"/>
        <v>292.7187240015312</v>
      </c>
      <c r="H668">
        <v>375</v>
      </c>
      <c r="I668" t="s">
        <v>38</v>
      </c>
      <c r="J668">
        <f t="shared" si="62"/>
        <v>8.2671957671957674</v>
      </c>
      <c r="K668">
        <v>1244.4000000000001</v>
      </c>
    </row>
    <row r="669" spans="1:11" x14ac:dyDescent="0.35">
      <c r="A669" s="1">
        <v>38200</v>
      </c>
      <c r="B669" t="s">
        <v>12</v>
      </c>
      <c r="C669" t="s">
        <v>38</v>
      </c>
      <c r="D669">
        <v>8798</v>
      </c>
      <c r="E669">
        <v>52777</v>
      </c>
      <c r="F669">
        <f t="shared" si="60"/>
        <v>5.99874971584451</v>
      </c>
      <c r="G669">
        <f t="shared" si="61"/>
        <v>272.10328711070696</v>
      </c>
      <c r="H669">
        <v>437.5</v>
      </c>
      <c r="I669" t="s">
        <v>38</v>
      </c>
      <c r="J669">
        <f t="shared" si="62"/>
        <v>9.6450617283950617</v>
      </c>
      <c r="K669">
        <v>1244.4000000000001</v>
      </c>
    </row>
    <row r="670" spans="1:11" x14ac:dyDescent="0.35">
      <c r="A670" s="1">
        <v>38231</v>
      </c>
      <c r="B670" t="s">
        <v>12</v>
      </c>
      <c r="C670" t="s">
        <v>38</v>
      </c>
      <c r="D670">
        <v>7399</v>
      </c>
      <c r="E670">
        <v>41354</v>
      </c>
      <c r="F670">
        <f t="shared" si="60"/>
        <v>5.5891336667117182</v>
      </c>
      <c r="G670">
        <f t="shared" si="61"/>
        <v>253.52310312204352</v>
      </c>
      <c r="H670">
        <v>440.76851851851853</v>
      </c>
      <c r="I670" t="s">
        <v>38</v>
      </c>
      <c r="J670">
        <f t="shared" si="62"/>
        <v>9.7171190149585218</v>
      </c>
      <c r="K670">
        <v>1244.4000000000001</v>
      </c>
    </row>
    <row r="671" spans="1:11" x14ac:dyDescent="0.35">
      <c r="A671" s="1">
        <v>38261</v>
      </c>
      <c r="B671" t="s">
        <v>12</v>
      </c>
      <c r="C671" t="s">
        <v>38</v>
      </c>
      <c r="D671">
        <v>9671</v>
      </c>
      <c r="E671">
        <v>61224</v>
      </c>
      <c r="F671">
        <f t="shared" si="60"/>
        <v>6.330679350635922</v>
      </c>
      <c r="G671">
        <f t="shared" si="61"/>
        <v>287.15961534484541</v>
      </c>
      <c r="H671">
        <v>440.76851851851853</v>
      </c>
      <c r="I671" t="s">
        <v>38</v>
      </c>
      <c r="J671">
        <f t="shared" si="62"/>
        <v>9.7171190149585218</v>
      </c>
      <c r="K671">
        <v>1244.4000000000001</v>
      </c>
    </row>
    <row r="672" spans="1:11" x14ac:dyDescent="0.35">
      <c r="A672" s="1">
        <v>38292</v>
      </c>
      <c r="B672" t="s">
        <v>12</v>
      </c>
      <c r="C672" t="s">
        <v>38</v>
      </c>
      <c r="D672">
        <v>5253</v>
      </c>
      <c r="E672">
        <v>29589</v>
      </c>
      <c r="F672">
        <f t="shared" si="60"/>
        <v>5.6327812678469442</v>
      </c>
      <c r="G672">
        <f t="shared" si="61"/>
        <v>255.50295830953738</v>
      </c>
      <c r="H672">
        <v>440.76851851851853</v>
      </c>
      <c r="I672" t="s">
        <v>38</v>
      </c>
      <c r="J672">
        <f t="shared" si="62"/>
        <v>9.7171190149585218</v>
      </c>
      <c r="K672">
        <v>1244.4000000000001</v>
      </c>
    </row>
    <row r="673" spans="1:11" x14ac:dyDescent="0.35">
      <c r="A673" s="1">
        <v>38322</v>
      </c>
      <c r="B673" t="s">
        <v>12</v>
      </c>
      <c r="C673" t="s">
        <v>38</v>
      </c>
      <c r="D673">
        <v>6190</v>
      </c>
      <c r="E673">
        <v>36692</v>
      </c>
      <c r="F673">
        <f t="shared" si="60"/>
        <v>5.9276252019386106</v>
      </c>
      <c r="G673">
        <f t="shared" si="61"/>
        <v>268.87707915993536</v>
      </c>
      <c r="H673">
        <v>600</v>
      </c>
      <c r="I673" t="s">
        <v>38</v>
      </c>
      <c r="J673">
        <f t="shared" si="62"/>
        <v>13.227513227513228</v>
      </c>
      <c r="K673">
        <v>1244.4000000000001</v>
      </c>
    </row>
    <row r="674" spans="1:11" x14ac:dyDescent="0.35">
      <c r="A674" s="1">
        <v>37987</v>
      </c>
      <c r="B674" t="s">
        <v>13</v>
      </c>
      <c r="C674" t="s">
        <v>38</v>
      </c>
      <c r="D674">
        <v>3945</v>
      </c>
      <c r="E674">
        <v>28376</v>
      </c>
      <c r="F674">
        <f t="shared" si="60"/>
        <v>7.192902408111534</v>
      </c>
      <c r="G674">
        <f t="shared" si="61"/>
        <v>326.27005323193919</v>
      </c>
      <c r="H674">
        <v>321.24400000000003</v>
      </c>
      <c r="I674" t="s">
        <v>38</v>
      </c>
      <c r="J674">
        <f t="shared" si="62"/>
        <v>7.0820987654320993</v>
      </c>
      <c r="K674">
        <v>4235.82</v>
      </c>
    </row>
    <row r="675" spans="1:11" x14ac:dyDescent="0.35">
      <c r="A675" s="1">
        <v>38018</v>
      </c>
      <c r="B675" t="s">
        <v>13</v>
      </c>
      <c r="C675" t="s">
        <v>38</v>
      </c>
      <c r="D675">
        <v>4901</v>
      </c>
      <c r="E675">
        <v>42350</v>
      </c>
      <c r="F675">
        <f t="shared" si="60"/>
        <v>8.6410936543562542</v>
      </c>
      <c r="G675">
        <f t="shared" si="61"/>
        <v>391.96000816159966</v>
      </c>
      <c r="H675">
        <v>341.48400000000004</v>
      </c>
      <c r="I675" t="s">
        <v>38</v>
      </c>
      <c r="J675">
        <f t="shared" si="62"/>
        <v>7.5283068783068794</v>
      </c>
      <c r="K675">
        <v>4235.82</v>
      </c>
    </row>
    <row r="676" spans="1:11" x14ac:dyDescent="0.35">
      <c r="A676" s="1">
        <v>38047</v>
      </c>
      <c r="B676" t="s">
        <v>13</v>
      </c>
      <c r="C676" t="s">
        <v>38</v>
      </c>
      <c r="D676">
        <v>4780</v>
      </c>
      <c r="E676">
        <v>41016</v>
      </c>
      <c r="F676">
        <f t="shared" si="60"/>
        <v>8.5807531380753144</v>
      </c>
      <c r="G676">
        <f t="shared" si="61"/>
        <v>389.22296234309624</v>
      </c>
      <c r="H676">
        <v>426.03999999999996</v>
      </c>
      <c r="I676" t="s">
        <v>38</v>
      </c>
      <c r="J676">
        <f t="shared" si="62"/>
        <v>9.3924162257495585</v>
      </c>
      <c r="K676">
        <v>4235.82</v>
      </c>
    </row>
    <row r="677" spans="1:11" x14ac:dyDescent="0.35">
      <c r="A677" s="1">
        <v>38078</v>
      </c>
      <c r="B677" t="s">
        <v>13</v>
      </c>
      <c r="C677" t="s">
        <v>38</v>
      </c>
      <c r="D677">
        <v>5415</v>
      </c>
      <c r="E677">
        <v>47578</v>
      </c>
      <c r="F677">
        <f t="shared" si="60"/>
        <v>8.7863342566943672</v>
      </c>
      <c r="G677">
        <f t="shared" si="61"/>
        <v>398.54812188365651</v>
      </c>
      <c r="H677">
        <v>381.8125</v>
      </c>
      <c r="I677" t="s">
        <v>38</v>
      </c>
      <c r="J677">
        <f t="shared" si="62"/>
        <v>8.4173831569664905</v>
      </c>
      <c r="K677">
        <v>4235.82</v>
      </c>
    </row>
    <row r="678" spans="1:11" x14ac:dyDescent="0.35">
      <c r="A678" s="1">
        <v>38108</v>
      </c>
      <c r="B678" t="s">
        <v>13</v>
      </c>
      <c r="C678" t="s">
        <v>38</v>
      </c>
      <c r="D678">
        <v>5443</v>
      </c>
      <c r="E678">
        <v>45089</v>
      </c>
      <c r="F678">
        <f t="shared" si="60"/>
        <v>8.2838508175638434</v>
      </c>
      <c r="G678">
        <f t="shared" si="61"/>
        <v>375.75547308469595</v>
      </c>
      <c r="H678">
        <v>298.55666666666667</v>
      </c>
      <c r="I678" t="s">
        <v>38</v>
      </c>
      <c r="J678">
        <f t="shared" si="62"/>
        <v>6.5819370958259853</v>
      </c>
      <c r="K678">
        <v>4235.82</v>
      </c>
    </row>
    <row r="679" spans="1:11" x14ac:dyDescent="0.35">
      <c r="A679" s="1">
        <v>38139</v>
      </c>
      <c r="B679" t="s">
        <v>13</v>
      </c>
      <c r="C679" t="s">
        <v>38</v>
      </c>
      <c r="D679">
        <v>5409</v>
      </c>
      <c r="E679">
        <v>55868</v>
      </c>
      <c r="F679">
        <f t="shared" si="60"/>
        <v>10.328711406914401</v>
      </c>
      <c r="G679">
        <f t="shared" si="61"/>
        <v>468.5103494176372</v>
      </c>
      <c r="H679">
        <v>327</v>
      </c>
      <c r="I679" t="s">
        <v>38</v>
      </c>
      <c r="J679">
        <f t="shared" si="62"/>
        <v>7.2089947089947088</v>
      </c>
      <c r="K679">
        <v>4235.82</v>
      </c>
    </row>
    <row r="680" spans="1:11" x14ac:dyDescent="0.35">
      <c r="A680" s="1">
        <v>38169</v>
      </c>
      <c r="B680" t="s">
        <v>13</v>
      </c>
      <c r="C680" t="s">
        <v>38</v>
      </c>
      <c r="D680">
        <v>5184</v>
      </c>
      <c r="E680">
        <v>47093</v>
      </c>
      <c r="F680">
        <f t="shared" si="60"/>
        <v>9.0842978395061724</v>
      </c>
      <c r="G680">
        <f t="shared" si="61"/>
        <v>412.06374999999997</v>
      </c>
      <c r="H680">
        <v>355.55666666666667</v>
      </c>
      <c r="I680" t="s">
        <v>38</v>
      </c>
      <c r="J680">
        <f t="shared" si="62"/>
        <v>7.8385508524397416</v>
      </c>
      <c r="K680">
        <v>4235.82</v>
      </c>
    </row>
    <row r="681" spans="1:11" x14ac:dyDescent="0.35">
      <c r="A681" s="1">
        <v>38200</v>
      </c>
      <c r="B681" t="s">
        <v>13</v>
      </c>
      <c r="C681" t="s">
        <v>38</v>
      </c>
      <c r="D681">
        <v>3496</v>
      </c>
      <c r="E681">
        <v>36034</v>
      </c>
      <c r="F681">
        <f t="shared" si="60"/>
        <v>10.30720823798627</v>
      </c>
      <c r="G681">
        <f t="shared" si="61"/>
        <v>467.53496567505721</v>
      </c>
      <c r="H681">
        <v>391.5</v>
      </c>
      <c r="I681" t="s">
        <v>38</v>
      </c>
      <c r="J681">
        <f t="shared" si="62"/>
        <v>8.6309523809523814</v>
      </c>
      <c r="K681">
        <v>4235.82</v>
      </c>
    </row>
    <row r="682" spans="1:11" x14ac:dyDescent="0.35">
      <c r="A682" s="1">
        <v>38231</v>
      </c>
      <c r="B682" t="s">
        <v>13</v>
      </c>
      <c r="C682" t="s">
        <v>38</v>
      </c>
      <c r="D682">
        <v>3262</v>
      </c>
      <c r="E682">
        <v>32299</v>
      </c>
      <c r="F682">
        <f t="shared" si="60"/>
        <v>9.9015941140404653</v>
      </c>
      <c r="G682">
        <f t="shared" si="61"/>
        <v>449.13630901287547</v>
      </c>
      <c r="H682">
        <v>375</v>
      </c>
      <c r="I682" t="s">
        <v>38</v>
      </c>
      <c r="J682">
        <f t="shared" si="62"/>
        <v>8.2671957671957674</v>
      </c>
      <c r="K682">
        <v>4235.82</v>
      </c>
    </row>
    <row r="683" spans="1:11" x14ac:dyDescent="0.35">
      <c r="A683" s="1">
        <v>38261</v>
      </c>
      <c r="B683" t="s">
        <v>13</v>
      </c>
      <c r="C683" t="s">
        <v>38</v>
      </c>
      <c r="D683">
        <v>3335</v>
      </c>
      <c r="E683">
        <v>30415</v>
      </c>
      <c r="F683">
        <f t="shared" si="60"/>
        <v>9.119940029985008</v>
      </c>
      <c r="G683">
        <f t="shared" si="61"/>
        <v>413.68047976011997</v>
      </c>
      <c r="H683">
        <v>511.33333333333331</v>
      </c>
      <c r="I683" t="s">
        <v>38</v>
      </c>
      <c r="J683">
        <f t="shared" si="62"/>
        <v>11.272780717225162</v>
      </c>
      <c r="K683">
        <v>4235.82</v>
      </c>
    </row>
    <row r="684" spans="1:11" x14ac:dyDescent="0.35">
      <c r="A684" s="1">
        <v>38292</v>
      </c>
      <c r="B684" t="s">
        <v>13</v>
      </c>
      <c r="C684" t="s">
        <v>38</v>
      </c>
      <c r="D684">
        <v>7519</v>
      </c>
      <c r="E684">
        <v>38648</v>
      </c>
      <c r="F684">
        <f t="shared" si="60"/>
        <v>5.1400452187790933</v>
      </c>
      <c r="G684">
        <f t="shared" si="61"/>
        <v>233.15245112381967</v>
      </c>
      <c r="H684">
        <v>489</v>
      </c>
      <c r="I684" t="s">
        <v>38</v>
      </c>
      <c r="J684">
        <f t="shared" si="62"/>
        <v>10.78042328042328</v>
      </c>
      <c r="K684">
        <v>4235.82</v>
      </c>
    </row>
    <row r="685" spans="1:11" x14ac:dyDescent="0.35">
      <c r="A685" s="1">
        <v>38322</v>
      </c>
      <c r="B685" t="s">
        <v>13</v>
      </c>
      <c r="C685" t="s">
        <v>38</v>
      </c>
      <c r="D685">
        <v>5554</v>
      </c>
      <c r="E685">
        <v>45627</v>
      </c>
      <c r="F685">
        <f t="shared" si="60"/>
        <v>8.2151602448685637</v>
      </c>
      <c r="G685">
        <f>F685*45.36</f>
        <v>372.63966870723806</v>
      </c>
      <c r="H685">
        <v>357.91666666666669</v>
      </c>
      <c r="I685" t="s">
        <v>38</v>
      </c>
      <c r="J685">
        <f t="shared" si="62"/>
        <v>7.8905790711346269</v>
      </c>
      <c r="K685">
        <v>4235.82</v>
      </c>
    </row>
    <row r="686" spans="1:11" x14ac:dyDescent="0.35">
      <c r="A686" s="1">
        <v>37987</v>
      </c>
      <c r="B686" t="s">
        <v>14</v>
      </c>
      <c r="C686" t="s">
        <v>40</v>
      </c>
      <c r="D686">
        <v>23445</v>
      </c>
      <c r="E686">
        <v>44651</v>
      </c>
      <c r="F686">
        <f t="shared" si="60"/>
        <v>1.9044998933674557</v>
      </c>
      <c r="G686">
        <f>F686*562.34</f>
        <v>1070.976470036255</v>
      </c>
      <c r="H686">
        <v>5137.5</v>
      </c>
      <c r="I686" t="s">
        <v>40</v>
      </c>
      <c r="J686">
        <f>(H686/1000)/0.56234</f>
        <v>9.1359319984351117</v>
      </c>
      <c r="K686">
        <v>7896.8729194799998</v>
      </c>
    </row>
    <row r="687" spans="1:11" x14ac:dyDescent="0.35">
      <c r="A687" s="1">
        <v>38018</v>
      </c>
      <c r="B687" t="s">
        <v>14</v>
      </c>
      <c r="C687" t="s">
        <v>40</v>
      </c>
      <c r="D687">
        <v>17457</v>
      </c>
      <c r="E687">
        <v>27844</v>
      </c>
      <c r="F687">
        <f t="shared" si="60"/>
        <v>1.5950048691069485</v>
      </c>
      <c r="G687">
        <f t="shared" ref="G687:G697" si="63">F687*562.34</f>
        <v>896.93503809360152</v>
      </c>
      <c r="H687">
        <v>5750</v>
      </c>
      <c r="I687" t="s">
        <v>40</v>
      </c>
      <c r="J687">
        <f t="shared" ref="J687:J697" si="64">(H687/1000)/0.56234</f>
        <v>10.22513070384465</v>
      </c>
      <c r="K687">
        <v>7896.8729194799998</v>
      </c>
    </row>
    <row r="688" spans="1:11" x14ac:dyDescent="0.35">
      <c r="A688" s="1">
        <v>38047</v>
      </c>
      <c r="B688" t="s">
        <v>14</v>
      </c>
      <c r="C688" t="s">
        <v>40</v>
      </c>
      <c r="D688">
        <v>4606</v>
      </c>
      <c r="E688">
        <v>6372</v>
      </c>
      <c r="F688">
        <f t="shared" si="60"/>
        <v>1.3834129396439427</v>
      </c>
      <c r="G688">
        <f t="shared" si="63"/>
        <v>777.94843247937479</v>
      </c>
      <c r="H688">
        <v>1500</v>
      </c>
      <c r="I688" t="s">
        <v>40</v>
      </c>
      <c r="J688">
        <f t="shared" si="64"/>
        <v>2.6674254010029523</v>
      </c>
      <c r="K688">
        <v>7896.8729194799998</v>
      </c>
    </row>
    <row r="689" spans="1:11" x14ac:dyDescent="0.35">
      <c r="A689" s="1">
        <v>38078</v>
      </c>
      <c r="B689" t="s">
        <v>14</v>
      </c>
      <c r="C689" t="s">
        <v>40</v>
      </c>
      <c r="D689">
        <v>4014</v>
      </c>
      <c r="E689">
        <v>5160</v>
      </c>
      <c r="F689">
        <f t="shared" si="60"/>
        <v>1.2855007473841555</v>
      </c>
      <c r="G689">
        <f t="shared" si="63"/>
        <v>722.88849028400602</v>
      </c>
      <c r="H689">
        <v>3850</v>
      </c>
      <c r="I689" t="s">
        <v>40</v>
      </c>
      <c r="J689">
        <f t="shared" si="64"/>
        <v>6.8463918625742437</v>
      </c>
      <c r="K689">
        <v>7896.8729194799998</v>
      </c>
    </row>
    <row r="690" spans="1:11" x14ac:dyDescent="0.35">
      <c r="A690" s="1">
        <v>38108</v>
      </c>
      <c r="B690" t="s">
        <v>14</v>
      </c>
      <c r="C690" t="s">
        <v>40</v>
      </c>
      <c r="D690">
        <v>5106</v>
      </c>
      <c r="E690">
        <v>6650</v>
      </c>
      <c r="F690">
        <f t="shared" si="60"/>
        <v>1.3023893458676068</v>
      </c>
      <c r="G690">
        <f t="shared" si="63"/>
        <v>732.38562475519007</v>
      </c>
      <c r="H690">
        <v>1500</v>
      </c>
      <c r="I690" t="s">
        <v>40</v>
      </c>
      <c r="J690">
        <f t="shared" si="64"/>
        <v>2.6674254010029523</v>
      </c>
      <c r="K690">
        <v>7896.8729194799998</v>
      </c>
    </row>
    <row r="691" spans="1:11" x14ac:dyDescent="0.35">
      <c r="A691" s="1">
        <v>38139</v>
      </c>
      <c r="B691" t="s">
        <v>14</v>
      </c>
      <c r="C691" t="s">
        <v>40</v>
      </c>
      <c r="D691">
        <v>10150</v>
      </c>
      <c r="E691">
        <v>17255</v>
      </c>
      <c r="F691">
        <f t="shared" si="60"/>
        <v>1.7</v>
      </c>
      <c r="G691">
        <f t="shared" si="63"/>
        <v>955.97800000000007</v>
      </c>
      <c r="H691">
        <v>3000</v>
      </c>
      <c r="I691" t="s">
        <v>40</v>
      </c>
      <c r="J691">
        <f t="shared" si="64"/>
        <v>5.3348508020059047</v>
      </c>
      <c r="K691">
        <v>7896.8729194799998</v>
      </c>
    </row>
    <row r="692" spans="1:11" x14ac:dyDescent="0.35">
      <c r="A692" s="1">
        <v>38169</v>
      </c>
      <c r="B692" t="s">
        <v>14</v>
      </c>
      <c r="C692" t="s">
        <v>40</v>
      </c>
      <c r="D692">
        <v>26473</v>
      </c>
      <c r="E692">
        <v>49412</v>
      </c>
      <c r="F692">
        <f t="shared" si="60"/>
        <v>1.8665054961659049</v>
      </c>
      <c r="G692">
        <f t="shared" si="63"/>
        <v>1049.6107007139351</v>
      </c>
      <c r="H692">
        <v>4500</v>
      </c>
      <c r="I692" t="s">
        <v>40</v>
      </c>
      <c r="J692">
        <f t="shared" si="64"/>
        <v>8.0022762030088561</v>
      </c>
      <c r="K692">
        <v>7896.8729194799998</v>
      </c>
    </row>
    <row r="693" spans="1:11" x14ac:dyDescent="0.35">
      <c r="A693" s="1">
        <v>38200</v>
      </c>
      <c r="B693" t="s">
        <v>14</v>
      </c>
      <c r="C693" t="s">
        <v>40</v>
      </c>
      <c r="D693">
        <v>47234</v>
      </c>
      <c r="E693">
        <v>74975</v>
      </c>
      <c r="F693">
        <f t="shared" si="60"/>
        <v>1.5873099885675572</v>
      </c>
      <c r="G693">
        <f t="shared" si="63"/>
        <v>892.6078989710802</v>
      </c>
      <c r="H693">
        <v>2366.6666666666665</v>
      </c>
      <c r="I693" t="s">
        <v>40</v>
      </c>
      <c r="J693">
        <f t="shared" si="64"/>
        <v>4.2086045215824361</v>
      </c>
      <c r="K693">
        <v>7896.8729194799998</v>
      </c>
    </row>
    <row r="694" spans="1:11" x14ac:dyDescent="0.35">
      <c r="A694" s="1">
        <v>38231</v>
      </c>
      <c r="B694" t="s">
        <v>14</v>
      </c>
      <c r="C694" t="s">
        <v>40</v>
      </c>
      <c r="D694">
        <v>55073</v>
      </c>
      <c r="E694">
        <v>101870</v>
      </c>
      <c r="F694">
        <f t="shared" si="60"/>
        <v>1.849726726345033</v>
      </c>
      <c r="G694">
        <f t="shared" si="63"/>
        <v>1040.1753272928659</v>
      </c>
      <c r="H694">
        <v>2860</v>
      </c>
      <c r="I694" t="s">
        <v>40</v>
      </c>
      <c r="J694">
        <f t="shared" si="64"/>
        <v>5.0858910979122953</v>
      </c>
      <c r="K694">
        <v>7896.8729194799998</v>
      </c>
    </row>
    <row r="695" spans="1:11" x14ac:dyDescent="0.35">
      <c r="A695" s="1">
        <v>38261</v>
      </c>
      <c r="B695" t="s">
        <v>14</v>
      </c>
      <c r="C695" t="s">
        <v>40</v>
      </c>
      <c r="D695">
        <v>46541</v>
      </c>
      <c r="E695">
        <v>63757</v>
      </c>
      <c r="F695">
        <f t="shared" si="60"/>
        <v>1.3699104015814014</v>
      </c>
      <c r="G695">
        <f t="shared" si="63"/>
        <v>770.35541522528536</v>
      </c>
      <c r="H695">
        <v>2475.6666666666665</v>
      </c>
      <c r="I695" t="s">
        <v>40</v>
      </c>
      <c r="J695">
        <f t="shared" si="64"/>
        <v>4.402437434055317</v>
      </c>
      <c r="K695">
        <v>7896.8729194799998</v>
      </c>
    </row>
    <row r="696" spans="1:11" x14ac:dyDescent="0.35">
      <c r="A696" s="1">
        <v>38292</v>
      </c>
      <c r="B696" t="s">
        <v>14</v>
      </c>
      <c r="C696" t="s">
        <v>40</v>
      </c>
      <c r="D696">
        <v>46105</v>
      </c>
      <c r="E696">
        <v>43293</v>
      </c>
      <c r="F696">
        <f t="shared" si="60"/>
        <v>0.93900878429671397</v>
      </c>
      <c r="G696">
        <f t="shared" si="63"/>
        <v>528.04219976141417</v>
      </c>
      <c r="H696">
        <v>2987</v>
      </c>
      <c r="I696" t="s">
        <v>40</v>
      </c>
      <c r="J696">
        <f t="shared" si="64"/>
        <v>5.311733115197212</v>
      </c>
      <c r="K696">
        <v>7896.8729194799998</v>
      </c>
    </row>
    <row r="697" spans="1:11" x14ac:dyDescent="0.35">
      <c r="A697" s="1">
        <v>38322</v>
      </c>
      <c r="B697" t="s">
        <v>14</v>
      </c>
      <c r="C697" t="s">
        <v>40</v>
      </c>
      <c r="D697">
        <v>40965</v>
      </c>
      <c r="E697">
        <v>44095</v>
      </c>
      <c r="F697">
        <f t="shared" si="60"/>
        <v>1.076406688636641</v>
      </c>
      <c r="G697">
        <f t="shared" si="63"/>
        <v>605.30653728792879</v>
      </c>
      <c r="H697">
        <v>4404.75</v>
      </c>
      <c r="I697" t="s">
        <v>40</v>
      </c>
      <c r="J697">
        <f t="shared" si="64"/>
        <v>7.832894690045169</v>
      </c>
      <c r="K697">
        <v>7896.8729194799998</v>
      </c>
    </row>
    <row r="698" spans="1:11" x14ac:dyDescent="0.35">
      <c r="A698" s="1">
        <v>37987</v>
      </c>
      <c r="B698" t="s">
        <v>15</v>
      </c>
      <c r="C698" t="s">
        <v>41</v>
      </c>
      <c r="D698">
        <v>207658</v>
      </c>
      <c r="E698">
        <v>1534996</v>
      </c>
      <c r="F698">
        <f t="shared" si="60"/>
        <v>7.3919425208756708</v>
      </c>
      <c r="G698">
        <f>F698*27.21</f>
        <v>201.134755993027</v>
      </c>
      <c r="H698">
        <v>53.52</v>
      </c>
      <c r="I698" t="s">
        <v>58</v>
      </c>
      <c r="J698">
        <f>H698/27.21</f>
        <v>1.9669239250275634</v>
      </c>
      <c r="K698">
        <f>2703.08+3990.71</f>
        <v>6693.79</v>
      </c>
    </row>
    <row r="699" spans="1:11" x14ac:dyDescent="0.35">
      <c r="A699" s="1">
        <v>38018</v>
      </c>
      <c r="B699" t="s">
        <v>15</v>
      </c>
      <c r="C699" t="s">
        <v>41</v>
      </c>
      <c r="D699">
        <v>213893</v>
      </c>
      <c r="E699">
        <v>1272417</v>
      </c>
      <c r="F699">
        <f t="shared" ref="F699:F762" si="65">E699/D699</f>
        <v>5.9488482559036528</v>
      </c>
      <c r="G699">
        <f t="shared" ref="G699:G709" si="66">F699*27.21</f>
        <v>161.8681610431384</v>
      </c>
      <c r="H699">
        <v>43.4</v>
      </c>
      <c r="I699" t="s">
        <v>58</v>
      </c>
      <c r="J699">
        <f t="shared" ref="J699:J709" si="67">H699/27.21</f>
        <v>1.5950018375597206</v>
      </c>
      <c r="K699">
        <f t="shared" ref="K699:K709" si="68">2703.08+3990.71</f>
        <v>6693.79</v>
      </c>
    </row>
    <row r="700" spans="1:11" x14ac:dyDescent="0.35">
      <c r="A700" s="1">
        <v>38047</v>
      </c>
      <c r="B700" t="s">
        <v>15</v>
      </c>
      <c r="C700" t="s">
        <v>41</v>
      </c>
      <c r="D700">
        <v>240406</v>
      </c>
      <c r="E700">
        <v>1752055</v>
      </c>
      <c r="F700">
        <f t="shared" si="65"/>
        <v>7.2879004683743336</v>
      </c>
      <c r="G700">
        <f t="shared" si="66"/>
        <v>198.30377174446562</v>
      </c>
      <c r="H700">
        <v>49.75</v>
      </c>
      <c r="I700" t="s">
        <v>58</v>
      </c>
      <c r="J700">
        <f t="shared" si="67"/>
        <v>1.8283719220874677</v>
      </c>
      <c r="K700">
        <f t="shared" si="68"/>
        <v>6693.79</v>
      </c>
    </row>
    <row r="701" spans="1:11" x14ac:dyDescent="0.35">
      <c r="A701" s="1">
        <v>38078</v>
      </c>
      <c r="B701" t="s">
        <v>15</v>
      </c>
      <c r="C701" t="s">
        <v>41</v>
      </c>
      <c r="D701">
        <v>250732</v>
      </c>
      <c r="E701">
        <v>1572090</v>
      </c>
      <c r="F701">
        <f t="shared" si="65"/>
        <v>6.2700014357959892</v>
      </c>
      <c r="G701">
        <f t="shared" si="66"/>
        <v>170.60673906800886</v>
      </c>
      <c r="H701">
        <v>55</v>
      </c>
      <c r="I701" t="s">
        <v>58</v>
      </c>
      <c r="J701">
        <f t="shared" si="67"/>
        <v>2.0213156927600147</v>
      </c>
      <c r="K701">
        <f t="shared" si="68"/>
        <v>6693.79</v>
      </c>
    </row>
    <row r="702" spans="1:11" x14ac:dyDescent="0.35">
      <c r="A702" s="1">
        <v>38108</v>
      </c>
      <c r="B702" t="s">
        <v>15</v>
      </c>
      <c r="C702" t="s">
        <v>41</v>
      </c>
      <c r="D702">
        <v>250436</v>
      </c>
      <c r="E702">
        <v>1844570</v>
      </c>
      <c r="F702">
        <f t="shared" si="65"/>
        <v>7.3654346819147403</v>
      </c>
      <c r="G702">
        <f t="shared" si="66"/>
        <v>200.41347769490008</v>
      </c>
      <c r="H702">
        <v>57.25</v>
      </c>
      <c r="I702" t="s">
        <v>58</v>
      </c>
      <c r="J702">
        <f t="shared" si="67"/>
        <v>2.1040058801911061</v>
      </c>
      <c r="K702">
        <f t="shared" si="68"/>
        <v>6693.79</v>
      </c>
    </row>
    <row r="703" spans="1:11" x14ac:dyDescent="0.35">
      <c r="A703" s="1">
        <v>38139</v>
      </c>
      <c r="B703" t="s">
        <v>15</v>
      </c>
      <c r="C703" t="s">
        <v>41</v>
      </c>
      <c r="D703">
        <v>261629</v>
      </c>
      <c r="E703">
        <v>1883858</v>
      </c>
      <c r="F703">
        <f t="shared" si="65"/>
        <v>7.2004938290480034</v>
      </c>
      <c r="G703">
        <f t="shared" si="66"/>
        <v>195.92543708839617</v>
      </c>
      <c r="H703">
        <v>58.75</v>
      </c>
      <c r="I703" t="s">
        <v>58</v>
      </c>
      <c r="J703">
        <f t="shared" si="67"/>
        <v>2.1591326718118338</v>
      </c>
      <c r="K703">
        <f t="shared" si="68"/>
        <v>6693.79</v>
      </c>
    </row>
    <row r="704" spans="1:11" x14ac:dyDescent="0.35">
      <c r="A704" s="1">
        <v>38169</v>
      </c>
      <c r="B704" t="s">
        <v>15</v>
      </c>
      <c r="C704" t="s">
        <v>41</v>
      </c>
      <c r="D704">
        <v>201549</v>
      </c>
      <c r="E704">
        <v>1353025</v>
      </c>
      <c r="F704">
        <f t="shared" si="65"/>
        <v>6.7131317942535063</v>
      </c>
      <c r="G704">
        <f t="shared" si="66"/>
        <v>182.66431612163791</v>
      </c>
      <c r="H704">
        <v>57.293333333333329</v>
      </c>
      <c r="I704" t="s">
        <v>58</v>
      </c>
      <c r="J704">
        <f t="shared" si="67"/>
        <v>2.105598431949038</v>
      </c>
      <c r="K704">
        <f t="shared" si="68"/>
        <v>6693.79</v>
      </c>
    </row>
    <row r="705" spans="1:11" x14ac:dyDescent="0.35">
      <c r="A705" s="1">
        <v>38200</v>
      </c>
      <c r="B705" t="s">
        <v>15</v>
      </c>
      <c r="C705" t="s">
        <v>41</v>
      </c>
      <c r="D705">
        <v>238506</v>
      </c>
      <c r="E705">
        <v>1642334</v>
      </c>
      <c r="F705">
        <f t="shared" si="65"/>
        <v>6.8859232052862405</v>
      </c>
      <c r="G705">
        <f t="shared" si="66"/>
        <v>187.3659704158386</v>
      </c>
      <c r="H705">
        <v>62</v>
      </c>
      <c r="I705" t="s">
        <v>58</v>
      </c>
      <c r="J705">
        <f t="shared" si="67"/>
        <v>2.2785740536567438</v>
      </c>
      <c r="K705">
        <f t="shared" si="68"/>
        <v>6693.79</v>
      </c>
    </row>
    <row r="706" spans="1:11" x14ac:dyDescent="0.35">
      <c r="A706" s="1">
        <v>38231</v>
      </c>
      <c r="B706" t="s">
        <v>15</v>
      </c>
      <c r="C706" t="s">
        <v>41</v>
      </c>
      <c r="D706">
        <v>212127</v>
      </c>
      <c r="E706">
        <v>1286839</v>
      </c>
      <c r="F706">
        <f t="shared" si="65"/>
        <v>6.0663611892875497</v>
      </c>
      <c r="G706">
        <f t="shared" si="66"/>
        <v>165.06568796051423</v>
      </c>
      <c r="H706">
        <v>66.5</v>
      </c>
      <c r="I706" t="s">
        <v>58</v>
      </c>
      <c r="J706">
        <f t="shared" si="67"/>
        <v>2.4439544285189267</v>
      </c>
      <c r="K706">
        <f t="shared" si="68"/>
        <v>6693.79</v>
      </c>
    </row>
    <row r="707" spans="1:11" x14ac:dyDescent="0.35">
      <c r="A707" s="1">
        <v>38261</v>
      </c>
      <c r="B707" t="s">
        <v>15</v>
      </c>
      <c r="C707" t="s">
        <v>41</v>
      </c>
      <c r="D707">
        <v>245953</v>
      </c>
      <c r="E707">
        <v>1695128</v>
      </c>
      <c r="F707">
        <f t="shared" si="65"/>
        <v>6.8920810073469321</v>
      </c>
      <c r="G707">
        <f t="shared" si="66"/>
        <v>187.53352420991004</v>
      </c>
      <c r="H707">
        <v>147.25</v>
      </c>
      <c r="I707" t="s">
        <v>58</v>
      </c>
      <c r="J707">
        <f t="shared" si="67"/>
        <v>5.4116133774347661</v>
      </c>
      <c r="K707">
        <f t="shared" si="68"/>
        <v>6693.79</v>
      </c>
    </row>
    <row r="708" spans="1:11" x14ac:dyDescent="0.35">
      <c r="A708" s="1">
        <v>38292</v>
      </c>
      <c r="B708" t="s">
        <v>15</v>
      </c>
      <c r="C708" t="s">
        <v>41</v>
      </c>
      <c r="D708">
        <v>264552</v>
      </c>
      <c r="E708">
        <v>1635660</v>
      </c>
      <c r="F708">
        <f t="shared" si="65"/>
        <v>6.1827542411321783</v>
      </c>
      <c r="G708">
        <f t="shared" si="66"/>
        <v>168.23274290120656</v>
      </c>
      <c r="H708">
        <v>84</v>
      </c>
      <c r="I708" t="s">
        <v>58</v>
      </c>
      <c r="J708">
        <f t="shared" si="67"/>
        <v>3.0871003307607494</v>
      </c>
      <c r="K708">
        <f t="shared" si="68"/>
        <v>6693.79</v>
      </c>
    </row>
    <row r="709" spans="1:11" x14ac:dyDescent="0.35">
      <c r="A709" s="1">
        <v>38322</v>
      </c>
      <c r="B709" t="s">
        <v>15</v>
      </c>
      <c r="C709" t="s">
        <v>41</v>
      </c>
      <c r="D709">
        <v>271301</v>
      </c>
      <c r="E709">
        <v>1646725</v>
      </c>
      <c r="F709">
        <f t="shared" si="65"/>
        <v>6.0697343540937929</v>
      </c>
      <c r="G709">
        <f t="shared" si="66"/>
        <v>165.15747177489212</v>
      </c>
      <c r="H709">
        <v>204.16666666666666</v>
      </c>
      <c r="I709" t="s">
        <v>58</v>
      </c>
      <c r="J709">
        <f t="shared" si="67"/>
        <v>7.5033688594879324</v>
      </c>
      <c r="K709">
        <f t="shared" si="68"/>
        <v>6693.79</v>
      </c>
    </row>
    <row r="710" spans="1:11" x14ac:dyDescent="0.35">
      <c r="A710" s="1">
        <v>37987</v>
      </c>
      <c r="B710" t="s">
        <v>18</v>
      </c>
      <c r="C710" t="s">
        <v>40</v>
      </c>
      <c r="D710">
        <v>600520</v>
      </c>
      <c r="E710">
        <v>78070</v>
      </c>
      <c r="F710">
        <f t="shared" si="65"/>
        <v>0.13000399653633518</v>
      </c>
      <c r="G710">
        <f>F710*408.15</f>
        <v>53.061131186305204</v>
      </c>
      <c r="H710">
        <v>2192.645</v>
      </c>
      <c r="I710" t="s">
        <v>40</v>
      </c>
      <c r="J710">
        <f>(H710/1000)/0.40815</f>
        <v>5.3721548450324637</v>
      </c>
      <c r="K710">
        <f>2422.52+6483.76</f>
        <v>8906.2800000000007</v>
      </c>
    </row>
    <row r="711" spans="1:11" x14ac:dyDescent="0.35">
      <c r="A711" s="1">
        <v>38018</v>
      </c>
      <c r="B711" t="s">
        <v>18</v>
      </c>
      <c r="C711" t="s">
        <v>40</v>
      </c>
      <c r="D711">
        <v>562809</v>
      </c>
      <c r="E711">
        <v>90049</v>
      </c>
      <c r="F711">
        <f t="shared" si="65"/>
        <v>0.15999921820724261</v>
      </c>
      <c r="G711">
        <f t="shared" ref="G711:G720" si="69">F711*408.15</f>
        <v>65.303680911286065</v>
      </c>
      <c r="H711">
        <v>1983.75</v>
      </c>
      <c r="I711" t="s">
        <v>40</v>
      </c>
      <c r="J711">
        <f t="shared" ref="J711:J720" si="70">(H711/1000)/0.40815</f>
        <v>4.8603454612274897</v>
      </c>
      <c r="K711">
        <f t="shared" ref="K711:K721" si="71">2422.52+6483.76</f>
        <v>8906.2800000000007</v>
      </c>
    </row>
    <row r="712" spans="1:11" x14ac:dyDescent="0.35">
      <c r="A712" s="1">
        <v>38047</v>
      </c>
      <c r="B712" t="s">
        <v>18</v>
      </c>
      <c r="C712" t="s">
        <v>40</v>
      </c>
      <c r="D712">
        <v>559080</v>
      </c>
      <c r="E712">
        <v>83759</v>
      </c>
      <c r="F712">
        <f t="shared" si="65"/>
        <v>0.14981576876296773</v>
      </c>
      <c r="G712">
        <f t="shared" si="69"/>
        <v>61.147306020605278</v>
      </c>
      <c r="H712">
        <v>2209.375</v>
      </c>
      <c r="I712" t="s">
        <v>40</v>
      </c>
      <c r="J712">
        <f t="shared" si="70"/>
        <v>5.4131446772020091</v>
      </c>
      <c r="K712">
        <f t="shared" si="71"/>
        <v>8906.2800000000007</v>
      </c>
    </row>
    <row r="713" spans="1:11" x14ac:dyDescent="0.35">
      <c r="A713" s="1">
        <v>38078</v>
      </c>
      <c r="B713" t="s">
        <v>18</v>
      </c>
      <c r="C713" t="s">
        <v>40</v>
      </c>
      <c r="D713">
        <v>591442</v>
      </c>
      <c r="E713">
        <v>80313</v>
      </c>
      <c r="F713">
        <f t="shared" si="65"/>
        <v>0.13579184433976621</v>
      </c>
      <c r="G713">
        <f t="shared" si="69"/>
        <v>55.423441267275578</v>
      </c>
      <c r="H713">
        <v>2443.3339999999998</v>
      </c>
      <c r="I713" t="s">
        <v>40</v>
      </c>
      <c r="J713">
        <f t="shared" si="70"/>
        <v>5.9863628567928444</v>
      </c>
      <c r="K713">
        <f t="shared" si="71"/>
        <v>8906.2800000000007</v>
      </c>
    </row>
    <row r="714" spans="1:11" x14ac:dyDescent="0.35">
      <c r="A714" s="1">
        <v>38108</v>
      </c>
      <c r="B714" t="s">
        <v>18</v>
      </c>
      <c r="C714" t="s">
        <v>40</v>
      </c>
      <c r="D714">
        <v>561946</v>
      </c>
      <c r="E714">
        <v>107554</v>
      </c>
      <c r="F714">
        <f t="shared" si="65"/>
        <v>0.19139561452523907</v>
      </c>
      <c r="G714">
        <f t="shared" si="69"/>
        <v>78.118120068476316</v>
      </c>
      <c r="H714">
        <v>2306.2493333333332</v>
      </c>
      <c r="I714" t="s">
        <v>40</v>
      </c>
      <c r="J714">
        <f t="shared" si="70"/>
        <v>5.6504945077381672</v>
      </c>
      <c r="K714">
        <f t="shared" si="71"/>
        <v>8906.2800000000007</v>
      </c>
    </row>
    <row r="715" spans="1:11" x14ac:dyDescent="0.35">
      <c r="A715" s="1">
        <v>38139</v>
      </c>
      <c r="B715" t="s">
        <v>18</v>
      </c>
      <c r="C715" t="s">
        <v>40</v>
      </c>
      <c r="D715">
        <v>556553</v>
      </c>
      <c r="E715">
        <v>94446</v>
      </c>
      <c r="F715">
        <f t="shared" si="65"/>
        <v>0.16969812398819159</v>
      </c>
      <c r="G715">
        <f t="shared" si="69"/>
        <v>69.262289305780399</v>
      </c>
      <c r="H715">
        <v>2486.75</v>
      </c>
      <c r="I715" t="s">
        <v>40</v>
      </c>
      <c r="J715">
        <f t="shared" si="70"/>
        <v>6.0927355139042012</v>
      </c>
      <c r="K715">
        <f t="shared" si="71"/>
        <v>8906.2800000000007</v>
      </c>
    </row>
    <row r="716" spans="1:11" x14ac:dyDescent="0.35">
      <c r="A716" s="1">
        <v>38169</v>
      </c>
      <c r="B716" t="s">
        <v>18</v>
      </c>
      <c r="C716" t="s">
        <v>40</v>
      </c>
      <c r="D716">
        <v>562819</v>
      </c>
      <c r="E716">
        <v>103125</v>
      </c>
      <c r="F716">
        <f t="shared" si="65"/>
        <v>0.18322942189229574</v>
      </c>
      <c r="G716">
        <f t="shared" si="69"/>
        <v>74.7850885453405</v>
      </c>
      <c r="H716">
        <v>2666.6666666666665</v>
      </c>
      <c r="I716" t="s">
        <v>40</v>
      </c>
      <c r="J716">
        <f t="shared" si="70"/>
        <v>6.5335456735677235</v>
      </c>
      <c r="K716">
        <f t="shared" si="71"/>
        <v>8906.2800000000007</v>
      </c>
    </row>
    <row r="717" spans="1:11" x14ac:dyDescent="0.35">
      <c r="A717" s="1">
        <v>38200</v>
      </c>
      <c r="B717" t="s">
        <v>18</v>
      </c>
      <c r="C717" t="s">
        <v>40</v>
      </c>
      <c r="D717">
        <v>579608</v>
      </c>
      <c r="E717">
        <v>107528</v>
      </c>
      <c r="F717">
        <f t="shared" si="65"/>
        <v>0.18551848835764861</v>
      </c>
      <c r="G717">
        <f t="shared" si="69"/>
        <v>75.719371023174276</v>
      </c>
      <c r="H717">
        <v>2616.5566666666668</v>
      </c>
      <c r="I717" t="s">
        <v>40</v>
      </c>
      <c r="J717">
        <f t="shared" si="70"/>
        <v>6.4107721834292954</v>
      </c>
      <c r="K717">
        <f t="shared" si="71"/>
        <v>8906.2800000000007</v>
      </c>
    </row>
    <row r="718" spans="1:11" x14ac:dyDescent="0.35">
      <c r="A718" s="1">
        <v>38231</v>
      </c>
      <c r="B718" t="s">
        <v>18</v>
      </c>
      <c r="C718" t="s">
        <v>40</v>
      </c>
      <c r="D718">
        <v>600029</v>
      </c>
      <c r="E718">
        <v>142965</v>
      </c>
      <c r="F718">
        <f t="shared" si="65"/>
        <v>0.23826348393160998</v>
      </c>
      <c r="G718">
        <f t="shared" si="69"/>
        <v>97.247240966686604</v>
      </c>
      <c r="H718">
        <v>2966.665</v>
      </c>
      <c r="I718" t="s">
        <v>40</v>
      </c>
      <c r="J718">
        <f t="shared" si="70"/>
        <v>7.2685654783780471</v>
      </c>
      <c r="K718">
        <f t="shared" si="71"/>
        <v>8906.2800000000007</v>
      </c>
    </row>
    <row r="719" spans="1:11" x14ac:dyDescent="0.35">
      <c r="A719" s="1">
        <v>38261</v>
      </c>
      <c r="B719" t="s">
        <v>18</v>
      </c>
      <c r="C719" t="s">
        <v>40</v>
      </c>
      <c r="D719">
        <v>552490</v>
      </c>
      <c r="E719">
        <v>88261</v>
      </c>
      <c r="F719">
        <f t="shared" si="65"/>
        <v>0.15975130771597676</v>
      </c>
      <c r="G719">
        <f t="shared" si="69"/>
        <v>65.202496244275906</v>
      </c>
      <c r="H719">
        <v>2359.375</v>
      </c>
      <c r="I719" t="s">
        <v>40</v>
      </c>
      <c r="J719">
        <f t="shared" si="70"/>
        <v>5.7806566213401931</v>
      </c>
      <c r="K719">
        <f t="shared" si="71"/>
        <v>8906.2800000000007</v>
      </c>
    </row>
    <row r="720" spans="1:11" x14ac:dyDescent="0.35">
      <c r="A720" s="1">
        <v>38292</v>
      </c>
      <c r="B720" t="s">
        <v>18</v>
      </c>
      <c r="C720" t="s">
        <v>40</v>
      </c>
      <c r="D720">
        <v>575139</v>
      </c>
      <c r="E720">
        <v>91899</v>
      </c>
      <c r="F720">
        <f t="shared" si="65"/>
        <v>0.15978572136474833</v>
      </c>
      <c r="G720">
        <f t="shared" si="69"/>
        <v>65.216542175022028</v>
      </c>
      <c r="H720">
        <v>2917</v>
      </c>
      <c r="I720" t="s">
        <v>40</v>
      </c>
      <c r="J720">
        <f t="shared" si="70"/>
        <v>7.1468822736738939</v>
      </c>
      <c r="K720">
        <f t="shared" si="71"/>
        <v>8906.2800000000007</v>
      </c>
    </row>
    <row r="721" spans="1:11" x14ac:dyDescent="0.35">
      <c r="A721" s="1">
        <v>38322</v>
      </c>
      <c r="B721" t="s">
        <v>18</v>
      </c>
      <c r="C721" t="s">
        <v>40</v>
      </c>
      <c r="D721">
        <v>601361</v>
      </c>
      <c r="E721">
        <v>93735</v>
      </c>
      <c r="F721">
        <f t="shared" si="65"/>
        <v>0.15587143163590589</v>
      </c>
      <c r="G721">
        <f>F721*408.15</f>
        <v>63.618924822194984</v>
      </c>
      <c r="H721">
        <v>3080.1866666666665</v>
      </c>
      <c r="I721" t="s">
        <v>40</v>
      </c>
      <c r="J721">
        <f>(H721/1000)/0.40815</f>
        <v>7.5467026011678708</v>
      </c>
      <c r="K721">
        <f t="shared" si="71"/>
        <v>8906.2800000000007</v>
      </c>
    </row>
    <row r="722" spans="1:11" x14ac:dyDescent="0.35">
      <c r="A722" s="1">
        <v>38353</v>
      </c>
      <c r="B722" t="s">
        <v>2</v>
      </c>
      <c r="C722" t="s">
        <v>38</v>
      </c>
      <c r="D722">
        <v>112108</v>
      </c>
      <c r="E722">
        <v>203086</v>
      </c>
      <c r="F722">
        <f t="shared" si="65"/>
        <v>1.8115210332893281</v>
      </c>
      <c r="G722">
        <f>F722*45.36</f>
        <v>82.170594070003929</v>
      </c>
      <c r="H722">
        <v>950.1875</v>
      </c>
      <c r="I722" t="s">
        <v>59</v>
      </c>
      <c r="J722">
        <f>H722/110</f>
        <v>8.6380681818181824</v>
      </c>
      <c r="K722">
        <v>4807.32</v>
      </c>
    </row>
    <row r="723" spans="1:11" x14ac:dyDescent="0.35">
      <c r="A723" s="1">
        <v>38384</v>
      </c>
      <c r="B723" t="s">
        <v>2</v>
      </c>
      <c r="C723" t="s">
        <v>38</v>
      </c>
      <c r="D723">
        <v>8749</v>
      </c>
      <c r="E723">
        <v>21416</v>
      </c>
      <c r="F723">
        <f t="shared" si="65"/>
        <v>2.4478226082980914</v>
      </c>
      <c r="G723">
        <f t="shared" ref="G723:G786" si="72">F723*45.36</f>
        <v>111.03323351240142</v>
      </c>
      <c r="H723">
        <v>666.25</v>
      </c>
      <c r="I723" t="s">
        <v>59</v>
      </c>
      <c r="J723">
        <f t="shared" ref="J723:J733" si="73">H723/110</f>
        <v>6.0568181818181817</v>
      </c>
      <c r="K723">
        <v>4807.32</v>
      </c>
    </row>
    <row r="724" spans="1:11" x14ac:dyDescent="0.35">
      <c r="A724" s="1">
        <v>38412</v>
      </c>
      <c r="B724" t="s">
        <v>2</v>
      </c>
      <c r="C724" t="s">
        <v>38</v>
      </c>
      <c r="D724">
        <v>3023</v>
      </c>
      <c r="E724">
        <v>7934</v>
      </c>
      <c r="F724">
        <f t="shared" si="65"/>
        <v>2.6245451538207081</v>
      </c>
      <c r="G724">
        <f t="shared" si="72"/>
        <v>119.04936817730731</v>
      </c>
      <c r="H724">
        <v>794.72333333333336</v>
      </c>
      <c r="I724" t="s">
        <v>59</v>
      </c>
      <c r="J724">
        <f t="shared" si="73"/>
        <v>7.2247575757575762</v>
      </c>
      <c r="K724">
        <v>4807.32</v>
      </c>
    </row>
    <row r="725" spans="1:11" x14ac:dyDescent="0.35">
      <c r="A725" s="1">
        <v>38443</v>
      </c>
      <c r="B725" t="s">
        <v>2</v>
      </c>
      <c r="C725" t="s">
        <v>38</v>
      </c>
      <c r="D725">
        <v>33891</v>
      </c>
      <c r="E725">
        <v>171291</v>
      </c>
      <c r="F725">
        <f t="shared" si="65"/>
        <v>5.0541736744268393</v>
      </c>
      <c r="G725">
        <f t="shared" si="72"/>
        <v>229.25731787200144</v>
      </c>
      <c r="H725">
        <v>1090</v>
      </c>
      <c r="I725" t="s">
        <v>59</v>
      </c>
      <c r="J725">
        <f t="shared" si="73"/>
        <v>9.9090909090909083</v>
      </c>
      <c r="K725">
        <v>4807.32</v>
      </c>
    </row>
    <row r="726" spans="1:11" x14ac:dyDescent="0.35">
      <c r="A726" s="1">
        <v>38473</v>
      </c>
      <c r="B726" t="s">
        <v>2</v>
      </c>
      <c r="C726" t="s">
        <v>38</v>
      </c>
      <c r="D726">
        <v>104899</v>
      </c>
      <c r="E726">
        <v>480990</v>
      </c>
      <c r="F726">
        <f t="shared" si="65"/>
        <v>4.5852677337248213</v>
      </c>
      <c r="G726">
        <f t="shared" si="72"/>
        <v>207.98774440175788</v>
      </c>
      <c r="H726">
        <v>1196.6666666666667</v>
      </c>
      <c r="I726" t="s">
        <v>59</v>
      </c>
      <c r="J726">
        <f t="shared" si="73"/>
        <v>10.878787878787879</v>
      </c>
      <c r="K726">
        <v>4807.32</v>
      </c>
    </row>
    <row r="727" spans="1:11" x14ac:dyDescent="0.35">
      <c r="A727" s="1">
        <v>38504</v>
      </c>
      <c r="B727" t="s">
        <v>2</v>
      </c>
      <c r="C727" t="s">
        <v>38</v>
      </c>
      <c r="D727">
        <v>376900</v>
      </c>
      <c r="E727">
        <v>1756962</v>
      </c>
      <c r="F727">
        <f t="shared" si="65"/>
        <v>4.6616131599893871</v>
      </c>
      <c r="G727">
        <f t="shared" si="72"/>
        <v>211.45077293711859</v>
      </c>
      <c r="H727">
        <v>1015.918</v>
      </c>
      <c r="I727" t="s">
        <v>59</v>
      </c>
      <c r="J727">
        <f t="shared" si="73"/>
        <v>9.2356181818181824</v>
      </c>
      <c r="K727">
        <v>4807.32</v>
      </c>
    </row>
    <row r="728" spans="1:11" x14ac:dyDescent="0.35">
      <c r="A728" s="1">
        <v>38534</v>
      </c>
      <c r="B728" t="s">
        <v>2</v>
      </c>
      <c r="C728" t="s">
        <v>38</v>
      </c>
      <c r="D728">
        <v>469194</v>
      </c>
      <c r="E728">
        <v>2272554</v>
      </c>
      <c r="F728">
        <f t="shared" si="65"/>
        <v>4.8435274108364554</v>
      </c>
      <c r="G728">
        <f t="shared" si="72"/>
        <v>219.70240335554161</v>
      </c>
      <c r="H728">
        <v>988.84600000000012</v>
      </c>
      <c r="I728" t="s">
        <v>59</v>
      </c>
      <c r="J728">
        <f t="shared" si="73"/>
        <v>8.9895090909090918</v>
      </c>
      <c r="K728">
        <v>4807.32</v>
      </c>
    </row>
    <row r="729" spans="1:11" x14ac:dyDescent="0.35">
      <c r="A729" s="1">
        <v>38565</v>
      </c>
      <c r="B729" t="s">
        <v>2</v>
      </c>
      <c r="C729" t="s">
        <v>38</v>
      </c>
      <c r="D729">
        <v>148608</v>
      </c>
      <c r="E729">
        <v>625842</v>
      </c>
      <c r="F729">
        <f t="shared" si="65"/>
        <v>4.211361434108527</v>
      </c>
      <c r="G729">
        <f t="shared" si="72"/>
        <v>191.0273546511628</v>
      </c>
      <c r="H729">
        <v>1185.625</v>
      </c>
      <c r="I729" t="s">
        <v>59</v>
      </c>
      <c r="J729">
        <f t="shared" si="73"/>
        <v>10.778409090909092</v>
      </c>
      <c r="K729">
        <v>4807.32</v>
      </c>
    </row>
    <row r="730" spans="1:11" x14ac:dyDescent="0.35">
      <c r="A730" s="1">
        <v>38596</v>
      </c>
      <c r="B730" t="s">
        <v>2</v>
      </c>
      <c r="C730" t="s">
        <v>38</v>
      </c>
      <c r="D730">
        <v>152010</v>
      </c>
      <c r="E730">
        <v>480974</v>
      </c>
      <c r="F730">
        <f t="shared" si="65"/>
        <v>3.1640944674692455</v>
      </c>
      <c r="G730">
        <f t="shared" si="72"/>
        <v>143.52332504440497</v>
      </c>
      <c r="H730">
        <v>1168.6666666666667</v>
      </c>
      <c r="I730" t="s">
        <v>59</v>
      </c>
      <c r="J730">
        <f t="shared" si="73"/>
        <v>10.624242424242425</v>
      </c>
      <c r="K730">
        <v>4807.32</v>
      </c>
    </row>
    <row r="731" spans="1:11" x14ac:dyDescent="0.35">
      <c r="A731" s="1">
        <v>38626</v>
      </c>
      <c r="B731" t="s">
        <v>2</v>
      </c>
      <c r="C731" t="s">
        <v>38</v>
      </c>
      <c r="D731">
        <v>326540</v>
      </c>
      <c r="E731">
        <v>1030427</v>
      </c>
      <c r="F731">
        <f t="shared" si="65"/>
        <v>3.1555919642310282</v>
      </c>
      <c r="G731">
        <f t="shared" si="72"/>
        <v>143.13765149751944</v>
      </c>
      <c r="H731">
        <v>1142.6600000000001</v>
      </c>
      <c r="I731" t="s">
        <v>59</v>
      </c>
      <c r="J731">
        <f t="shared" si="73"/>
        <v>10.387818181818183</v>
      </c>
      <c r="K731">
        <v>4807.32</v>
      </c>
    </row>
    <row r="732" spans="1:11" x14ac:dyDescent="0.35">
      <c r="A732" s="1">
        <v>38657</v>
      </c>
      <c r="B732" t="s">
        <v>2</v>
      </c>
      <c r="C732" t="s">
        <v>38</v>
      </c>
      <c r="D732">
        <v>611994</v>
      </c>
      <c r="E732">
        <v>1862391</v>
      </c>
      <c r="F732">
        <f t="shared" si="65"/>
        <v>3.0431523838469006</v>
      </c>
      <c r="G732">
        <f t="shared" si="72"/>
        <v>138.03739213129541</v>
      </c>
      <c r="H732">
        <v>1183.9839999999999</v>
      </c>
      <c r="I732" t="s">
        <v>59</v>
      </c>
      <c r="J732">
        <f t="shared" si="73"/>
        <v>10.763490909090908</v>
      </c>
      <c r="K732">
        <v>4807.32</v>
      </c>
    </row>
    <row r="733" spans="1:11" x14ac:dyDescent="0.35">
      <c r="A733" s="1">
        <v>38687</v>
      </c>
      <c r="B733" t="s">
        <v>2</v>
      </c>
      <c r="C733" t="s">
        <v>38</v>
      </c>
      <c r="D733">
        <v>90914</v>
      </c>
      <c r="E733">
        <v>328051</v>
      </c>
      <c r="F733">
        <f t="shared" si="65"/>
        <v>3.6083661482279958</v>
      </c>
      <c r="G733">
        <f t="shared" si="72"/>
        <v>163.67548848362188</v>
      </c>
      <c r="H733">
        <v>1102.8716666666667</v>
      </c>
      <c r="I733" t="s">
        <v>59</v>
      </c>
      <c r="J733">
        <f t="shared" si="73"/>
        <v>10.026106060606061</v>
      </c>
      <c r="K733">
        <v>4807.32</v>
      </c>
    </row>
    <row r="734" spans="1:11" x14ac:dyDescent="0.35">
      <c r="A734" s="1">
        <v>38353</v>
      </c>
      <c r="B734" t="s">
        <v>5</v>
      </c>
      <c r="C734" t="s">
        <v>38</v>
      </c>
      <c r="D734">
        <v>20931</v>
      </c>
      <c r="E734">
        <v>34401</v>
      </c>
      <c r="F734">
        <f t="shared" si="65"/>
        <v>1.6435430700874301</v>
      </c>
      <c r="G734">
        <f t="shared" si="72"/>
        <v>74.551113659165821</v>
      </c>
      <c r="H734">
        <v>361.09333333333331</v>
      </c>
      <c r="I734" t="s">
        <v>38</v>
      </c>
      <c r="J734">
        <f>H734/45.36</f>
        <v>7.9606114050558494</v>
      </c>
      <c r="K734">
        <v>1327.7</v>
      </c>
    </row>
    <row r="735" spans="1:11" x14ac:dyDescent="0.35">
      <c r="A735" s="1">
        <v>38384</v>
      </c>
      <c r="B735" t="s">
        <v>5</v>
      </c>
      <c r="C735" t="s">
        <v>38</v>
      </c>
      <c r="D735">
        <v>23607</v>
      </c>
      <c r="E735">
        <v>42539</v>
      </c>
      <c r="F735">
        <f t="shared" si="65"/>
        <v>1.80196551870208</v>
      </c>
      <c r="G735">
        <f t="shared" si="72"/>
        <v>81.737155928326345</v>
      </c>
      <c r="H735">
        <v>364.488</v>
      </c>
      <c r="I735" t="s">
        <v>38</v>
      </c>
      <c r="J735">
        <f t="shared" ref="J735:J798" si="74">H735/45.36</f>
        <v>8.0354497354497347</v>
      </c>
      <c r="K735">
        <v>1327.7</v>
      </c>
    </row>
    <row r="736" spans="1:11" x14ac:dyDescent="0.35">
      <c r="A736" s="1">
        <v>38412</v>
      </c>
      <c r="B736" t="s">
        <v>5</v>
      </c>
      <c r="C736" t="s">
        <v>38</v>
      </c>
      <c r="D736">
        <v>18692</v>
      </c>
      <c r="E736">
        <v>31074</v>
      </c>
      <c r="F736">
        <f t="shared" si="65"/>
        <v>1.6624224267066126</v>
      </c>
      <c r="G736">
        <f t="shared" si="72"/>
        <v>75.407481275411939</v>
      </c>
      <c r="H736">
        <v>403.46333333333337</v>
      </c>
      <c r="I736" t="s">
        <v>38</v>
      </c>
      <c r="J736">
        <f t="shared" si="74"/>
        <v>8.8946942974720766</v>
      </c>
      <c r="K736">
        <v>1327.7</v>
      </c>
    </row>
    <row r="737" spans="1:11" x14ac:dyDescent="0.35">
      <c r="A737" s="1">
        <v>38443</v>
      </c>
      <c r="B737" t="s">
        <v>5</v>
      </c>
      <c r="C737" t="s">
        <v>38</v>
      </c>
      <c r="D737">
        <v>28784</v>
      </c>
      <c r="E737">
        <v>50913</v>
      </c>
      <c r="F737">
        <f t="shared" si="65"/>
        <v>1.7687951639799888</v>
      </c>
      <c r="G737">
        <f t="shared" si="72"/>
        <v>80.232548638132286</v>
      </c>
      <c r="H737">
        <v>429.6</v>
      </c>
      <c r="I737" t="s">
        <v>38</v>
      </c>
      <c r="J737">
        <f t="shared" si="74"/>
        <v>9.4708994708994716</v>
      </c>
      <c r="K737">
        <v>1327.7</v>
      </c>
    </row>
    <row r="738" spans="1:11" x14ac:dyDescent="0.35">
      <c r="A738" s="1">
        <v>38473</v>
      </c>
      <c r="B738" t="s">
        <v>5</v>
      </c>
      <c r="C738" t="s">
        <v>38</v>
      </c>
      <c r="D738">
        <v>18861</v>
      </c>
      <c r="E738">
        <v>37022</v>
      </c>
      <c r="F738">
        <f t="shared" si="65"/>
        <v>1.9628863793012035</v>
      </c>
      <c r="G738">
        <f t="shared" si="72"/>
        <v>89.036526165102586</v>
      </c>
      <c r="H738">
        <v>383.05439999999999</v>
      </c>
      <c r="I738" t="s">
        <v>38</v>
      </c>
      <c r="J738">
        <f t="shared" si="74"/>
        <v>8.4447619047619042</v>
      </c>
      <c r="K738">
        <v>1327.7</v>
      </c>
    </row>
    <row r="739" spans="1:11" x14ac:dyDescent="0.35">
      <c r="A739" s="1">
        <v>38504</v>
      </c>
      <c r="B739" t="s">
        <v>5</v>
      </c>
      <c r="C739" t="s">
        <v>38</v>
      </c>
      <c r="D739">
        <v>26009</v>
      </c>
      <c r="E739">
        <v>63631</v>
      </c>
      <c r="F739">
        <f t="shared" si="65"/>
        <v>2.4464992887077548</v>
      </c>
      <c r="G739">
        <f t="shared" si="72"/>
        <v>110.97320773578376</v>
      </c>
      <c r="H739">
        <v>399.68166666666667</v>
      </c>
      <c r="I739" t="s">
        <v>38</v>
      </c>
      <c r="J739">
        <f t="shared" si="74"/>
        <v>8.8113242210464442</v>
      </c>
      <c r="K739">
        <v>1327.7</v>
      </c>
    </row>
    <row r="740" spans="1:11" x14ac:dyDescent="0.35">
      <c r="A740" s="1">
        <v>38534</v>
      </c>
      <c r="B740" t="s">
        <v>5</v>
      </c>
      <c r="C740" t="s">
        <v>38</v>
      </c>
      <c r="D740">
        <v>23847</v>
      </c>
      <c r="E740">
        <v>52659</v>
      </c>
      <c r="F740">
        <f t="shared" si="65"/>
        <v>2.2082022895961755</v>
      </c>
      <c r="G740">
        <f t="shared" si="72"/>
        <v>100.16405585608251</v>
      </c>
      <c r="H740">
        <v>386.65649999999999</v>
      </c>
      <c r="I740" t="s">
        <v>38</v>
      </c>
      <c r="J740">
        <f t="shared" si="74"/>
        <v>8.5241732804232804</v>
      </c>
      <c r="K740">
        <v>1327.7</v>
      </c>
    </row>
    <row r="741" spans="1:11" x14ac:dyDescent="0.35">
      <c r="A741" s="1">
        <v>38565</v>
      </c>
      <c r="B741" t="s">
        <v>5</v>
      </c>
      <c r="C741" t="s">
        <v>38</v>
      </c>
      <c r="D741">
        <v>44706</v>
      </c>
      <c r="E741">
        <v>90342</v>
      </c>
      <c r="F741">
        <f t="shared" si="65"/>
        <v>2.0208025768353242</v>
      </c>
      <c r="G741">
        <f t="shared" si="72"/>
        <v>91.663604885250308</v>
      </c>
      <c r="H741">
        <v>297.01037499999995</v>
      </c>
      <c r="I741" t="s">
        <v>38</v>
      </c>
      <c r="J741">
        <f t="shared" si="74"/>
        <v>6.5478477733686056</v>
      </c>
      <c r="K741">
        <v>1327.7</v>
      </c>
    </row>
    <row r="742" spans="1:11" x14ac:dyDescent="0.35">
      <c r="A742" s="1">
        <v>38596</v>
      </c>
      <c r="B742" t="s">
        <v>5</v>
      </c>
      <c r="C742" t="s">
        <v>38</v>
      </c>
      <c r="D742">
        <v>82296</v>
      </c>
      <c r="E742">
        <v>153583</v>
      </c>
      <c r="F742">
        <f t="shared" si="65"/>
        <v>1.8662267910955574</v>
      </c>
      <c r="G742">
        <f t="shared" si="72"/>
        <v>84.65204724409449</v>
      </c>
      <c r="H742">
        <v>284.62548888888887</v>
      </c>
      <c r="I742" t="s">
        <v>38</v>
      </c>
      <c r="J742">
        <f t="shared" si="74"/>
        <v>6.274812365275328</v>
      </c>
      <c r="K742">
        <v>1327.7</v>
      </c>
    </row>
    <row r="743" spans="1:11" x14ac:dyDescent="0.35">
      <c r="A743" s="1">
        <v>38626</v>
      </c>
      <c r="B743" t="s">
        <v>5</v>
      </c>
      <c r="C743" t="s">
        <v>38</v>
      </c>
      <c r="D743">
        <v>38504</v>
      </c>
      <c r="E743">
        <v>98616</v>
      </c>
      <c r="F743">
        <f t="shared" si="65"/>
        <v>2.5611884479534592</v>
      </c>
      <c r="G743">
        <f t="shared" si="72"/>
        <v>116.17550799916891</v>
      </c>
      <c r="H743">
        <v>286.84920000000005</v>
      </c>
      <c r="I743" t="s">
        <v>38</v>
      </c>
      <c r="J743">
        <f t="shared" si="74"/>
        <v>6.3238359788359801</v>
      </c>
      <c r="K743">
        <v>1327.7</v>
      </c>
    </row>
    <row r="744" spans="1:11" x14ac:dyDescent="0.35">
      <c r="A744" s="1">
        <v>38657</v>
      </c>
      <c r="B744" t="s">
        <v>5</v>
      </c>
      <c r="C744" t="s">
        <v>38</v>
      </c>
      <c r="D744">
        <v>36006</v>
      </c>
      <c r="E744">
        <v>66196</v>
      </c>
      <c r="F744">
        <f t="shared" si="65"/>
        <v>1.8384713658834639</v>
      </c>
      <c r="G744">
        <f t="shared" si="72"/>
        <v>83.393061156473919</v>
      </c>
      <c r="H744">
        <v>297.09693333333337</v>
      </c>
      <c r="I744" t="s">
        <v>38</v>
      </c>
      <c r="J744">
        <f t="shared" si="74"/>
        <v>6.5497560258671381</v>
      </c>
      <c r="K744">
        <v>1327.7</v>
      </c>
    </row>
    <row r="745" spans="1:11" x14ac:dyDescent="0.35">
      <c r="A745" s="1">
        <v>38687</v>
      </c>
      <c r="B745" t="s">
        <v>5</v>
      </c>
      <c r="C745" t="s">
        <v>38</v>
      </c>
      <c r="D745">
        <v>31395</v>
      </c>
      <c r="E745">
        <v>54371</v>
      </c>
      <c r="F745">
        <f t="shared" si="65"/>
        <v>1.7318362796623665</v>
      </c>
      <c r="G745">
        <f t="shared" si="72"/>
        <v>78.55609364548495</v>
      </c>
      <c r="H745">
        <v>296.25291428571427</v>
      </c>
      <c r="I745" t="s">
        <v>38</v>
      </c>
      <c r="J745">
        <f t="shared" si="74"/>
        <v>6.5311489040060469</v>
      </c>
      <c r="K745">
        <v>1327.7</v>
      </c>
    </row>
    <row r="746" spans="1:11" x14ac:dyDescent="0.35">
      <c r="A746" s="1">
        <v>38353</v>
      </c>
      <c r="B746" t="s">
        <v>7</v>
      </c>
      <c r="C746" t="s">
        <v>38</v>
      </c>
      <c r="D746">
        <v>6462</v>
      </c>
      <c r="E746">
        <v>50376</v>
      </c>
      <c r="F746">
        <f t="shared" si="65"/>
        <v>7.7957288765088206</v>
      </c>
      <c r="G746">
        <f t="shared" si="72"/>
        <v>353.61426183844009</v>
      </c>
      <c r="H746">
        <v>528.83000000000004</v>
      </c>
      <c r="I746" t="s">
        <v>38</v>
      </c>
      <c r="J746">
        <f t="shared" si="74"/>
        <v>11.658509700176367</v>
      </c>
      <c r="K746">
        <v>2092.86</v>
      </c>
    </row>
    <row r="747" spans="1:11" x14ac:dyDescent="0.35">
      <c r="A747" s="1">
        <v>38384</v>
      </c>
      <c r="B747" t="s">
        <v>7</v>
      </c>
      <c r="C747" t="s">
        <v>38</v>
      </c>
      <c r="D747">
        <v>6255</v>
      </c>
      <c r="E747">
        <v>53118</v>
      </c>
      <c r="F747">
        <f t="shared" si="65"/>
        <v>8.4920863309352512</v>
      </c>
      <c r="G747">
        <f t="shared" si="72"/>
        <v>385.20103597122301</v>
      </c>
      <c r="H747">
        <v>378.56599999999997</v>
      </c>
      <c r="I747" t="s">
        <v>38</v>
      </c>
      <c r="J747">
        <f t="shared" si="74"/>
        <v>8.3458112874779538</v>
      </c>
      <c r="K747">
        <v>2092.86</v>
      </c>
    </row>
    <row r="748" spans="1:11" x14ac:dyDescent="0.35">
      <c r="A748" s="1">
        <v>38412</v>
      </c>
      <c r="B748" t="s">
        <v>7</v>
      </c>
      <c r="C748" t="s">
        <v>38</v>
      </c>
      <c r="D748">
        <v>8333</v>
      </c>
      <c r="E748">
        <v>74724</v>
      </c>
      <c r="F748">
        <f t="shared" si="65"/>
        <v>8.9672386895475817</v>
      </c>
      <c r="G748">
        <f t="shared" si="72"/>
        <v>406.75394695787833</v>
      </c>
      <c r="H748">
        <v>408.04599999999999</v>
      </c>
      <c r="I748" t="s">
        <v>38</v>
      </c>
      <c r="J748">
        <f t="shared" si="74"/>
        <v>8.995723104056438</v>
      </c>
      <c r="K748">
        <v>2092.86</v>
      </c>
    </row>
    <row r="749" spans="1:11" x14ac:dyDescent="0.35">
      <c r="A749" s="1">
        <v>38443</v>
      </c>
      <c r="B749" t="s">
        <v>7</v>
      </c>
      <c r="C749" t="s">
        <v>38</v>
      </c>
      <c r="D749">
        <v>10746</v>
      </c>
      <c r="E749">
        <v>87655</v>
      </c>
      <c r="F749">
        <f t="shared" si="65"/>
        <v>8.1569886469383963</v>
      </c>
      <c r="G749">
        <f t="shared" si="72"/>
        <v>370.00100502512566</v>
      </c>
      <c r="H749">
        <v>271.90649999999999</v>
      </c>
      <c r="I749" t="s">
        <v>38</v>
      </c>
      <c r="J749">
        <f t="shared" si="74"/>
        <v>5.9944113756613753</v>
      </c>
      <c r="K749">
        <v>2092.86</v>
      </c>
    </row>
    <row r="750" spans="1:11" x14ac:dyDescent="0.35">
      <c r="A750" s="1">
        <v>38473</v>
      </c>
      <c r="B750" t="s">
        <v>7</v>
      </c>
      <c r="C750" t="s">
        <v>38</v>
      </c>
      <c r="D750">
        <v>8020</v>
      </c>
      <c r="E750">
        <v>79690</v>
      </c>
      <c r="F750">
        <f t="shared" si="65"/>
        <v>9.9364089775561091</v>
      </c>
      <c r="G750">
        <f t="shared" si="72"/>
        <v>450.71551122194512</v>
      </c>
      <c r="H750">
        <v>295.8</v>
      </c>
      <c r="I750" t="s">
        <v>38</v>
      </c>
      <c r="J750">
        <f t="shared" si="74"/>
        <v>6.5211640211640214</v>
      </c>
      <c r="K750">
        <v>2092.86</v>
      </c>
    </row>
    <row r="751" spans="1:11" x14ac:dyDescent="0.35">
      <c r="A751" s="1">
        <v>38504</v>
      </c>
      <c r="B751" t="s">
        <v>7</v>
      </c>
      <c r="C751" t="s">
        <v>38</v>
      </c>
      <c r="D751">
        <v>7572</v>
      </c>
      <c r="E751">
        <v>73082</v>
      </c>
      <c r="F751">
        <f t="shared" si="65"/>
        <v>9.6516111991547806</v>
      </c>
      <c r="G751">
        <f t="shared" si="72"/>
        <v>437.79708399366086</v>
      </c>
      <c r="H751">
        <v>278.39999999999998</v>
      </c>
      <c r="I751" t="s">
        <v>38</v>
      </c>
      <c r="J751">
        <f t="shared" si="74"/>
        <v>6.1375661375661368</v>
      </c>
      <c r="K751">
        <v>2092.86</v>
      </c>
    </row>
    <row r="752" spans="1:11" x14ac:dyDescent="0.35">
      <c r="A752" s="1">
        <v>38534</v>
      </c>
      <c r="B752" t="s">
        <v>7</v>
      </c>
      <c r="C752" t="s">
        <v>38</v>
      </c>
      <c r="D752">
        <v>7297</v>
      </c>
      <c r="E752">
        <v>72733</v>
      </c>
      <c r="F752">
        <f t="shared" si="65"/>
        <v>9.967520898999588</v>
      </c>
      <c r="G752">
        <f t="shared" si="72"/>
        <v>452.12674797862132</v>
      </c>
      <c r="H752">
        <v>284.12099999999998</v>
      </c>
      <c r="I752" t="s">
        <v>38</v>
      </c>
      <c r="J752">
        <f t="shared" si="74"/>
        <v>6.2636904761904759</v>
      </c>
      <c r="K752">
        <v>2092.86</v>
      </c>
    </row>
    <row r="753" spans="1:11" x14ac:dyDescent="0.35">
      <c r="A753" s="1">
        <v>38565</v>
      </c>
      <c r="B753" t="s">
        <v>7</v>
      </c>
      <c r="C753" t="s">
        <v>38</v>
      </c>
      <c r="D753">
        <v>6633</v>
      </c>
      <c r="E753">
        <v>59864</v>
      </c>
      <c r="F753">
        <f t="shared" si="65"/>
        <v>9.0251771445801303</v>
      </c>
      <c r="G753">
        <f t="shared" si="72"/>
        <v>409.38203527815472</v>
      </c>
      <c r="H753">
        <v>375.41950000000003</v>
      </c>
      <c r="I753" t="s">
        <v>38</v>
      </c>
      <c r="J753">
        <f t="shared" si="74"/>
        <v>8.2764440035273381</v>
      </c>
      <c r="K753">
        <v>2092.86</v>
      </c>
    </row>
    <row r="754" spans="1:11" x14ac:dyDescent="0.35">
      <c r="A754" s="1">
        <v>38596</v>
      </c>
      <c r="B754" t="s">
        <v>7</v>
      </c>
      <c r="C754" t="s">
        <v>38</v>
      </c>
      <c r="D754">
        <v>6241</v>
      </c>
      <c r="E754">
        <v>56805</v>
      </c>
      <c r="F754">
        <f t="shared" si="65"/>
        <v>9.1019067457138281</v>
      </c>
      <c r="G754">
        <f t="shared" si="72"/>
        <v>412.86248998557926</v>
      </c>
      <c r="H754">
        <v>289.4206666666667</v>
      </c>
      <c r="I754" t="s">
        <v>38</v>
      </c>
      <c r="J754">
        <f t="shared" si="74"/>
        <v>6.3805261610817174</v>
      </c>
      <c r="K754">
        <v>2092.86</v>
      </c>
    </row>
    <row r="755" spans="1:11" x14ac:dyDescent="0.35">
      <c r="A755" s="1">
        <v>38626</v>
      </c>
      <c r="B755" t="s">
        <v>7</v>
      </c>
      <c r="C755" t="s">
        <v>38</v>
      </c>
      <c r="D755">
        <v>10508</v>
      </c>
      <c r="E755">
        <v>81590</v>
      </c>
      <c r="F755">
        <f t="shared" si="65"/>
        <v>7.7645603349828702</v>
      </c>
      <c r="G755">
        <f t="shared" si="72"/>
        <v>352.20045679482297</v>
      </c>
      <c r="H755">
        <v>309.6466666666667</v>
      </c>
      <c r="I755" t="s">
        <v>38</v>
      </c>
      <c r="J755">
        <f t="shared" si="74"/>
        <v>6.8264256319811887</v>
      </c>
      <c r="K755">
        <v>2092.86</v>
      </c>
    </row>
    <row r="756" spans="1:11" x14ac:dyDescent="0.35">
      <c r="A756" s="1">
        <v>38657</v>
      </c>
      <c r="B756" t="s">
        <v>7</v>
      </c>
      <c r="C756" t="s">
        <v>38</v>
      </c>
      <c r="D756">
        <v>9293</v>
      </c>
      <c r="E756">
        <v>68028</v>
      </c>
      <c r="F756">
        <f t="shared" si="65"/>
        <v>7.3203486495211454</v>
      </c>
      <c r="G756">
        <f t="shared" si="72"/>
        <v>332.05101474227916</v>
      </c>
      <c r="H756">
        <v>285.07500000000005</v>
      </c>
      <c r="I756" t="s">
        <v>38</v>
      </c>
      <c r="J756">
        <f t="shared" si="74"/>
        <v>6.2847222222222232</v>
      </c>
      <c r="K756">
        <v>2092.86</v>
      </c>
    </row>
    <row r="757" spans="1:11" x14ac:dyDescent="0.35">
      <c r="A757" s="1">
        <v>38687</v>
      </c>
      <c r="B757" t="s">
        <v>7</v>
      </c>
      <c r="C757" t="s">
        <v>38</v>
      </c>
      <c r="D757">
        <v>5382</v>
      </c>
      <c r="E757">
        <v>43941</v>
      </c>
      <c r="F757">
        <f t="shared" si="65"/>
        <v>8.1644370122630985</v>
      </c>
      <c r="G757">
        <f t="shared" si="72"/>
        <v>370.33886287625415</v>
      </c>
      <c r="H757">
        <v>284.99216666666666</v>
      </c>
      <c r="I757" t="s">
        <v>38</v>
      </c>
      <c r="J757">
        <f t="shared" si="74"/>
        <v>6.2828960905349795</v>
      </c>
      <c r="K757">
        <v>2092.86</v>
      </c>
    </row>
    <row r="758" spans="1:11" x14ac:dyDescent="0.35">
      <c r="A758" s="1">
        <v>38353</v>
      </c>
      <c r="B758" t="s">
        <v>8</v>
      </c>
      <c r="C758" t="s">
        <v>38</v>
      </c>
      <c r="D758">
        <v>2959</v>
      </c>
      <c r="E758">
        <v>24534</v>
      </c>
      <c r="F758">
        <f t="shared" si="65"/>
        <v>8.2913146333220684</v>
      </c>
      <c r="G758">
        <f t="shared" si="72"/>
        <v>376.09403176748901</v>
      </c>
      <c r="H758">
        <v>563.75</v>
      </c>
      <c r="I758" t="s">
        <v>38</v>
      </c>
      <c r="J758">
        <f t="shared" si="74"/>
        <v>12.428350970017636</v>
      </c>
      <c r="K758">
        <v>5853.83</v>
      </c>
    </row>
    <row r="759" spans="1:11" x14ac:dyDescent="0.35">
      <c r="A759" s="1">
        <v>38384</v>
      </c>
      <c r="B759" t="s">
        <v>8</v>
      </c>
      <c r="C759" t="s">
        <v>38</v>
      </c>
      <c r="D759">
        <v>3548</v>
      </c>
      <c r="E759">
        <v>23269</v>
      </c>
      <c r="F759">
        <f t="shared" si="65"/>
        <v>6.5583427282976325</v>
      </c>
      <c r="G759">
        <f t="shared" si="72"/>
        <v>297.4864261555806</v>
      </c>
      <c r="H759">
        <v>590</v>
      </c>
      <c r="I759" t="s">
        <v>38</v>
      </c>
      <c r="J759">
        <f t="shared" si="74"/>
        <v>13.00705467372134</v>
      </c>
      <c r="K759">
        <v>5853.83</v>
      </c>
    </row>
    <row r="760" spans="1:11" x14ac:dyDescent="0.35">
      <c r="A760" s="1">
        <v>38412</v>
      </c>
      <c r="B760" t="s">
        <v>8</v>
      </c>
      <c r="C760" t="s">
        <v>38</v>
      </c>
      <c r="D760">
        <v>6199</v>
      </c>
      <c r="E760">
        <v>50169</v>
      </c>
      <c r="F760">
        <f t="shared" si="65"/>
        <v>8.0930795289562827</v>
      </c>
      <c r="G760">
        <f t="shared" si="72"/>
        <v>367.10208743345697</v>
      </c>
      <c r="H760">
        <v>622</v>
      </c>
      <c r="I760" t="s">
        <v>38</v>
      </c>
      <c r="J760">
        <f t="shared" si="74"/>
        <v>13.71252204585538</v>
      </c>
      <c r="K760">
        <v>5853.83</v>
      </c>
    </row>
    <row r="761" spans="1:11" x14ac:dyDescent="0.35">
      <c r="A761" s="1">
        <v>38443</v>
      </c>
      <c r="B761" t="s">
        <v>8</v>
      </c>
      <c r="C761" t="s">
        <v>38</v>
      </c>
      <c r="D761">
        <v>4327</v>
      </c>
      <c r="E761">
        <v>33096</v>
      </c>
      <c r="F761">
        <f t="shared" si="65"/>
        <v>7.648717356135891</v>
      </c>
      <c r="G761">
        <f t="shared" si="72"/>
        <v>346.94581927432404</v>
      </c>
      <c r="H761">
        <v>656.25</v>
      </c>
      <c r="I761" t="s">
        <v>38</v>
      </c>
      <c r="J761">
        <f t="shared" si="74"/>
        <v>14.467592592592593</v>
      </c>
      <c r="K761">
        <v>5853.83</v>
      </c>
    </row>
    <row r="762" spans="1:11" x14ac:dyDescent="0.35">
      <c r="A762" s="1">
        <v>38473</v>
      </c>
      <c r="B762" t="s">
        <v>8</v>
      </c>
      <c r="C762" t="s">
        <v>38</v>
      </c>
      <c r="D762">
        <v>4965</v>
      </c>
      <c r="E762">
        <v>45220</v>
      </c>
      <c r="F762">
        <f t="shared" si="65"/>
        <v>9.1077542799597175</v>
      </c>
      <c r="G762">
        <f t="shared" si="72"/>
        <v>413.12773413897276</v>
      </c>
      <c r="H762">
        <v>716</v>
      </c>
      <c r="I762" t="s">
        <v>38</v>
      </c>
      <c r="J762">
        <f t="shared" si="74"/>
        <v>15.784832451499119</v>
      </c>
      <c r="K762">
        <v>5853.83</v>
      </c>
    </row>
    <row r="763" spans="1:11" x14ac:dyDescent="0.35">
      <c r="A763" s="1">
        <v>38504</v>
      </c>
      <c r="B763" t="s">
        <v>8</v>
      </c>
      <c r="C763" t="s">
        <v>38</v>
      </c>
      <c r="D763">
        <v>2733</v>
      </c>
      <c r="E763">
        <v>24293</v>
      </c>
      <c r="F763">
        <f t="shared" ref="F763:F826" si="75">E763/D763</f>
        <v>8.8887669227954635</v>
      </c>
      <c r="G763">
        <f t="shared" si="72"/>
        <v>403.19446761800219</v>
      </c>
      <c r="H763">
        <v>780.5</v>
      </c>
      <c r="I763" t="s">
        <v>38</v>
      </c>
      <c r="J763">
        <f t="shared" si="74"/>
        <v>17.206790123456791</v>
      </c>
      <c r="K763">
        <v>5853.83</v>
      </c>
    </row>
    <row r="764" spans="1:11" x14ac:dyDescent="0.35">
      <c r="A764" s="1">
        <v>38534</v>
      </c>
      <c r="B764" t="s">
        <v>8</v>
      </c>
      <c r="C764" t="s">
        <v>38</v>
      </c>
      <c r="D764">
        <v>1877</v>
      </c>
      <c r="E764">
        <v>17141</v>
      </c>
      <c r="F764">
        <f t="shared" si="75"/>
        <v>9.1321257325519447</v>
      </c>
      <c r="G764">
        <f t="shared" si="72"/>
        <v>414.2332232285562</v>
      </c>
      <c r="H764">
        <v>820</v>
      </c>
      <c r="I764" t="s">
        <v>38</v>
      </c>
      <c r="J764">
        <f t="shared" si="74"/>
        <v>18.077601410934744</v>
      </c>
      <c r="K764">
        <v>5853.83</v>
      </c>
    </row>
    <row r="765" spans="1:11" x14ac:dyDescent="0.35">
      <c r="A765" s="1">
        <v>38565</v>
      </c>
      <c r="B765" t="s">
        <v>8</v>
      </c>
      <c r="C765" t="s">
        <v>38</v>
      </c>
      <c r="D765">
        <v>2223</v>
      </c>
      <c r="E765">
        <v>15667</v>
      </c>
      <c r="F765">
        <f t="shared" si="75"/>
        <v>7.0476833108412054</v>
      </c>
      <c r="G765">
        <f t="shared" si="72"/>
        <v>319.68291497975707</v>
      </c>
      <c r="H765">
        <v>750</v>
      </c>
      <c r="I765" t="s">
        <v>38</v>
      </c>
      <c r="J765">
        <f t="shared" si="74"/>
        <v>16.534391534391535</v>
      </c>
      <c r="K765">
        <v>5853.83</v>
      </c>
    </row>
    <row r="766" spans="1:11" x14ac:dyDescent="0.35">
      <c r="A766" s="1">
        <v>38596</v>
      </c>
      <c r="B766" t="s">
        <v>8</v>
      </c>
      <c r="C766" t="s">
        <v>38</v>
      </c>
      <c r="D766">
        <v>3147</v>
      </c>
      <c r="E766">
        <v>23073</v>
      </c>
      <c r="F766">
        <f t="shared" si="75"/>
        <v>7.3317445185891321</v>
      </c>
      <c r="G766">
        <f t="shared" si="72"/>
        <v>332.567931363203</v>
      </c>
      <c r="H766">
        <v>620.5</v>
      </c>
      <c r="I766" t="s">
        <v>38</v>
      </c>
      <c r="J766">
        <f t="shared" si="74"/>
        <v>13.679453262786597</v>
      </c>
      <c r="K766">
        <v>5853.83</v>
      </c>
    </row>
    <row r="767" spans="1:11" x14ac:dyDescent="0.35">
      <c r="A767" s="1">
        <v>38626</v>
      </c>
      <c r="B767" t="s">
        <v>8</v>
      </c>
      <c r="C767" t="s">
        <v>38</v>
      </c>
      <c r="D767">
        <v>3079</v>
      </c>
      <c r="E767">
        <v>24629</v>
      </c>
      <c r="F767">
        <f t="shared" si="75"/>
        <v>7.9990256576810657</v>
      </c>
      <c r="G767">
        <f t="shared" si="72"/>
        <v>362.83580383241315</v>
      </c>
      <c r="H767">
        <v>900</v>
      </c>
      <c r="I767" t="s">
        <v>38</v>
      </c>
      <c r="J767">
        <f t="shared" si="74"/>
        <v>19.841269841269842</v>
      </c>
      <c r="K767">
        <v>5853.83</v>
      </c>
    </row>
    <row r="768" spans="1:11" x14ac:dyDescent="0.35">
      <c r="A768" s="1">
        <v>38657</v>
      </c>
      <c r="B768" t="s">
        <v>8</v>
      </c>
      <c r="C768" t="s">
        <v>38</v>
      </c>
      <c r="D768">
        <v>4111</v>
      </c>
      <c r="E768">
        <v>22388</v>
      </c>
      <c r="F768">
        <f t="shared" si="75"/>
        <v>5.4458769155923132</v>
      </c>
      <c r="G768">
        <f t="shared" si="72"/>
        <v>247.02497689126733</v>
      </c>
      <c r="H768">
        <v>866.66666666666663</v>
      </c>
      <c r="I768" t="s">
        <v>38</v>
      </c>
      <c r="J768">
        <f t="shared" si="74"/>
        <v>19.106407995296884</v>
      </c>
      <c r="K768">
        <v>5853.83</v>
      </c>
    </row>
    <row r="769" spans="1:11" x14ac:dyDescent="0.35">
      <c r="A769" s="1">
        <v>38687</v>
      </c>
      <c r="B769" t="s">
        <v>8</v>
      </c>
      <c r="C769" t="s">
        <v>38</v>
      </c>
      <c r="D769">
        <v>4221</v>
      </c>
      <c r="E769">
        <v>35446</v>
      </c>
      <c r="F769">
        <f t="shared" si="75"/>
        <v>8.3975361288794126</v>
      </c>
      <c r="G769">
        <f t="shared" si="72"/>
        <v>380.91223880597016</v>
      </c>
      <c r="H769">
        <v>810.41750000000002</v>
      </c>
      <c r="I769" t="s">
        <v>38</v>
      </c>
      <c r="J769">
        <f t="shared" si="74"/>
        <v>17.866347001763668</v>
      </c>
      <c r="K769">
        <v>5853.83</v>
      </c>
    </row>
    <row r="770" spans="1:11" x14ac:dyDescent="0.35">
      <c r="A770" s="1">
        <v>38353</v>
      </c>
      <c r="B770" t="s">
        <v>9</v>
      </c>
      <c r="C770" t="s">
        <v>38</v>
      </c>
      <c r="D770">
        <v>2450</v>
      </c>
      <c r="E770">
        <v>66489</v>
      </c>
      <c r="F770">
        <f t="shared" si="75"/>
        <v>27.138367346938775</v>
      </c>
      <c r="G770">
        <f t="shared" si="72"/>
        <v>1230.9963428571427</v>
      </c>
      <c r="H770">
        <v>533.33333333333326</v>
      </c>
      <c r="I770" t="s">
        <v>38</v>
      </c>
      <c r="J770">
        <f t="shared" si="74"/>
        <v>11.757789535567312</v>
      </c>
      <c r="K770">
        <v>10163.530000000001</v>
      </c>
    </row>
    <row r="771" spans="1:11" x14ac:dyDescent="0.35">
      <c r="A771" s="1">
        <v>38384</v>
      </c>
      <c r="B771" t="s">
        <v>9</v>
      </c>
      <c r="C771" t="s">
        <v>38</v>
      </c>
      <c r="D771">
        <v>2569</v>
      </c>
      <c r="E771">
        <v>85687</v>
      </c>
      <c r="F771">
        <f t="shared" si="75"/>
        <v>33.35422343324251</v>
      </c>
      <c r="G771">
        <f t="shared" si="72"/>
        <v>1512.9475749318801</v>
      </c>
      <c r="H771">
        <v>325</v>
      </c>
      <c r="I771" t="s">
        <v>38</v>
      </c>
      <c r="J771">
        <f t="shared" si="74"/>
        <v>7.1649029982363315</v>
      </c>
      <c r="K771">
        <v>10163.530000000001</v>
      </c>
    </row>
    <row r="772" spans="1:11" x14ac:dyDescent="0.35">
      <c r="A772" s="1">
        <v>38412</v>
      </c>
      <c r="B772" t="s">
        <v>9</v>
      </c>
      <c r="C772" t="s">
        <v>38</v>
      </c>
      <c r="D772">
        <v>4004</v>
      </c>
      <c r="E772">
        <v>126635</v>
      </c>
      <c r="F772">
        <f t="shared" si="75"/>
        <v>31.627122877122876</v>
      </c>
      <c r="G772">
        <f t="shared" si="72"/>
        <v>1434.6062937062936</v>
      </c>
      <c r="H772">
        <v>543.125</v>
      </c>
      <c r="I772" t="s">
        <v>38</v>
      </c>
      <c r="J772">
        <f t="shared" si="74"/>
        <v>11.97365520282187</v>
      </c>
      <c r="K772">
        <v>10163.530000000001</v>
      </c>
    </row>
    <row r="773" spans="1:11" x14ac:dyDescent="0.35">
      <c r="A773" s="1">
        <v>38443</v>
      </c>
      <c r="B773" t="s">
        <v>9</v>
      </c>
      <c r="C773" t="s">
        <v>38</v>
      </c>
      <c r="D773">
        <v>2582</v>
      </c>
      <c r="E773">
        <v>82767</v>
      </c>
      <c r="F773">
        <f t="shared" si="75"/>
        <v>32.055383423702558</v>
      </c>
      <c r="G773">
        <f t="shared" si="72"/>
        <v>1454.032192099148</v>
      </c>
      <c r="H773">
        <v>525</v>
      </c>
      <c r="I773" t="s">
        <v>38</v>
      </c>
      <c r="J773">
        <f t="shared" si="74"/>
        <v>11.574074074074074</v>
      </c>
      <c r="K773">
        <v>10163.530000000001</v>
      </c>
    </row>
    <row r="774" spans="1:11" x14ac:dyDescent="0.35">
      <c r="A774" s="1">
        <v>38473</v>
      </c>
      <c r="B774" t="s">
        <v>9</v>
      </c>
      <c r="C774" t="s">
        <v>38</v>
      </c>
      <c r="D774">
        <v>3773</v>
      </c>
      <c r="E774">
        <v>128930</v>
      </c>
      <c r="F774">
        <f t="shared" si="75"/>
        <v>34.171746620726211</v>
      </c>
      <c r="G774">
        <f t="shared" si="72"/>
        <v>1550.0304267161409</v>
      </c>
      <c r="H774">
        <v>480</v>
      </c>
      <c r="I774" t="s">
        <v>38</v>
      </c>
      <c r="J774">
        <f t="shared" si="74"/>
        <v>10.582010582010582</v>
      </c>
      <c r="K774">
        <v>10163.530000000001</v>
      </c>
    </row>
    <row r="775" spans="1:11" x14ac:dyDescent="0.35">
      <c r="A775" s="1">
        <v>38504</v>
      </c>
      <c r="B775" t="s">
        <v>9</v>
      </c>
      <c r="C775" t="s">
        <v>38</v>
      </c>
      <c r="D775">
        <v>2193</v>
      </c>
      <c r="E775">
        <v>70535</v>
      </c>
      <c r="F775">
        <f t="shared" si="75"/>
        <v>32.163702690378479</v>
      </c>
      <c r="G775">
        <f t="shared" si="72"/>
        <v>1458.9455540355677</v>
      </c>
      <c r="H775">
        <v>480</v>
      </c>
      <c r="I775" t="s">
        <v>38</v>
      </c>
      <c r="J775">
        <f t="shared" si="74"/>
        <v>10.582010582010582</v>
      </c>
      <c r="K775">
        <v>10163.530000000001</v>
      </c>
    </row>
    <row r="776" spans="1:11" x14ac:dyDescent="0.35">
      <c r="A776" s="1">
        <v>38534</v>
      </c>
      <c r="B776" t="s">
        <v>9</v>
      </c>
      <c r="C776" t="s">
        <v>38</v>
      </c>
      <c r="D776">
        <v>2380</v>
      </c>
      <c r="E776">
        <v>72465</v>
      </c>
      <c r="F776">
        <f t="shared" si="75"/>
        <v>30.44747899159664</v>
      </c>
      <c r="G776">
        <f t="shared" si="72"/>
        <v>1381.0976470588237</v>
      </c>
      <c r="H776">
        <v>569.04166666666663</v>
      </c>
      <c r="I776" t="s">
        <v>38</v>
      </c>
      <c r="J776">
        <f t="shared" si="74"/>
        <v>12.545010288065843</v>
      </c>
      <c r="K776">
        <v>10163.530000000001</v>
      </c>
    </row>
    <row r="777" spans="1:11" x14ac:dyDescent="0.35">
      <c r="A777" s="1">
        <v>38565</v>
      </c>
      <c r="B777" t="s">
        <v>9</v>
      </c>
      <c r="C777" t="s">
        <v>38</v>
      </c>
      <c r="D777">
        <v>3331</v>
      </c>
      <c r="E777">
        <v>131375</v>
      </c>
      <c r="F777">
        <f t="shared" si="75"/>
        <v>39.440108075652958</v>
      </c>
      <c r="G777">
        <f t="shared" si="72"/>
        <v>1789.0033023116182</v>
      </c>
      <c r="H777">
        <v>691.05</v>
      </c>
      <c r="I777" t="s">
        <v>38</v>
      </c>
      <c r="J777">
        <f t="shared" si="74"/>
        <v>15.234788359788359</v>
      </c>
      <c r="K777">
        <v>10163.530000000001</v>
      </c>
    </row>
    <row r="778" spans="1:11" x14ac:dyDescent="0.35">
      <c r="A778" s="1">
        <v>38596</v>
      </c>
      <c r="B778" t="s">
        <v>9</v>
      </c>
      <c r="C778" t="s">
        <v>38</v>
      </c>
      <c r="D778">
        <v>3964</v>
      </c>
      <c r="E778">
        <v>87000</v>
      </c>
      <c r="F778">
        <f t="shared" si="75"/>
        <v>21.947527749747728</v>
      </c>
      <c r="G778">
        <f t="shared" si="72"/>
        <v>995.53985872855696</v>
      </c>
      <c r="H778">
        <v>726.60762499999998</v>
      </c>
      <c r="I778" t="s">
        <v>38</v>
      </c>
      <c r="J778">
        <f t="shared" si="74"/>
        <v>16.018686618165784</v>
      </c>
      <c r="K778">
        <v>10163.530000000001</v>
      </c>
    </row>
    <row r="779" spans="1:11" x14ac:dyDescent="0.35">
      <c r="A779" s="1">
        <v>38626</v>
      </c>
      <c r="B779" t="s">
        <v>9</v>
      </c>
      <c r="C779" t="s">
        <v>38</v>
      </c>
      <c r="D779">
        <v>3196</v>
      </c>
      <c r="E779">
        <v>89380</v>
      </c>
      <c r="F779">
        <f t="shared" si="75"/>
        <v>27.966207759699625</v>
      </c>
      <c r="G779">
        <f t="shared" si="72"/>
        <v>1268.547183979975</v>
      </c>
      <c r="H779">
        <v>736.66949999999997</v>
      </c>
      <c r="I779" t="s">
        <v>38</v>
      </c>
      <c r="J779">
        <f t="shared" si="74"/>
        <v>16.240509259259259</v>
      </c>
      <c r="K779">
        <v>10163.530000000001</v>
      </c>
    </row>
    <row r="780" spans="1:11" x14ac:dyDescent="0.35">
      <c r="A780" s="1">
        <v>38657</v>
      </c>
      <c r="B780" t="s">
        <v>9</v>
      </c>
      <c r="C780" t="s">
        <v>38</v>
      </c>
      <c r="D780">
        <v>2506</v>
      </c>
      <c r="E780">
        <v>66560</v>
      </c>
      <c r="F780">
        <f t="shared" si="75"/>
        <v>26.560255387071031</v>
      </c>
      <c r="G780">
        <f t="shared" si="72"/>
        <v>1204.773184357542</v>
      </c>
      <c r="H780">
        <v>700</v>
      </c>
      <c r="I780" t="s">
        <v>38</v>
      </c>
      <c r="J780">
        <f t="shared" si="74"/>
        <v>15.4320987654321</v>
      </c>
      <c r="K780">
        <v>10163.530000000001</v>
      </c>
    </row>
    <row r="781" spans="1:11" x14ac:dyDescent="0.35">
      <c r="A781" s="1">
        <v>38687</v>
      </c>
      <c r="B781" t="s">
        <v>9</v>
      </c>
      <c r="C781" t="s">
        <v>38</v>
      </c>
      <c r="D781">
        <v>1317</v>
      </c>
      <c r="E781">
        <v>41005</v>
      </c>
      <c r="F781">
        <f t="shared" si="75"/>
        <v>31.135155656795749</v>
      </c>
      <c r="G781">
        <f t="shared" si="72"/>
        <v>1412.2906605922551</v>
      </c>
      <c r="H781">
        <v>891.66666666666663</v>
      </c>
      <c r="I781" t="s">
        <v>38</v>
      </c>
      <c r="J781">
        <f t="shared" si="74"/>
        <v>19.657554379776602</v>
      </c>
      <c r="K781">
        <v>10163.530000000001</v>
      </c>
    </row>
    <row r="782" spans="1:11" x14ac:dyDescent="0.35">
      <c r="A782" s="1">
        <v>38353</v>
      </c>
      <c r="B782" t="s">
        <v>10</v>
      </c>
      <c r="C782" t="s">
        <v>38</v>
      </c>
      <c r="D782">
        <v>6499</v>
      </c>
      <c r="E782">
        <v>55325</v>
      </c>
      <c r="F782">
        <f t="shared" si="75"/>
        <v>8.512848130481613</v>
      </c>
      <c r="G782">
        <f t="shared" si="72"/>
        <v>386.14279119864597</v>
      </c>
      <c r="H782">
        <v>879.16666666666663</v>
      </c>
      <c r="I782" t="s">
        <v>38</v>
      </c>
      <c r="J782">
        <f t="shared" si="74"/>
        <v>19.381981187536741</v>
      </c>
      <c r="K782">
        <v>4680.83</v>
      </c>
    </row>
    <row r="783" spans="1:11" x14ac:dyDescent="0.35">
      <c r="A783" s="1">
        <v>38384</v>
      </c>
      <c r="B783" t="s">
        <v>10</v>
      </c>
      <c r="C783" t="s">
        <v>38</v>
      </c>
      <c r="D783">
        <v>9724</v>
      </c>
      <c r="E783">
        <v>91305</v>
      </c>
      <c r="F783">
        <f t="shared" si="75"/>
        <v>9.3896544631838754</v>
      </c>
      <c r="G783">
        <f t="shared" si="72"/>
        <v>425.91472645002057</v>
      </c>
      <c r="H783">
        <v>747.20749999999998</v>
      </c>
      <c r="I783" t="s">
        <v>38</v>
      </c>
      <c r="J783">
        <f t="shared" si="74"/>
        <v>16.472828483245149</v>
      </c>
      <c r="K783">
        <v>4680.83</v>
      </c>
    </row>
    <row r="784" spans="1:11" x14ac:dyDescent="0.35">
      <c r="A784" s="1">
        <v>38412</v>
      </c>
      <c r="B784" t="s">
        <v>10</v>
      </c>
      <c r="C784" t="s">
        <v>38</v>
      </c>
      <c r="D784">
        <v>9343</v>
      </c>
      <c r="E784">
        <v>86156</v>
      </c>
      <c r="F784">
        <f t="shared" si="75"/>
        <v>9.2214492133147807</v>
      </c>
      <c r="G784">
        <f t="shared" si="72"/>
        <v>418.28493631595848</v>
      </c>
      <c r="H784">
        <v>859.75</v>
      </c>
      <c r="I784" t="s">
        <v>38</v>
      </c>
      <c r="J784">
        <f t="shared" si="74"/>
        <v>18.953924162257497</v>
      </c>
      <c r="K784">
        <v>4680.83</v>
      </c>
    </row>
    <row r="785" spans="1:11" x14ac:dyDescent="0.35">
      <c r="A785" s="1">
        <v>38443</v>
      </c>
      <c r="B785" t="s">
        <v>10</v>
      </c>
      <c r="C785" t="s">
        <v>38</v>
      </c>
      <c r="D785">
        <v>6932</v>
      </c>
      <c r="E785">
        <v>83964</v>
      </c>
      <c r="F785">
        <f t="shared" si="75"/>
        <v>12.112521638776688</v>
      </c>
      <c r="G785">
        <f t="shared" si="72"/>
        <v>549.42398153491058</v>
      </c>
      <c r="H785">
        <v>720.4375</v>
      </c>
      <c r="I785" t="s">
        <v>38</v>
      </c>
      <c r="J785">
        <f t="shared" si="74"/>
        <v>15.882660934744269</v>
      </c>
      <c r="K785">
        <v>4680.83</v>
      </c>
    </row>
    <row r="786" spans="1:11" x14ac:dyDescent="0.35">
      <c r="A786" s="1">
        <v>38473</v>
      </c>
      <c r="B786" t="s">
        <v>10</v>
      </c>
      <c r="C786" t="s">
        <v>38</v>
      </c>
      <c r="D786">
        <v>4624</v>
      </c>
      <c r="E786">
        <v>40400</v>
      </c>
      <c r="F786">
        <f t="shared" si="75"/>
        <v>8.7370242214532876</v>
      </c>
      <c r="G786">
        <f t="shared" si="72"/>
        <v>396.31141868512111</v>
      </c>
      <c r="H786">
        <v>919.75</v>
      </c>
      <c r="I786" t="s">
        <v>38</v>
      </c>
      <c r="J786">
        <f t="shared" si="74"/>
        <v>20.27667548500882</v>
      </c>
      <c r="K786">
        <v>4680.83</v>
      </c>
    </row>
    <row r="787" spans="1:11" x14ac:dyDescent="0.35">
      <c r="A787" s="1">
        <v>38504</v>
      </c>
      <c r="B787" t="s">
        <v>10</v>
      </c>
      <c r="C787" t="s">
        <v>38</v>
      </c>
      <c r="D787">
        <v>5643</v>
      </c>
      <c r="E787">
        <v>40060</v>
      </c>
      <c r="F787">
        <f t="shared" si="75"/>
        <v>7.0990607832713097</v>
      </c>
      <c r="G787">
        <f t="shared" ref="G787:G828" si="76">F787*45.36</f>
        <v>322.01339712918661</v>
      </c>
      <c r="H787">
        <v>992.1875</v>
      </c>
      <c r="I787" t="s">
        <v>38</v>
      </c>
      <c r="J787">
        <f t="shared" si="74"/>
        <v>21.873622134038801</v>
      </c>
      <c r="K787">
        <v>4680.83</v>
      </c>
    </row>
    <row r="788" spans="1:11" x14ac:dyDescent="0.35">
      <c r="A788" s="1">
        <v>38534</v>
      </c>
      <c r="B788" t="s">
        <v>10</v>
      </c>
      <c r="C788" t="s">
        <v>38</v>
      </c>
      <c r="D788">
        <v>4964</v>
      </c>
      <c r="E788">
        <v>45194</v>
      </c>
      <c r="F788">
        <f t="shared" si="75"/>
        <v>9.1043513295729248</v>
      </c>
      <c r="G788">
        <f t="shared" si="76"/>
        <v>412.97337630942786</v>
      </c>
      <c r="H788">
        <v>790.5</v>
      </c>
      <c r="I788" t="s">
        <v>38</v>
      </c>
      <c r="J788">
        <f t="shared" si="74"/>
        <v>17.427248677248677</v>
      </c>
      <c r="K788">
        <v>4680.83</v>
      </c>
    </row>
    <row r="789" spans="1:11" x14ac:dyDescent="0.35">
      <c r="A789" s="1">
        <v>38565</v>
      </c>
      <c r="B789" t="s">
        <v>10</v>
      </c>
      <c r="C789" t="s">
        <v>38</v>
      </c>
      <c r="D789">
        <v>4864</v>
      </c>
      <c r="E789">
        <v>42827</v>
      </c>
      <c r="F789">
        <f t="shared" si="75"/>
        <v>8.8048930921052637</v>
      </c>
      <c r="G789">
        <f t="shared" si="76"/>
        <v>399.38995065789476</v>
      </c>
      <c r="H789">
        <v>870.66666666666663</v>
      </c>
      <c r="I789" t="s">
        <v>38</v>
      </c>
      <c r="J789">
        <f t="shared" si="74"/>
        <v>19.194591416813637</v>
      </c>
      <c r="K789">
        <v>4680.83</v>
      </c>
    </row>
    <row r="790" spans="1:11" x14ac:dyDescent="0.35">
      <c r="A790" s="1">
        <v>38596</v>
      </c>
      <c r="B790" t="s">
        <v>10</v>
      </c>
      <c r="C790" t="s">
        <v>38</v>
      </c>
      <c r="D790">
        <v>3888</v>
      </c>
      <c r="E790">
        <v>27751</v>
      </c>
      <c r="F790">
        <f t="shared" si="75"/>
        <v>7.1376028806584362</v>
      </c>
      <c r="G790">
        <f t="shared" si="76"/>
        <v>323.76166666666666</v>
      </c>
      <c r="H790">
        <v>945</v>
      </c>
      <c r="I790" t="s">
        <v>38</v>
      </c>
      <c r="J790">
        <f t="shared" si="74"/>
        <v>20.833333333333332</v>
      </c>
      <c r="K790">
        <v>4680.83</v>
      </c>
    </row>
    <row r="791" spans="1:11" x14ac:dyDescent="0.35">
      <c r="A791" s="1">
        <v>38626</v>
      </c>
      <c r="B791" t="s">
        <v>10</v>
      </c>
      <c r="C791" t="s">
        <v>38</v>
      </c>
      <c r="D791">
        <v>7651</v>
      </c>
      <c r="E791">
        <v>63130</v>
      </c>
      <c r="F791">
        <f t="shared" si="75"/>
        <v>8.2512089922885892</v>
      </c>
      <c r="G791">
        <f t="shared" si="76"/>
        <v>374.27483989021039</v>
      </c>
      <c r="H791">
        <v>995.625</v>
      </c>
      <c r="I791" t="s">
        <v>38</v>
      </c>
      <c r="J791">
        <f t="shared" si="74"/>
        <v>21.949404761904763</v>
      </c>
      <c r="K791">
        <v>4680.83</v>
      </c>
    </row>
    <row r="792" spans="1:11" x14ac:dyDescent="0.35">
      <c r="A792" s="1">
        <v>38657</v>
      </c>
      <c r="B792" t="s">
        <v>10</v>
      </c>
      <c r="C792" t="s">
        <v>38</v>
      </c>
      <c r="D792">
        <v>5115</v>
      </c>
      <c r="E792">
        <v>35379</v>
      </c>
      <c r="F792">
        <f t="shared" si="75"/>
        <v>6.9167155425219944</v>
      </c>
      <c r="G792">
        <f t="shared" si="76"/>
        <v>313.74221700879764</v>
      </c>
      <c r="H792">
        <v>940.3125</v>
      </c>
      <c r="I792" t="s">
        <v>38</v>
      </c>
      <c r="J792">
        <f t="shared" si="74"/>
        <v>20.729993386243386</v>
      </c>
      <c r="K792">
        <v>4680.83</v>
      </c>
    </row>
    <row r="793" spans="1:11" x14ac:dyDescent="0.35">
      <c r="A793" s="1">
        <v>38687</v>
      </c>
      <c r="B793" t="s">
        <v>10</v>
      </c>
      <c r="C793" t="s">
        <v>38</v>
      </c>
      <c r="D793">
        <v>6085</v>
      </c>
      <c r="E793">
        <v>60087</v>
      </c>
      <c r="F793">
        <f t="shared" si="75"/>
        <v>9.8746096959737066</v>
      </c>
      <c r="G793">
        <f t="shared" si="76"/>
        <v>447.91229580936732</v>
      </c>
      <c r="H793">
        <v>924.6</v>
      </c>
      <c r="I793" t="s">
        <v>38</v>
      </c>
      <c r="J793">
        <f t="shared" si="74"/>
        <v>20.383597883597883</v>
      </c>
      <c r="K793">
        <v>4680.83</v>
      </c>
    </row>
    <row r="794" spans="1:11" x14ac:dyDescent="0.35">
      <c r="A794" s="1">
        <v>38353</v>
      </c>
      <c r="B794" t="s">
        <v>11</v>
      </c>
      <c r="C794" t="s">
        <v>38</v>
      </c>
      <c r="D794">
        <v>22678</v>
      </c>
      <c r="E794">
        <v>215085</v>
      </c>
      <c r="F794">
        <f t="shared" si="75"/>
        <v>9.4843019666637272</v>
      </c>
      <c r="G794">
        <f t="shared" si="76"/>
        <v>430.20793720786668</v>
      </c>
      <c r="H794">
        <v>482.51</v>
      </c>
      <c r="I794" t="s">
        <v>38</v>
      </c>
      <c r="J794">
        <f t="shared" si="74"/>
        <v>10.637345679012345</v>
      </c>
      <c r="K794">
        <v>2314.2150000000001</v>
      </c>
    </row>
    <row r="795" spans="1:11" x14ac:dyDescent="0.35">
      <c r="A795" s="1">
        <v>38384</v>
      </c>
      <c r="B795" t="s">
        <v>11</v>
      </c>
      <c r="C795" t="s">
        <v>38</v>
      </c>
      <c r="D795">
        <v>21380</v>
      </c>
      <c r="E795">
        <v>199179</v>
      </c>
      <c r="F795">
        <f t="shared" si="75"/>
        <v>9.3161365762394759</v>
      </c>
      <c r="G795">
        <f t="shared" si="76"/>
        <v>422.57995509822263</v>
      </c>
      <c r="H795">
        <v>436.90350000000001</v>
      </c>
      <c r="I795" t="s">
        <v>38</v>
      </c>
      <c r="J795">
        <f t="shared" si="74"/>
        <v>9.6319113756613763</v>
      </c>
      <c r="K795">
        <v>2314.2150000000001</v>
      </c>
    </row>
    <row r="796" spans="1:11" x14ac:dyDescent="0.35">
      <c r="A796" s="1">
        <v>38412</v>
      </c>
      <c r="B796" t="s">
        <v>11</v>
      </c>
      <c r="C796" t="s">
        <v>38</v>
      </c>
      <c r="D796">
        <v>19394</v>
      </c>
      <c r="E796">
        <v>177871</v>
      </c>
      <c r="F796">
        <f t="shared" si="75"/>
        <v>9.171444776735072</v>
      </c>
      <c r="G796">
        <f t="shared" si="76"/>
        <v>416.01673507270289</v>
      </c>
      <c r="H796">
        <v>463.31875000000002</v>
      </c>
      <c r="I796" t="s">
        <v>38</v>
      </c>
      <c r="J796">
        <f t="shared" si="74"/>
        <v>10.214258156966491</v>
      </c>
      <c r="K796">
        <v>2314.2150000000001</v>
      </c>
    </row>
    <row r="797" spans="1:11" x14ac:dyDescent="0.35">
      <c r="A797" s="1">
        <v>38443</v>
      </c>
      <c r="B797" t="s">
        <v>11</v>
      </c>
      <c r="C797" t="s">
        <v>38</v>
      </c>
      <c r="D797">
        <v>20560</v>
      </c>
      <c r="E797">
        <v>160216</v>
      </c>
      <c r="F797">
        <f t="shared" si="75"/>
        <v>7.7926070038910504</v>
      </c>
      <c r="G797">
        <f t="shared" si="76"/>
        <v>353.47265369649807</v>
      </c>
      <c r="H797">
        <v>371.99587500000001</v>
      </c>
      <c r="I797" t="s">
        <v>38</v>
      </c>
      <c r="J797">
        <f t="shared" si="74"/>
        <v>8.2009672619047631</v>
      </c>
      <c r="K797">
        <v>2314.2150000000001</v>
      </c>
    </row>
    <row r="798" spans="1:11" x14ac:dyDescent="0.35">
      <c r="A798" s="1">
        <v>38473</v>
      </c>
      <c r="B798" t="s">
        <v>11</v>
      </c>
      <c r="C798" t="s">
        <v>38</v>
      </c>
      <c r="D798">
        <v>13162</v>
      </c>
      <c r="E798">
        <v>119587</v>
      </c>
      <c r="F798">
        <f t="shared" si="75"/>
        <v>9.0857772375018993</v>
      </c>
      <c r="G798">
        <f t="shared" si="76"/>
        <v>412.13085549308613</v>
      </c>
      <c r="H798">
        <v>621.9375</v>
      </c>
      <c r="I798" t="s">
        <v>38</v>
      </c>
      <c r="J798">
        <f t="shared" si="74"/>
        <v>13.71114417989418</v>
      </c>
      <c r="K798">
        <v>2314.2150000000001</v>
      </c>
    </row>
    <row r="799" spans="1:11" x14ac:dyDescent="0.35">
      <c r="A799" s="1">
        <v>38504</v>
      </c>
      <c r="B799" t="s">
        <v>11</v>
      </c>
      <c r="C799" t="s">
        <v>38</v>
      </c>
      <c r="D799">
        <v>13074</v>
      </c>
      <c r="E799">
        <v>114138</v>
      </c>
      <c r="F799">
        <f t="shared" si="75"/>
        <v>8.7301514456172562</v>
      </c>
      <c r="G799">
        <f t="shared" si="76"/>
        <v>395.99966957319873</v>
      </c>
      <c r="H799">
        <v>706.5044444444444</v>
      </c>
      <c r="I799" t="s">
        <v>38</v>
      </c>
      <c r="J799">
        <f t="shared" ref="J799:J829" si="77">H799/45.36</f>
        <v>15.575494806976288</v>
      </c>
      <c r="K799">
        <v>2314.2150000000001</v>
      </c>
    </row>
    <row r="800" spans="1:11" x14ac:dyDescent="0.35">
      <c r="A800" s="1">
        <v>38534</v>
      </c>
      <c r="B800" t="s">
        <v>11</v>
      </c>
      <c r="C800" t="s">
        <v>38</v>
      </c>
      <c r="D800">
        <v>15326</v>
      </c>
      <c r="E800">
        <v>145279</v>
      </c>
      <c r="F800">
        <f t="shared" si="75"/>
        <v>9.4792509461046581</v>
      </c>
      <c r="G800">
        <f t="shared" si="76"/>
        <v>429.97882291530726</v>
      </c>
      <c r="H800">
        <v>524.53499999999997</v>
      </c>
      <c r="I800" t="s">
        <v>38</v>
      </c>
      <c r="J800">
        <f t="shared" si="77"/>
        <v>11.563822751322752</v>
      </c>
      <c r="K800">
        <v>2314.2150000000001</v>
      </c>
    </row>
    <row r="801" spans="1:11" x14ac:dyDescent="0.35">
      <c r="A801" s="1">
        <v>38565</v>
      </c>
      <c r="B801" t="s">
        <v>11</v>
      </c>
      <c r="C801" t="s">
        <v>38</v>
      </c>
      <c r="D801">
        <v>15691</v>
      </c>
      <c r="E801">
        <v>139086</v>
      </c>
      <c r="F801">
        <f t="shared" si="75"/>
        <v>8.8640622012618699</v>
      </c>
      <c r="G801">
        <f t="shared" si="76"/>
        <v>402.07386144923839</v>
      </c>
      <c r="H801">
        <v>519.93799999999999</v>
      </c>
      <c r="I801" t="s">
        <v>38</v>
      </c>
      <c r="J801">
        <f t="shared" si="77"/>
        <v>11.462477954144621</v>
      </c>
      <c r="K801">
        <v>2314.2150000000001</v>
      </c>
    </row>
    <row r="802" spans="1:11" x14ac:dyDescent="0.35">
      <c r="A802" s="1">
        <v>38596</v>
      </c>
      <c r="B802" t="s">
        <v>11</v>
      </c>
      <c r="C802" t="s">
        <v>38</v>
      </c>
      <c r="D802">
        <v>19885</v>
      </c>
      <c r="E802">
        <v>217826</v>
      </c>
      <c r="F802">
        <f t="shared" si="75"/>
        <v>10.954287151118933</v>
      </c>
      <c r="G802">
        <f t="shared" si="76"/>
        <v>496.88646517475479</v>
      </c>
      <c r="H802">
        <v>553.03722222222223</v>
      </c>
      <c r="I802" t="s">
        <v>38</v>
      </c>
      <c r="J802">
        <f t="shared" si="77"/>
        <v>12.192178620419362</v>
      </c>
      <c r="K802">
        <v>2314.2150000000001</v>
      </c>
    </row>
    <row r="803" spans="1:11" x14ac:dyDescent="0.35">
      <c r="A803" s="1">
        <v>38626</v>
      </c>
      <c r="B803" t="s">
        <v>11</v>
      </c>
      <c r="C803" t="s">
        <v>38</v>
      </c>
      <c r="D803">
        <v>23596</v>
      </c>
      <c r="E803">
        <v>198800</v>
      </c>
      <c r="F803">
        <f t="shared" si="75"/>
        <v>8.4251568062383448</v>
      </c>
      <c r="G803">
        <f t="shared" si="76"/>
        <v>382.16511273097132</v>
      </c>
      <c r="H803">
        <v>501.74</v>
      </c>
      <c r="I803" t="s">
        <v>38</v>
      </c>
      <c r="J803">
        <f t="shared" si="77"/>
        <v>11.061287477954146</v>
      </c>
      <c r="K803">
        <v>2314.2150000000001</v>
      </c>
    </row>
    <row r="804" spans="1:11" x14ac:dyDescent="0.35">
      <c r="A804" s="1">
        <v>38657</v>
      </c>
      <c r="B804" t="s">
        <v>11</v>
      </c>
      <c r="C804" t="s">
        <v>38</v>
      </c>
      <c r="D804">
        <v>26278</v>
      </c>
      <c r="E804">
        <v>265179</v>
      </c>
      <c r="F804">
        <f t="shared" si="75"/>
        <v>10.09129309688713</v>
      </c>
      <c r="G804">
        <f t="shared" si="76"/>
        <v>457.74105487480017</v>
      </c>
      <c r="H804">
        <v>375.57599999999996</v>
      </c>
      <c r="I804" t="s">
        <v>38</v>
      </c>
      <c r="J804">
        <f t="shared" si="77"/>
        <v>8.2798941798941801</v>
      </c>
      <c r="K804">
        <v>2314.2150000000001</v>
      </c>
    </row>
    <row r="805" spans="1:11" x14ac:dyDescent="0.35">
      <c r="A805" s="1">
        <v>38687</v>
      </c>
      <c r="B805" t="s">
        <v>11</v>
      </c>
      <c r="C805" t="s">
        <v>38</v>
      </c>
      <c r="D805">
        <v>23727</v>
      </c>
      <c r="E805">
        <v>214155</v>
      </c>
      <c r="F805">
        <f t="shared" si="75"/>
        <v>9.0257933999241367</v>
      </c>
      <c r="G805">
        <f t="shared" si="76"/>
        <v>409.40998862055881</v>
      </c>
      <c r="H805">
        <v>278.97257142857143</v>
      </c>
      <c r="I805" t="s">
        <v>38</v>
      </c>
      <c r="J805">
        <f t="shared" si="77"/>
        <v>6.1501889644746788</v>
      </c>
      <c r="K805">
        <v>2314.2150000000001</v>
      </c>
    </row>
    <row r="806" spans="1:11" x14ac:dyDescent="0.35">
      <c r="A806" s="1">
        <v>38353</v>
      </c>
      <c r="B806" t="s">
        <v>12</v>
      </c>
      <c r="C806" t="s">
        <v>38</v>
      </c>
      <c r="D806">
        <v>8992</v>
      </c>
      <c r="E806">
        <v>56660</v>
      </c>
      <c r="F806">
        <f t="shared" si="75"/>
        <v>6.3011565836298935</v>
      </c>
      <c r="G806">
        <f t="shared" si="76"/>
        <v>285.82046263345194</v>
      </c>
      <c r="H806">
        <v>928.91499999999996</v>
      </c>
      <c r="I806" t="s">
        <v>38</v>
      </c>
      <c r="J806">
        <f t="shared" si="77"/>
        <v>20.478725749559082</v>
      </c>
      <c r="K806">
        <v>906.4</v>
      </c>
    </row>
    <row r="807" spans="1:11" x14ac:dyDescent="0.35">
      <c r="A807" s="1">
        <v>38384</v>
      </c>
      <c r="B807" t="s">
        <v>12</v>
      </c>
      <c r="C807" t="s">
        <v>38</v>
      </c>
      <c r="D807">
        <v>9769</v>
      </c>
      <c r="E807">
        <v>69493</v>
      </c>
      <c r="F807">
        <f t="shared" si="75"/>
        <v>7.1136247312928651</v>
      </c>
      <c r="G807">
        <f t="shared" si="76"/>
        <v>322.67401781144434</v>
      </c>
      <c r="H807">
        <v>400</v>
      </c>
      <c r="I807" t="s">
        <v>38</v>
      </c>
      <c r="J807">
        <f t="shared" si="77"/>
        <v>8.8183421516754859</v>
      </c>
      <c r="K807">
        <v>906.4</v>
      </c>
    </row>
    <row r="808" spans="1:11" x14ac:dyDescent="0.35">
      <c r="A808" s="1">
        <v>38412</v>
      </c>
      <c r="B808" t="s">
        <v>12</v>
      </c>
      <c r="C808" t="s">
        <v>38</v>
      </c>
      <c r="D808">
        <v>12312</v>
      </c>
      <c r="E808">
        <v>97534</v>
      </c>
      <c r="F808">
        <f t="shared" si="75"/>
        <v>7.9218648473034436</v>
      </c>
      <c r="G808">
        <f t="shared" si="76"/>
        <v>359.3357894736842</v>
      </c>
      <c r="H808">
        <v>394.79</v>
      </c>
      <c r="I808" t="s">
        <v>38</v>
      </c>
      <c r="J808">
        <f t="shared" si="77"/>
        <v>8.7034832451499131</v>
      </c>
      <c r="K808">
        <v>906.4</v>
      </c>
    </row>
    <row r="809" spans="1:11" x14ac:dyDescent="0.35">
      <c r="A809" s="1">
        <v>38443</v>
      </c>
      <c r="B809" t="s">
        <v>12</v>
      </c>
      <c r="C809" t="s">
        <v>38</v>
      </c>
      <c r="D809">
        <v>11735</v>
      </c>
      <c r="E809">
        <v>78071</v>
      </c>
      <c r="F809">
        <f t="shared" si="75"/>
        <v>6.6528334043459738</v>
      </c>
      <c r="G809">
        <f t="shared" si="76"/>
        <v>301.77252322113338</v>
      </c>
      <c r="H809">
        <v>296.66666666666663</v>
      </c>
      <c r="I809" t="s">
        <v>38</v>
      </c>
      <c r="J809">
        <f t="shared" si="77"/>
        <v>6.5402704291593174</v>
      </c>
      <c r="K809">
        <v>906.4</v>
      </c>
    </row>
    <row r="810" spans="1:11" x14ac:dyDescent="0.35">
      <c r="A810" s="1">
        <v>38473</v>
      </c>
      <c r="B810" t="s">
        <v>12</v>
      </c>
      <c r="C810" t="s">
        <v>38</v>
      </c>
      <c r="D810">
        <v>3914</v>
      </c>
      <c r="E810">
        <v>25396</v>
      </c>
      <c r="F810">
        <f t="shared" si="75"/>
        <v>6.4885028104241185</v>
      </c>
      <c r="G810">
        <f t="shared" si="76"/>
        <v>294.31848748083803</v>
      </c>
      <c r="H810">
        <v>522</v>
      </c>
      <c r="I810" t="s">
        <v>38</v>
      </c>
      <c r="J810">
        <f t="shared" si="77"/>
        <v>11.507936507936508</v>
      </c>
      <c r="K810">
        <v>906.4</v>
      </c>
    </row>
    <row r="811" spans="1:11" x14ac:dyDescent="0.35">
      <c r="A811" s="1">
        <v>38504</v>
      </c>
      <c r="B811" t="s">
        <v>12</v>
      </c>
      <c r="C811" t="s">
        <v>38</v>
      </c>
      <c r="D811">
        <v>5643</v>
      </c>
      <c r="E811">
        <v>43096</v>
      </c>
      <c r="F811">
        <f t="shared" si="75"/>
        <v>7.6370724791777427</v>
      </c>
      <c r="G811">
        <f t="shared" si="76"/>
        <v>346.41760765550242</v>
      </c>
      <c r="H811">
        <v>538.25</v>
      </c>
      <c r="I811" t="s">
        <v>38</v>
      </c>
      <c r="J811">
        <f t="shared" si="77"/>
        <v>11.866181657848324</v>
      </c>
      <c r="K811">
        <v>906.4</v>
      </c>
    </row>
    <row r="812" spans="1:11" x14ac:dyDescent="0.35">
      <c r="A812" s="1">
        <v>38534</v>
      </c>
      <c r="B812" t="s">
        <v>12</v>
      </c>
      <c r="C812" t="s">
        <v>38</v>
      </c>
      <c r="D812">
        <v>7234</v>
      </c>
      <c r="E812">
        <v>35053</v>
      </c>
      <c r="F812">
        <f t="shared" si="75"/>
        <v>4.8455902681780483</v>
      </c>
      <c r="G812">
        <f t="shared" si="76"/>
        <v>219.79597456455627</v>
      </c>
      <c r="H812">
        <v>734.01</v>
      </c>
      <c r="I812" t="s">
        <v>38</v>
      </c>
      <c r="J812">
        <f t="shared" si="77"/>
        <v>16.181878306878307</v>
      </c>
      <c r="K812">
        <v>906.4</v>
      </c>
    </row>
    <row r="813" spans="1:11" x14ac:dyDescent="0.35">
      <c r="A813" s="1">
        <v>38565</v>
      </c>
      <c r="B813" t="s">
        <v>12</v>
      </c>
      <c r="C813" t="s">
        <v>38</v>
      </c>
      <c r="D813">
        <v>15093</v>
      </c>
      <c r="E813">
        <v>68969</v>
      </c>
      <c r="F813">
        <f t="shared" si="75"/>
        <v>4.5696018021599416</v>
      </c>
      <c r="G813">
        <f t="shared" si="76"/>
        <v>207.27713774597495</v>
      </c>
      <c r="H813">
        <v>480</v>
      </c>
      <c r="I813" t="s">
        <v>38</v>
      </c>
      <c r="J813">
        <f t="shared" si="77"/>
        <v>10.582010582010582</v>
      </c>
      <c r="K813">
        <v>906.4</v>
      </c>
    </row>
    <row r="814" spans="1:11" x14ac:dyDescent="0.35">
      <c r="A814" s="1">
        <v>38596</v>
      </c>
      <c r="B814" t="s">
        <v>12</v>
      </c>
      <c r="C814" t="s">
        <v>38</v>
      </c>
      <c r="D814">
        <v>16251</v>
      </c>
      <c r="E814">
        <v>105183</v>
      </c>
      <c r="F814">
        <f t="shared" si="75"/>
        <v>6.4724016983570243</v>
      </c>
      <c r="G814">
        <f t="shared" si="76"/>
        <v>293.5881410374746</v>
      </c>
      <c r="H814">
        <v>345.21000000000004</v>
      </c>
      <c r="I814" t="s">
        <v>38</v>
      </c>
      <c r="J814">
        <f t="shared" si="77"/>
        <v>7.6104497354497367</v>
      </c>
      <c r="K814">
        <v>906.4</v>
      </c>
    </row>
    <row r="815" spans="1:11" x14ac:dyDescent="0.35">
      <c r="A815" s="1">
        <v>38626</v>
      </c>
      <c r="B815" t="s">
        <v>12</v>
      </c>
      <c r="C815" t="s">
        <v>38</v>
      </c>
      <c r="D815">
        <v>17680</v>
      </c>
      <c r="E815">
        <v>105538</v>
      </c>
      <c r="F815">
        <f t="shared" si="75"/>
        <v>5.9693438914027146</v>
      </c>
      <c r="G815">
        <f t="shared" si="76"/>
        <v>270.76943891402715</v>
      </c>
      <c r="H815">
        <v>399.27666666666664</v>
      </c>
      <c r="I815" t="s">
        <v>38</v>
      </c>
      <c r="J815">
        <f t="shared" si="77"/>
        <v>8.8023956496178712</v>
      </c>
      <c r="K815">
        <v>906.4</v>
      </c>
    </row>
    <row r="816" spans="1:11" x14ac:dyDescent="0.35">
      <c r="A816" s="1">
        <v>38657</v>
      </c>
      <c r="B816" t="s">
        <v>12</v>
      </c>
      <c r="C816" t="s">
        <v>38</v>
      </c>
      <c r="D816">
        <v>14305</v>
      </c>
      <c r="E816">
        <v>86355</v>
      </c>
      <c r="F816">
        <f t="shared" si="75"/>
        <v>6.0367004543865779</v>
      </c>
      <c r="G816">
        <f t="shared" si="76"/>
        <v>273.82473261097516</v>
      </c>
      <c r="H816">
        <v>357.25</v>
      </c>
      <c r="I816" t="s">
        <v>38</v>
      </c>
      <c r="J816">
        <f t="shared" si="77"/>
        <v>7.8758818342151677</v>
      </c>
      <c r="K816">
        <v>906.4</v>
      </c>
    </row>
    <row r="817" spans="1:11" x14ac:dyDescent="0.35">
      <c r="A817" s="1">
        <v>38687</v>
      </c>
      <c r="B817" t="s">
        <v>12</v>
      </c>
      <c r="C817" t="s">
        <v>38</v>
      </c>
      <c r="D817">
        <v>12880</v>
      </c>
      <c r="E817">
        <v>68630</v>
      </c>
      <c r="F817">
        <f t="shared" si="75"/>
        <v>5.3284161490683228</v>
      </c>
      <c r="G817">
        <f t="shared" si="76"/>
        <v>241.69695652173911</v>
      </c>
      <c r="H817">
        <v>404.75</v>
      </c>
      <c r="I817" t="s">
        <v>38</v>
      </c>
      <c r="J817">
        <f t="shared" si="77"/>
        <v>8.9230599647266313</v>
      </c>
      <c r="K817">
        <v>906.4</v>
      </c>
    </row>
    <row r="818" spans="1:11" x14ac:dyDescent="0.35">
      <c r="A818" s="1">
        <v>38353</v>
      </c>
      <c r="B818" t="s">
        <v>13</v>
      </c>
      <c r="C818" t="s">
        <v>38</v>
      </c>
      <c r="D818">
        <v>4748</v>
      </c>
      <c r="E818">
        <v>41136</v>
      </c>
      <c r="F818">
        <f t="shared" si="75"/>
        <v>8.6638584667228304</v>
      </c>
      <c r="G818">
        <f t="shared" si="76"/>
        <v>392.9926200505476</v>
      </c>
      <c r="H818">
        <v>250.43979999999999</v>
      </c>
      <c r="I818" t="s">
        <v>38</v>
      </c>
      <c r="J818">
        <f t="shared" si="77"/>
        <v>5.5211596119929451</v>
      </c>
      <c r="K818">
        <v>5157.3900000000003</v>
      </c>
    </row>
    <row r="819" spans="1:11" x14ac:dyDescent="0.35">
      <c r="A819" s="1">
        <v>38384</v>
      </c>
      <c r="B819" t="s">
        <v>13</v>
      </c>
      <c r="C819" t="s">
        <v>38</v>
      </c>
      <c r="D819">
        <v>4807</v>
      </c>
      <c r="E819">
        <v>54187</v>
      </c>
      <c r="F819">
        <f t="shared" si="75"/>
        <v>11.27251924277096</v>
      </c>
      <c r="G819">
        <f t="shared" si="76"/>
        <v>511.32147285209072</v>
      </c>
      <c r="H819">
        <v>199.68753333333353</v>
      </c>
      <c r="I819" t="s">
        <v>38</v>
      </c>
      <c r="J819">
        <f t="shared" si="77"/>
        <v>4.4022824808935965</v>
      </c>
      <c r="K819">
        <v>5157.3900000000003</v>
      </c>
    </row>
    <row r="820" spans="1:11" x14ac:dyDescent="0.35">
      <c r="A820" s="1">
        <v>38412</v>
      </c>
      <c r="B820" t="s">
        <v>13</v>
      </c>
      <c r="C820" t="s">
        <v>38</v>
      </c>
      <c r="D820">
        <v>4727</v>
      </c>
      <c r="E820">
        <v>36132</v>
      </c>
      <c r="F820">
        <f t="shared" si="75"/>
        <v>7.6437486778083352</v>
      </c>
      <c r="G820">
        <f t="shared" si="76"/>
        <v>346.7204400253861</v>
      </c>
      <c r="H820">
        <v>290.76900000000029</v>
      </c>
      <c r="I820" t="s">
        <v>38</v>
      </c>
      <c r="J820">
        <f t="shared" si="77"/>
        <v>6.4102513227513294</v>
      </c>
      <c r="K820">
        <v>5157.3900000000003</v>
      </c>
    </row>
    <row r="821" spans="1:11" x14ac:dyDescent="0.35">
      <c r="A821" s="1">
        <v>38443</v>
      </c>
      <c r="B821" t="s">
        <v>13</v>
      </c>
      <c r="C821" t="s">
        <v>38</v>
      </c>
      <c r="D821">
        <v>4223</v>
      </c>
      <c r="E821">
        <v>37122</v>
      </c>
      <c r="F821">
        <f t="shared" si="75"/>
        <v>8.7904333412266169</v>
      </c>
      <c r="G821">
        <f t="shared" si="76"/>
        <v>398.73405635803931</v>
      </c>
      <c r="H821">
        <v>123.14913333333345</v>
      </c>
      <c r="I821" t="s">
        <v>38</v>
      </c>
      <c r="J821">
        <f t="shared" si="77"/>
        <v>2.7149279835390971</v>
      </c>
      <c r="K821">
        <v>5157.3900000000003</v>
      </c>
    </row>
    <row r="822" spans="1:11" x14ac:dyDescent="0.35">
      <c r="A822" s="1">
        <v>38473</v>
      </c>
      <c r="B822" t="s">
        <v>13</v>
      </c>
      <c r="C822" t="s">
        <v>38</v>
      </c>
      <c r="D822">
        <v>4642</v>
      </c>
      <c r="E822">
        <v>37784</v>
      </c>
      <c r="F822">
        <f t="shared" si="75"/>
        <v>8.1395950021542447</v>
      </c>
      <c r="G822">
        <f t="shared" si="76"/>
        <v>369.21202929771653</v>
      </c>
      <c r="H822">
        <v>169.03986666666685</v>
      </c>
      <c r="I822" t="s">
        <v>38</v>
      </c>
      <c r="J822">
        <f t="shared" si="77"/>
        <v>3.7266284538506804</v>
      </c>
      <c r="K822">
        <v>5157.3900000000003</v>
      </c>
    </row>
    <row r="823" spans="1:11" x14ac:dyDescent="0.35">
      <c r="A823" s="1">
        <v>38504</v>
      </c>
      <c r="B823" t="s">
        <v>13</v>
      </c>
      <c r="C823" t="s">
        <v>38</v>
      </c>
      <c r="D823">
        <v>4165</v>
      </c>
      <c r="E823">
        <v>32167</v>
      </c>
      <c r="F823">
        <f t="shared" si="75"/>
        <v>7.7231692677070827</v>
      </c>
      <c r="G823">
        <f t="shared" si="76"/>
        <v>350.32295798319325</v>
      </c>
      <c r="H823">
        <v>293.46900000000028</v>
      </c>
      <c r="I823" t="s">
        <v>38</v>
      </c>
      <c r="J823">
        <f t="shared" si="77"/>
        <v>6.4697751322751387</v>
      </c>
      <c r="K823">
        <v>5157.3900000000003</v>
      </c>
    </row>
    <row r="824" spans="1:11" x14ac:dyDescent="0.35">
      <c r="A824" s="1">
        <v>38534</v>
      </c>
      <c r="B824" t="s">
        <v>13</v>
      </c>
      <c r="C824" t="s">
        <v>38</v>
      </c>
      <c r="D824">
        <v>4541</v>
      </c>
      <c r="E824">
        <v>31487</v>
      </c>
      <c r="F824">
        <f t="shared" si="75"/>
        <v>6.9339352565514201</v>
      </c>
      <c r="G824">
        <f t="shared" si="76"/>
        <v>314.5233032371724</v>
      </c>
      <c r="H824">
        <v>299.00960000000003</v>
      </c>
      <c r="I824" t="s">
        <v>38</v>
      </c>
      <c r="J824">
        <f t="shared" si="77"/>
        <v>6.591922398589066</v>
      </c>
      <c r="K824">
        <v>5157.3900000000003</v>
      </c>
    </row>
    <row r="825" spans="1:11" x14ac:dyDescent="0.35">
      <c r="A825" s="1">
        <v>38565</v>
      </c>
      <c r="B825" t="s">
        <v>13</v>
      </c>
      <c r="C825" t="s">
        <v>38</v>
      </c>
      <c r="D825">
        <v>4563</v>
      </c>
      <c r="E825">
        <v>29391</v>
      </c>
      <c r="F825">
        <f t="shared" si="75"/>
        <v>6.4411571334648254</v>
      </c>
      <c r="G825">
        <f t="shared" si="76"/>
        <v>292.17088757396448</v>
      </c>
      <c r="H825">
        <v>266</v>
      </c>
      <c r="I825" t="s">
        <v>38</v>
      </c>
      <c r="J825">
        <f t="shared" si="77"/>
        <v>5.8641975308641978</v>
      </c>
      <c r="K825">
        <v>5157.3900000000003</v>
      </c>
    </row>
    <row r="826" spans="1:11" x14ac:dyDescent="0.35">
      <c r="A826" s="1">
        <v>38596</v>
      </c>
      <c r="B826" t="s">
        <v>13</v>
      </c>
      <c r="C826" t="s">
        <v>38</v>
      </c>
      <c r="D826">
        <v>4154</v>
      </c>
      <c r="E826">
        <v>29045</v>
      </c>
      <c r="F826">
        <f t="shared" si="75"/>
        <v>6.9920558497833412</v>
      </c>
      <c r="G826">
        <f t="shared" si="76"/>
        <v>317.15965334617238</v>
      </c>
      <c r="H826">
        <v>253.07999999999998</v>
      </c>
      <c r="I826" t="s">
        <v>38</v>
      </c>
      <c r="J826">
        <f t="shared" si="77"/>
        <v>5.5793650793650791</v>
      </c>
      <c r="K826">
        <v>5157.3900000000003</v>
      </c>
    </row>
    <row r="827" spans="1:11" x14ac:dyDescent="0.35">
      <c r="A827" s="1">
        <v>38626</v>
      </c>
      <c r="B827" t="s">
        <v>13</v>
      </c>
      <c r="C827" t="s">
        <v>38</v>
      </c>
      <c r="D827">
        <v>3790</v>
      </c>
      <c r="E827">
        <v>27483</v>
      </c>
      <c r="F827">
        <f t="shared" ref="F827:F890" si="78">E827/D827</f>
        <v>7.2514511873350926</v>
      </c>
      <c r="G827">
        <f t="shared" si="76"/>
        <v>328.92582585751978</v>
      </c>
      <c r="H827">
        <v>304.76112499999999</v>
      </c>
      <c r="I827" t="s">
        <v>38</v>
      </c>
      <c r="J827">
        <f t="shared" si="77"/>
        <v>6.7187196869488535</v>
      </c>
      <c r="K827">
        <v>5157.3900000000003</v>
      </c>
    </row>
    <row r="828" spans="1:11" x14ac:dyDescent="0.35">
      <c r="A828" s="1">
        <v>38657</v>
      </c>
      <c r="B828" t="s">
        <v>13</v>
      </c>
      <c r="C828" t="s">
        <v>38</v>
      </c>
      <c r="D828">
        <v>5016</v>
      </c>
      <c r="E828">
        <v>38728</v>
      </c>
      <c r="F828">
        <f t="shared" si="78"/>
        <v>7.7208931419457736</v>
      </c>
      <c r="G828">
        <f t="shared" si="76"/>
        <v>350.21971291866026</v>
      </c>
      <c r="H828">
        <v>293.10590000000002</v>
      </c>
      <c r="I828" t="s">
        <v>38</v>
      </c>
      <c r="J828">
        <f t="shared" si="77"/>
        <v>6.4617702821869489</v>
      </c>
      <c r="K828">
        <v>5157.3900000000003</v>
      </c>
    </row>
    <row r="829" spans="1:11" x14ac:dyDescent="0.35">
      <c r="A829" s="1">
        <v>38687</v>
      </c>
      <c r="B829" t="s">
        <v>13</v>
      </c>
      <c r="C829" t="s">
        <v>38</v>
      </c>
      <c r="D829">
        <v>5407</v>
      </c>
      <c r="E829">
        <v>36132</v>
      </c>
      <c r="F829">
        <f t="shared" si="78"/>
        <v>6.682448677640096</v>
      </c>
      <c r="G829">
        <f>F829*45.36</f>
        <v>303.11587201775473</v>
      </c>
      <c r="H829">
        <v>280.77249999999998</v>
      </c>
      <c r="I829" t="s">
        <v>38</v>
      </c>
      <c r="J829">
        <f t="shared" si="77"/>
        <v>6.1898699294532626</v>
      </c>
      <c r="K829">
        <v>5157.3900000000003</v>
      </c>
    </row>
    <row r="830" spans="1:11" x14ac:dyDescent="0.35">
      <c r="A830" s="1">
        <v>38353</v>
      </c>
      <c r="B830" t="s">
        <v>14</v>
      </c>
      <c r="C830" t="s">
        <v>40</v>
      </c>
      <c r="D830">
        <v>17825</v>
      </c>
      <c r="E830">
        <v>25676</v>
      </c>
      <c r="F830">
        <f t="shared" si="78"/>
        <v>1.4404488078541375</v>
      </c>
      <c r="G830">
        <f>F830*562.34</f>
        <v>810.02198260869579</v>
      </c>
      <c r="H830">
        <v>4000</v>
      </c>
      <c r="I830" t="s">
        <v>40</v>
      </c>
      <c r="J830">
        <f>(H830/1000)/0.56234</f>
        <v>7.1131344026745396</v>
      </c>
      <c r="K830">
        <v>9027.66</v>
      </c>
    </row>
    <row r="831" spans="1:11" x14ac:dyDescent="0.35">
      <c r="A831" s="1">
        <v>38384</v>
      </c>
      <c r="B831" t="s">
        <v>14</v>
      </c>
      <c r="C831" t="s">
        <v>40</v>
      </c>
      <c r="D831">
        <v>23779</v>
      </c>
      <c r="E831">
        <v>16611</v>
      </c>
      <c r="F831">
        <f t="shared" si="78"/>
        <v>0.69855755078010007</v>
      </c>
      <c r="G831">
        <f t="shared" ref="G831:G841" si="79">F831*562.34</f>
        <v>392.82685310568149</v>
      </c>
      <c r="H831">
        <v>4000</v>
      </c>
      <c r="I831" t="s">
        <v>40</v>
      </c>
      <c r="J831">
        <f t="shared" ref="J831:J841" si="80">(H831/1000)/0.56234</f>
        <v>7.1131344026745396</v>
      </c>
      <c r="K831">
        <v>9027.66</v>
      </c>
    </row>
    <row r="832" spans="1:11" x14ac:dyDescent="0.35">
      <c r="A832" s="1">
        <v>38412</v>
      </c>
      <c r="B832" t="s">
        <v>14</v>
      </c>
      <c r="C832" t="s">
        <v>40</v>
      </c>
      <c r="D832">
        <v>2796</v>
      </c>
      <c r="E832">
        <v>1651</v>
      </c>
      <c r="F832">
        <f t="shared" si="78"/>
        <v>0.59048640915593709</v>
      </c>
      <c r="G832">
        <f t="shared" si="79"/>
        <v>332.05412732474969</v>
      </c>
      <c r="H832">
        <v>3219.0166666666664</v>
      </c>
      <c r="I832" t="s">
        <v>40</v>
      </c>
      <c r="J832">
        <f t="shared" si="80"/>
        <v>5.7243245486123469</v>
      </c>
      <c r="K832">
        <v>9027.66</v>
      </c>
    </row>
    <row r="833" spans="1:11" x14ac:dyDescent="0.35">
      <c r="A833" s="1">
        <v>38443</v>
      </c>
      <c r="B833" t="s">
        <v>14</v>
      </c>
      <c r="C833" t="s">
        <v>40</v>
      </c>
      <c r="D833">
        <v>293</v>
      </c>
      <c r="E833">
        <v>73</v>
      </c>
      <c r="F833">
        <f t="shared" si="78"/>
        <v>0.24914675767918087</v>
      </c>
      <c r="G833">
        <f t="shared" si="79"/>
        <v>140.10518771331058</v>
      </c>
      <c r="H833">
        <v>3708.1499999999996</v>
      </c>
      <c r="I833" t="s">
        <v>40</v>
      </c>
      <c r="J833">
        <f t="shared" si="80"/>
        <v>6.5941423338193976</v>
      </c>
      <c r="K833">
        <v>9027.66</v>
      </c>
    </row>
    <row r="834" spans="1:11" x14ac:dyDescent="0.35">
      <c r="A834" s="1">
        <v>38473</v>
      </c>
      <c r="B834" t="s">
        <v>14</v>
      </c>
      <c r="C834" t="s">
        <v>40</v>
      </c>
      <c r="D834">
        <v>357</v>
      </c>
      <c r="E834">
        <v>110</v>
      </c>
      <c r="F834">
        <f t="shared" si="78"/>
        <v>0.3081232492997199</v>
      </c>
      <c r="G834">
        <f t="shared" si="79"/>
        <v>173.27002801120449</v>
      </c>
      <c r="H834">
        <v>3632.2</v>
      </c>
      <c r="I834" t="s">
        <v>40</v>
      </c>
      <c r="J834">
        <f t="shared" si="80"/>
        <v>6.4590816943486145</v>
      </c>
      <c r="K834">
        <v>9027.66</v>
      </c>
    </row>
    <row r="835" spans="1:11" x14ac:dyDescent="0.35">
      <c r="A835" s="1">
        <v>38504</v>
      </c>
      <c r="B835" t="s">
        <v>14</v>
      </c>
      <c r="C835" t="s">
        <v>40</v>
      </c>
      <c r="D835">
        <v>8297</v>
      </c>
      <c r="E835">
        <v>12257</v>
      </c>
      <c r="F835">
        <f t="shared" si="78"/>
        <v>1.4772809449198505</v>
      </c>
      <c r="G835">
        <f t="shared" si="79"/>
        <v>830.73416656622874</v>
      </c>
      <c r="H835">
        <v>2500</v>
      </c>
      <c r="I835" t="s">
        <v>40</v>
      </c>
      <c r="J835">
        <f t="shared" si="80"/>
        <v>4.4457090016715872</v>
      </c>
      <c r="K835">
        <v>9027.66</v>
      </c>
    </row>
    <row r="836" spans="1:11" x14ac:dyDescent="0.35">
      <c r="A836" s="1">
        <v>38534</v>
      </c>
      <c r="B836" t="s">
        <v>14</v>
      </c>
      <c r="C836" t="s">
        <v>40</v>
      </c>
      <c r="D836">
        <v>24119</v>
      </c>
      <c r="E836">
        <v>11854</v>
      </c>
      <c r="F836">
        <f t="shared" si="78"/>
        <v>0.49147974625813673</v>
      </c>
      <c r="G836">
        <f t="shared" si="79"/>
        <v>276.37872051080063</v>
      </c>
      <c r="H836">
        <v>1756.25</v>
      </c>
      <c r="I836" t="s">
        <v>40</v>
      </c>
      <c r="J836">
        <f t="shared" si="80"/>
        <v>3.1231105736742899</v>
      </c>
      <c r="K836">
        <v>9027.66</v>
      </c>
    </row>
    <row r="837" spans="1:11" x14ac:dyDescent="0.35">
      <c r="A837" s="1">
        <v>38565</v>
      </c>
      <c r="B837" t="s">
        <v>14</v>
      </c>
      <c r="C837" t="s">
        <v>40</v>
      </c>
      <c r="D837">
        <v>25185</v>
      </c>
      <c r="E837">
        <v>13751</v>
      </c>
      <c r="F837">
        <f t="shared" si="78"/>
        <v>0.54599960293825689</v>
      </c>
      <c r="G837">
        <f t="shared" si="79"/>
        <v>307.03741671629939</v>
      </c>
      <c r="H837">
        <v>2000</v>
      </c>
      <c r="I837" t="s">
        <v>40</v>
      </c>
      <c r="J837">
        <f t="shared" si="80"/>
        <v>3.5565672013372698</v>
      </c>
      <c r="K837">
        <v>9027.66</v>
      </c>
    </row>
    <row r="838" spans="1:11" x14ac:dyDescent="0.35">
      <c r="A838" s="1">
        <v>38596</v>
      </c>
      <c r="B838" t="s">
        <v>14</v>
      </c>
      <c r="C838" t="s">
        <v>40</v>
      </c>
      <c r="D838">
        <v>36581</v>
      </c>
      <c r="E838">
        <v>28541</v>
      </c>
      <c r="F838">
        <f t="shared" si="78"/>
        <v>0.78021377217681309</v>
      </c>
      <c r="G838">
        <f t="shared" si="79"/>
        <v>438.74541264590908</v>
      </c>
      <c r="H838">
        <v>2662.2</v>
      </c>
      <c r="I838" t="s">
        <v>40</v>
      </c>
      <c r="J838">
        <f t="shared" si="80"/>
        <v>4.7341466017000391</v>
      </c>
      <c r="K838">
        <v>9027.66</v>
      </c>
    </row>
    <row r="839" spans="1:11" x14ac:dyDescent="0.35">
      <c r="A839" s="1">
        <v>38626</v>
      </c>
      <c r="B839" t="s">
        <v>14</v>
      </c>
      <c r="C839" t="s">
        <v>40</v>
      </c>
      <c r="D839">
        <v>19326</v>
      </c>
      <c r="E839">
        <v>50938</v>
      </c>
      <c r="F839">
        <f t="shared" si="78"/>
        <v>2.6357238952706199</v>
      </c>
      <c r="G839">
        <f t="shared" si="79"/>
        <v>1482.1729752664805</v>
      </c>
      <c r="H839">
        <v>2720.3125</v>
      </c>
      <c r="I839" t="s">
        <v>40</v>
      </c>
      <c r="J839">
        <f t="shared" si="80"/>
        <v>4.837487107443895</v>
      </c>
      <c r="K839">
        <v>9027.66</v>
      </c>
    </row>
    <row r="840" spans="1:11" x14ac:dyDescent="0.35">
      <c r="A840" s="1">
        <v>38657</v>
      </c>
      <c r="B840" t="s">
        <v>14</v>
      </c>
      <c r="C840" t="s">
        <v>40</v>
      </c>
      <c r="D840">
        <v>44680</v>
      </c>
      <c r="E840">
        <v>48507</v>
      </c>
      <c r="F840">
        <f t="shared" si="78"/>
        <v>1.0856535362578335</v>
      </c>
      <c r="G840">
        <f t="shared" si="79"/>
        <v>610.50640957923008</v>
      </c>
      <c r="H840">
        <v>3058.3333333333335</v>
      </c>
      <c r="I840" t="s">
        <v>40</v>
      </c>
      <c r="J840">
        <f t="shared" si="80"/>
        <v>5.4385840120449087</v>
      </c>
      <c r="K840">
        <v>9027.66</v>
      </c>
    </row>
    <row r="841" spans="1:11" x14ac:dyDescent="0.35">
      <c r="A841" s="1">
        <v>38687</v>
      </c>
      <c r="B841" t="s">
        <v>14</v>
      </c>
      <c r="C841" t="s">
        <v>40</v>
      </c>
      <c r="D841">
        <v>39291</v>
      </c>
      <c r="E841">
        <v>38502</v>
      </c>
      <c r="F841">
        <f t="shared" si="78"/>
        <v>0.97991906543483243</v>
      </c>
      <c r="G841">
        <f t="shared" si="79"/>
        <v>551.0476872566237</v>
      </c>
      <c r="H841">
        <v>4449.5</v>
      </c>
      <c r="I841" t="s">
        <v>40</v>
      </c>
      <c r="J841">
        <f t="shared" si="80"/>
        <v>7.9124728811750895</v>
      </c>
      <c r="K841">
        <v>9027.66</v>
      </c>
    </row>
    <row r="842" spans="1:11" x14ac:dyDescent="0.35">
      <c r="A842" s="1">
        <v>38353</v>
      </c>
      <c r="B842" t="s">
        <v>15</v>
      </c>
      <c r="C842" t="s">
        <v>41</v>
      </c>
      <c r="D842">
        <v>271356</v>
      </c>
      <c r="E842">
        <v>1805117</v>
      </c>
      <c r="F842">
        <f t="shared" si="78"/>
        <v>6.6522096434204512</v>
      </c>
      <c r="G842">
        <f>F842*27.21</f>
        <v>181.00662439747049</v>
      </c>
      <c r="H842">
        <v>63.49666666666667</v>
      </c>
      <c r="I842" t="s">
        <v>58</v>
      </c>
      <c r="J842">
        <f>H842/27.21</f>
        <v>2.333578341296092</v>
      </c>
      <c r="K842">
        <f>3486.78+4431.84</f>
        <v>7918.6200000000008</v>
      </c>
    </row>
    <row r="843" spans="1:11" x14ac:dyDescent="0.35">
      <c r="A843" s="1">
        <v>38384</v>
      </c>
      <c r="B843" t="s">
        <v>15</v>
      </c>
      <c r="C843" t="s">
        <v>41</v>
      </c>
      <c r="D843">
        <v>249238</v>
      </c>
      <c r="E843">
        <v>1735952</v>
      </c>
      <c r="F843">
        <f t="shared" si="78"/>
        <v>6.9650374340991341</v>
      </c>
      <c r="G843">
        <f>F843*27.21</f>
        <v>189.51866858183743</v>
      </c>
      <c r="H843">
        <v>74.444999999999993</v>
      </c>
      <c r="I843" t="s">
        <v>58</v>
      </c>
      <c r="J843">
        <f t="shared" ref="J843:J853" si="81">H843/27.21</f>
        <v>2.7359426681367141</v>
      </c>
      <c r="K843">
        <f t="shared" ref="K843:K853" si="82">3486.78+4431.84</f>
        <v>7918.6200000000008</v>
      </c>
    </row>
    <row r="844" spans="1:11" x14ac:dyDescent="0.35">
      <c r="A844" s="1">
        <v>38412</v>
      </c>
      <c r="B844" t="s">
        <v>15</v>
      </c>
      <c r="C844" t="s">
        <v>41</v>
      </c>
      <c r="D844">
        <v>264942</v>
      </c>
      <c r="E844">
        <v>1744269</v>
      </c>
      <c r="F844">
        <f t="shared" si="78"/>
        <v>6.5835881060760473</v>
      </c>
      <c r="G844">
        <f>F844*27.21</f>
        <v>179.13943236632926</v>
      </c>
      <c r="H844">
        <v>70.041666666666671</v>
      </c>
      <c r="I844" t="s">
        <v>58</v>
      </c>
      <c r="J844">
        <f t="shared" si="81"/>
        <v>2.5741149087345341</v>
      </c>
      <c r="K844">
        <f t="shared" si="82"/>
        <v>7918.6200000000008</v>
      </c>
    </row>
    <row r="845" spans="1:11" x14ac:dyDescent="0.35">
      <c r="A845" s="1">
        <v>38443</v>
      </c>
      <c r="B845" t="s">
        <v>15</v>
      </c>
      <c r="C845" t="s">
        <v>41</v>
      </c>
      <c r="D845">
        <v>278088</v>
      </c>
      <c r="E845">
        <v>1505181</v>
      </c>
      <c r="F845">
        <f t="shared" si="78"/>
        <v>5.4126068007249506</v>
      </c>
      <c r="G845">
        <f>F845*27.21</f>
        <v>147.2770310477259</v>
      </c>
      <c r="H845">
        <v>66.522000000000006</v>
      </c>
      <c r="I845" t="s">
        <v>58</v>
      </c>
      <c r="J845">
        <f t="shared" si="81"/>
        <v>2.444762954796031</v>
      </c>
      <c r="K845">
        <f t="shared" si="82"/>
        <v>7918.6200000000008</v>
      </c>
    </row>
    <row r="846" spans="1:11" x14ac:dyDescent="0.35">
      <c r="A846" s="1">
        <v>38473</v>
      </c>
      <c r="B846" t="s">
        <v>15</v>
      </c>
      <c r="C846" t="s">
        <v>41</v>
      </c>
      <c r="D846">
        <v>286723</v>
      </c>
      <c r="E846">
        <v>1756478</v>
      </c>
      <c r="F846">
        <f t="shared" si="78"/>
        <v>6.1260449981340876</v>
      </c>
      <c r="G846">
        <f>F846*27.21</f>
        <v>166.68968439922853</v>
      </c>
      <c r="H846">
        <v>65.44</v>
      </c>
      <c r="I846" t="s">
        <v>58</v>
      </c>
      <c r="J846">
        <f t="shared" si="81"/>
        <v>2.404998162440279</v>
      </c>
      <c r="K846">
        <f t="shared" si="82"/>
        <v>7918.6200000000008</v>
      </c>
    </row>
    <row r="847" spans="1:11" x14ac:dyDescent="0.35">
      <c r="A847" s="1">
        <v>38504</v>
      </c>
      <c r="B847" t="s">
        <v>15</v>
      </c>
      <c r="C847" t="s">
        <v>41</v>
      </c>
      <c r="D847">
        <v>283440</v>
      </c>
      <c r="E847">
        <v>1862951</v>
      </c>
      <c r="F847">
        <f t="shared" si="78"/>
        <v>6.5726467682754723</v>
      </c>
      <c r="G847">
        <f>F847*27.21</f>
        <v>178.84171856477562</v>
      </c>
      <c r="H847">
        <v>63.665999999999997</v>
      </c>
      <c r="I847" t="s">
        <v>58</v>
      </c>
      <c r="J847">
        <f t="shared" si="81"/>
        <v>2.3398015435501653</v>
      </c>
      <c r="K847">
        <f t="shared" si="82"/>
        <v>7918.6200000000008</v>
      </c>
    </row>
    <row r="848" spans="1:11" x14ac:dyDescent="0.35">
      <c r="A848" s="1">
        <v>38534</v>
      </c>
      <c r="B848" t="s">
        <v>15</v>
      </c>
      <c r="C848" t="s">
        <v>41</v>
      </c>
      <c r="D848">
        <v>273065</v>
      </c>
      <c r="E848">
        <v>1833820</v>
      </c>
      <c r="F848">
        <f t="shared" si="78"/>
        <v>6.7156904033838094</v>
      </c>
      <c r="G848">
        <f>F848*27.21</f>
        <v>182.73393587607345</v>
      </c>
      <c r="H848">
        <v>73.653333333333336</v>
      </c>
      <c r="I848" t="s">
        <v>58</v>
      </c>
      <c r="J848">
        <f t="shared" si="81"/>
        <v>2.7068479725591081</v>
      </c>
      <c r="K848">
        <f t="shared" si="82"/>
        <v>7918.6200000000008</v>
      </c>
    </row>
    <row r="849" spans="1:11" x14ac:dyDescent="0.35">
      <c r="A849" s="1">
        <v>38565</v>
      </c>
      <c r="B849" t="s">
        <v>15</v>
      </c>
      <c r="C849" t="s">
        <v>41</v>
      </c>
      <c r="D849">
        <v>290316</v>
      </c>
      <c r="E849">
        <v>2075068</v>
      </c>
      <c r="F849">
        <f t="shared" si="78"/>
        <v>7.1476184571294725</v>
      </c>
      <c r="G849">
        <f>F849*27.21</f>
        <v>194.48669821849296</v>
      </c>
      <c r="H849">
        <v>52.5</v>
      </c>
      <c r="I849" t="s">
        <v>58</v>
      </c>
      <c r="J849">
        <f t="shared" si="81"/>
        <v>1.9294377067254684</v>
      </c>
      <c r="K849">
        <f t="shared" si="82"/>
        <v>7918.6200000000008</v>
      </c>
    </row>
    <row r="850" spans="1:11" x14ac:dyDescent="0.35">
      <c r="A850" s="1">
        <v>38596</v>
      </c>
      <c r="B850" t="s">
        <v>15</v>
      </c>
      <c r="C850" t="s">
        <v>41</v>
      </c>
      <c r="D850">
        <v>299465</v>
      </c>
      <c r="E850">
        <v>2198981</v>
      </c>
      <c r="F850">
        <f t="shared" si="78"/>
        <v>7.3430317399362197</v>
      </c>
      <c r="G850">
        <f>F850*27.21</f>
        <v>199.80389364366454</v>
      </c>
      <c r="H850">
        <v>56.353888888888896</v>
      </c>
      <c r="I850" t="s">
        <v>58</v>
      </c>
      <c r="J850">
        <f t="shared" si="81"/>
        <v>2.0710727265302791</v>
      </c>
      <c r="K850">
        <f t="shared" si="82"/>
        <v>7918.6200000000008</v>
      </c>
    </row>
    <row r="851" spans="1:11" x14ac:dyDescent="0.35">
      <c r="A851" s="1">
        <v>38626</v>
      </c>
      <c r="B851" t="s">
        <v>15</v>
      </c>
      <c r="C851" t="s">
        <v>41</v>
      </c>
      <c r="D851">
        <v>294832</v>
      </c>
      <c r="E851">
        <v>2000928</v>
      </c>
      <c r="F851">
        <f t="shared" si="78"/>
        <v>6.7866717316980516</v>
      </c>
      <c r="G851">
        <f>F851*27.21</f>
        <v>184.665337819504</v>
      </c>
      <c r="H851">
        <v>58.3125</v>
      </c>
      <c r="I851" t="s">
        <v>58</v>
      </c>
      <c r="J851">
        <f t="shared" si="81"/>
        <v>2.1430540242557883</v>
      </c>
      <c r="K851">
        <f t="shared" si="82"/>
        <v>7918.6200000000008</v>
      </c>
    </row>
    <row r="852" spans="1:11" x14ac:dyDescent="0.35">
      <c r="A852" s="1">
        <v>38657</v>
      </c>
      <c r="B852" t="s">
        <v>15</v>
      </c>
      <c r="C852" t="s">
        <v>41</v>
      </c>
      <c r="D852">
        <v>296342</v>
      </c>
      <c r="E852">
        <v>1842393</v>
      </c>
      <c r="F852">
        <f t="shared" si="78"/>
        <v>6.2171173846434185</v>
      </c>
      <c r="G852">
        <f>F852*27.21</f>
        <v>169.16776403614742</v>
      </c>
      <c r="H852">
        <v>64.488</v>
      </c>
      <c r="I852" t="s">
        <v>58</v>
      </c>
      <c r="J852">
        <f t="shared" si="81"/>
        <v>2.3700110253583242</v>
      </c>
      <c r="K852">
        <f t="shared" si="82"/>
        <v>7918.6200000000008</v>
      </c>
    </row>
    <row r="853" spans="1:11" x14ac:dyDescent="0.35">
      <c r="A853" s="1">
        <v>38687</v>
      </c>
      <c r="B853" t="s">
        <v>15</v>
      </c>
      <c r="C853" t="s">
        <v>41</v>
      </c>
      <c r="D853">
        <v>299058</v>
      </c>
      <c r="E853">
        <v>1839455</v>
      </c>
      <c r="F853">
        <f t="shared" si="78"/>
        <v>6.1508302737261671</v>
      </c>
      <c r="G853">
        <f>F853*27.21</f>
        <v>167.36409174808901</v>
      </c>
      <c r="H853">
        <v>67.101428571428571</v>
      </c>
      <c r="I853" t="s">
        <v>58</v>
      </c>
      <c r="J853">
        <f t="shared" si="81"/>
        <v>2.4660576468735234</v>
      </c>
      <c r="K853">
        <f t="shared" si="82"/>
        <v>7918.6200000000008</v>
      </c>
    </row>
    <row r="854" spans="1:11" x14ac:dyDescent="0.35">
      <c r="A854" s="1">
        <v>38353</v>
      </c>
      <c r="B854" t="s">
        <v>18</v>
      </c>
      <c r="C854" t="s">
        <v>40</v>
      </c>
      <c r="D854">
        <v>525730</v>
      </c>
      <c r="E854">
        <v>105676</v>
      </c>
      <c r="F854">
        <f t="shared" si="78"/>
        <v>0.20100812203983034</v>
      </c>
      <c r="G854">
        <f>F854*408.15</f>
        <v>82.041465010556749</v>
      </c>
      <c r="H854">
        <v>3448.8433333333337</v>
      </c>
      <c r="I854" t="s">
        <v>40</v>
      </c>
      <c r="J854">
        <f>(H854/1000)/0.40815</f>
        <v>8.4499407897423335</v>
      </c>
      <c r="K854">
        <f>2687.47+7240.77</f>
        <v>9928.24</v>
      </c>
    </row>
    <row r="855" spans="1:11" x14ac:dyDescent="0.35">
      <c r="A855" s="1">
        <v>38384</v>
      </c>
      <c r="B855" t="s">
        <v>18</v>
      </c>
      <c r="C855" t="s">
        <v>40</v>
      </c>
      <c r="D855">
        <v>624404</v>
      </c>
      <c r="E855">
        <v>89313</v>
      </c>
      <c r="F855">
        <f t="shared" si="78"/>
        <v>0.14303720027418146</v>
      </c>
      <c r="G855">
        <f t="shared" ref="G855:G865" si="83">F855*408.15</f>
        <v>58.380633291907159</v>
      </c>
      <c r="H855">
        <v>4050.4175</v>
      </c>
      <c r="I855" t="s">
        <v>40</v>
      </c>
      <c r="J855">
        <f t="shared" ref="J855:J865" si="84">(H855/1000)/0.40815</f>
        <v>9.9238453999754981</v>
      </c>
      <c r="K855">
        <f t="shared" ref="K855:K865" si="85">2687.47+7240.77</f>
        <v>9928.24</v>
      </c>
    </row>
    <row r="856" spans="1:11" x14ac:dyDescent="0.35">
      <c r="A856" s="1">
        <v>38412</v>
      </c>
      <c r="B856" t="s">
        <v>18</v>
      </c>
      <c r="C856" t="s">
        <v>40</v>
      </c>
      <c r="D856">
        <v>615956</v>
      </c>
      <c r="E856">
        <v>91086</v>
      </c>
      <c r="F856">
        <f t="shared" si="78"/>
        <v>0.14787744579158252</v>
      </c>
      <c r="G856">
        <f t="shared" si="83"/>
        <v>60.356179499834404</v>
      </c>
      <c r="H856">
        <v>3364.146666666667</v>
      </c>
      <c r="I856" t="s">
        <v>40</v>
      </c>
      <c r="J856">
        <f t="shared" si="84"/>
        <v>8.2424272122177307</v>
      </c>
      <c r="K856">
        <f t="shared" si="85"/>
        <v>9928.24</v>
      </c>
    </row>
    <row r="857" spans="1:11" x14ac:dyDescent="0.35">
      <c r="A857" s="1">
        <v>38443</v>
      </c>
      <c r="B857" t="s">
        <v>18</v>
      </c>
      <c r="C857" t="s">
        <v>40</v>
      </c>
      <c r="D857">
        <v>624261</v>
      </c>
      <c r="E857">
        <v>124564</v>
      </c>
      <c r="F857">
        <f t="shared" si="78"/>
        <v>0.19953833412627089</v>
      </c>
      <c r="G857">
        <f t="shared" si="83"/>
        <v>81.441571073637462</v>
      </c>
      <c r="H857">
        <v>2412.3339999999998</v>
      </c>
      <c r="I857" t="s">
        <v>40</v>
      </c>
      <c r="J857">
        <f t="shared" si="84"/>
        <v>5.9104103883376204</v>
      </c>
      <c r="K857">
        <f t="shared" si="85"/>
        <v>9928.24</v>
      </c>
    </row>
    <row r="858" spans="1:11" x14ac:dyDescent="0.35">
      <c r="A858" s="1">
        <v>38473</v>
      </c>
      <c r="B858" t="s">
        <v>18</v>
      </c>
      <c r="C858" t="s">
        <v>40</v>
      </c>
      <c r="D858">
        <v>647505</v>
      </c>
      <c r="E858">
        <v>118228</v>
      </c>
      <c r="F858">
        <f t="shared" si="78"/>
        <v>0.18259009582937583</v>
      </c>
      <c r="G858">
        <f t="shared" si="83"/>
        <v>74.524147612759734</v>
      </c>
      <c r="H858">
        <v>2288.5</v>
      </c>
      <c r="I858" t="s">
        <v>40</v>
      </c>
      <c r="J858">
        <f t="shared" si="84"/>
        <v>5.6070072277349015</v>
      </c>
      <c r="K858">
        <f t="shared" si="85"/>
        <v>9928.24</v>
      </c>
    </row>
    <row r="859" spans="1:11" x14ac:dyDescent="0.35">
      <c r="A859" s="1">
        <v>38504</v>
      </c>
      <c r="B859" t="s">
        <v>18</v>
      </c>
      <c r="C859" t="s">
        <v>40</v>
      </c>
      <c r="D859">
        <v>651849</v>
      </c>
      <c r="E859">
        <v>156422</v>
      </c>
      <c r="F859">
        <f t="shared" si="78"/>
        <v>0.2399666180357721</v>
      </c>
      <c r="G859">
        <f t="shared" si="83"/>
        <v>97.942375151300382</v>
      </c>
      <c r="H859">
        <v>2222.396666666667</v>
      </c>
      <c r="I859" t="s">
        <v>40</v>
      </c>
      <c r="J859">
        <f t="shared" si="84"/>
        <v>5.4450487974192505</v>
      </c>
      <c r="K859">
        <f t="shared" si="85"/>
        <v>9928.24</v>
      </c>
    </row>
    <row r="860" spans="1:11" x14ac:dyDescent="0.35">
      <c r="A860" s="1">
        <v>38534</v>
      </c>
      <c r="B860" t="s">
        <v>18</v>
      </c>
      <c r="C860" t="s">
        <v>40</v>
      </c>
      <c r="D860">
        <v>621507</v>
      </c>
      <c r="E860">
        <v>159976</v>
      </c>
      <c r="F860">
        <f t="shared" si="78"/>
        <v>0.25740015800304744</v>
      </c>
      <c r="G860">
        <f t="shared" si="83"/>
        <v>105.05787448894381</v>
      </c>
      <c r="H860">
        <v>2350.8416666666667</v>
      </c>
      <c r="I860" t="s">
        <v>40</v>
      </c>
      <c r="J860">
        <f t="shared" si="84"/>
        <v>5.7597492751847765</v>
      </c>
      <c r="K860">
        <f t="shared" si="85"/>
        <v>9928.24</v>
      </c>
    </row>
    <row r="861" spans="1:11" x14ac:dyDescent="0.35">
      <c r="A861" s="1">
        <v>38565</v>
      </c>
      <c r="B861" t="s">
        <v>18</v>
      </c>
      <c r="C861" t="s">
        <v>40</v>
      </c>
      <c r="D861">
        <v>629655</v>
      </c>
      <c r="E861">
        <v>172027</v>
      </c>
      <c r="F861">
        <f t="shared" si="78"/>
        <v>0.27320834425201102</v>
      </c>
      <c r="G861">
        <f t="shared" si="83"/>
        <v>111.50998570645829</v>
      </c>
      <c r="H861">
        <v>1833</v>
      </c>
      <c r="I861" t="s">
        <v>40</v>
      </c>
      <c r="J861">
        <f t="shared" si="84"/>
        <v>4.4909959573686145</v>
      </c>
      <c r="K861">
        <f t="shared" si="85"/>
        <v>9928.24</v>
      </c>
    </row>
    <row r="862" spans="1:11" x14ac:dyDescent="0.35">
      <c r="A862" s="1">
        <v>38596</v>
      </c>
      <c r="B862" t="s">
        <v>18</v>
      </c>
      <c r="C862" t="s">
        <v>40</v>
      </c>
      <c r="D862">
        <v>664894</v>
      </c>
      <c r="E862">
        <v>170513</v>
      </c>
      <c r="F862">
        <f t="shared" si="78"/>
        <v>0.25645140428399116</v>
      </c>
      <c r="G862">
        <f t="shared" si="83"/>
        <v>104.67064065851099</v>
      </c>
      <c r="H862">
        <v>2389.8755555555554</v>
      </c>
      <c r="I862" t="s">
        <v>40</v>
      </c>
      <c r="J862">
        <f t="shared" si="84"/>
        <v>5.8553854111369725</v>
      </c>
      <c r="K862">
        <f t="shared" si="85"/>
        <v>9928.24</v>
      </c>
    </row>
    <row r="863" spans="1:11" x14ac:dyDescent="0.35">
      <c r="A863" s="1">
        <v>38626</v>
      </c>
      <c r="B863" t="s">
        <v>18</v>
      </c>
      <c r="C863" t="s">
        <v>40</v>
      </c>
      <c r="D863">
        <v>671649</v>
      </c>
      <c r="E863">
        <v>132929</v>
      </c>
      <c r="F863">
        <f t="shared" si="78"/>
        <v>0.1979143868300258</v>
      </c>
      <c r="G863">
        <f t="shared" si="83"/>
        <v>80.778756984675027</v>
      </c>
      <c r="H863">
        <v>1967.5825</v>
      </c>
      <c r="I863" t="s">
        <v>40</v>
      </c>
      <c r="J863">
        <f t="shared" si="84"/>
        <v>4.8207337988484626</v>
      </c>
      <c r="K863">
        <f t="shared" si="85"/>
        <v>9928.24</v>
      </c>
    </row>
    <row r="864" spans="1:11" x14ac:dyDescent="0.35">
      <c r="A864" s="1">
        <v>38657</v>
      </c>
      <c r="B864" t="s">
        <v>18</v>
      </c>
      <c r="C864" t="s">
        <v>40</v>
      </c>
      <c r="D864">
        <v>661723</v>
      </c>
      <c r="E864">
        <v>109503</v>
      </c>
      <c r="F864">
        <f t="shared" si="78"/>
        <v>0.1654816290199978</v>
      </c>
      <c r="G864">
        <f t="shared" si="83"/>
        <v>67.541326884512102</v>
      </c>
      <c r="H864">
        <v>2464.6660000000002</v>
      </c>
      <c r="I864" t="s">
        <v>40</v>
      </c>
      <c r="J864">
        <f t="shared" si="84"/>
        <v>6.0386279554085514</v>
      </c>
      <c r="K864">
        <f t="shared" si="85"/>
        <v>9928.24</v>
      </c>
    </row>
    <row r="865" spans="1:11" x14ac:dyDescent="0.35">
      <c r="A865" s="1">
        <v>38687</v>
      </c>
      <c r="B865" t="s">
        <v>18</v>
      </c>
      <c r="C865" t="s">
        <v>40</v>
      </c>
      <c r="D865">
        <v>660917</v>
      </c>
      <c r="E865">
        <v>119748</v>
      </c>
      <c r="F865">
        <f t="shared" si="78"/>
        <v>0.18118462681395697</v>
      </c>
      <c r="G865">
        <f t="shared" si="83"/>
        <v>73.950505434116536</v>
      </c>
      <c r="H865">
        <v>2583.0714285714284</v>
      </c>
      <c r="I865" t="s">
        <v>40</v>
      </c>
      <c r="J865">
        <f t="shared" si="84"/>
        <v>6.3287306837472217</v>
      </c>
      <c r="K865">
        <f t="shared" si="85"/>
        <v>9928.24</v>
      </c>
    </row>
    <row r="866" spans="1:11" x14ac:dyDescent="0.35">
      <c r="A866" s="1">
        <v>38718</v>
      </c>
      <c r="B866" t="s">
        <v>2</v>
      </c>
      <c r="C866" t="s">
        <v>38</v>
      </c>
      <c r="D866">
        <v>24389</v>
      </c>
      <c r="E866">
        <v>81152</v>
      </c>
      <c r="F866">
        <f t="shared" si="78"/>
        <v>3.3274016974865717</v>
      </c>
      <c r="G866">
        <f>F866*45.36</f>
        <v>150.93094099799089</v>
      </c>
      <c r="H866">
        <v>913</v>
      </c>
      <c r="I866" t="s">
        <v>59</v>
      </c>
      <c r="J866">
        <f>H866/110</f>
        <v>8.3000000000000007</v>
      </c>
      <c r="K866">
        <v>4756.7749999999996</v>
      </c>
    </row>
    <row r="867" spans="1:11" x14ac:dyDescent="0.35">
      <c r="A867" s="1">
        <v>38749</v>
      </c>
      <c r="B867" t="s">
        <v>2</v>
      </c>
      <c r="C867" t="s">
        <v>38</v>
      </c>
      <c r="D867">
        <v>2259</v>
      </c>
      <c r="E867">
        <v>6682</v>
      </c>
      <c r="F867">
        <f t="shared" si="78"/>
        <v>2.9579459938025674</v>
      </c>
      <c r="G867">
        <f t="shared" ref="G867:G930" si="86">F867*45.36</f>
        <v>134.17243027888446</v>
      </c>
      <c r="H867">
        <v>1000</v>
      </c>
      <c r="I867" t="s">
        <v>59</v>
      </c>
      <c r="J867">
        <f t="shared" ref="J867:J877" si="87">H867/110</f>
        <v>9.0909090909090917</v>
      </c>
      <c r="K867">
        <v>4756.7749999999996</v>
      </c>
    </row>
    <row r="868" spans="1:11" x14ac:dyDescent="0.35">
      <c r="A868" s="1">
        <v>38777</v>
      </c>
      <c r="B868" t="s">
        <v>2</v>
      </c>
      <c r="C868" t="s">
        <v>38</v>
      </c>
      <c r="D868">
        <v>7222</v>
      </c>
      <c r="E868">
        <v>23534</v>
      </c>
      <c r="F868">
        <f t="shared" si="78"/>
        <v>3.2586541124342285</v>
      </c>
      <c r="G868">
        <f t="shared" si="86"/>
        <v>147.81255054001662</v>
      </c>
      <c r="H868">
        <v>948</v>
      </c>
      <c r="I868" t="s">
        <v>59</v>
      </c>
      <c r="J868">
        <f t="shared" si="87"/>
        <v>8.6181818181818191</v>
      </c>
      <c r="K868">
        <v>4756.7749999999996</v>
      </c>
    </row>
    <row r="869" spans="1:11" x14ac:dyDescent="0.35">
      <c r="A869" s="1">
        <v>38808</v>
      </c>
      <c r="B869" t="s">
        <v>2</v>
      </c>
      <c r="C869" t="s">
        <v>38</v>
      </c>
      <c r="D869">
        <v>114875</v>
      </c>
      <c r="E869">
        <v>457673</v>
      </c>
      <c r="F869">
        <f t="shared" si="78"/>
        <v>3.9840957562568007</v>
      </c>
      <c r="G869">
        <f t="shared" si="86"/>
        <v>180.71858350380847</v>
      </c>
      <c r="H869">
        <v>1052</v>
      </c>
      <c r="I869" t="s">
        <v>59</v>
      </c>
      <c r="J869">
        <f t="shared" si="87"/>
        <v>9.5636363636363644</v>
      </c>
      <c r="K869">
        <v>4756.7749999999996</v>
      </c>
    </row>
    <row r="870" spans="1:11" x14ac:dyDescent="0.35">
      <c r="A870" s="1">
        <v>38838</v>
      </c>
      <c r="B870" t="s">
        <v>2</v>
      </c>
      <c r="C870" t="s">
        <v>38</v>
      </c>
      <c r="D870">
        <v>332764</v>
      </c>
      <c r="E870">
        <v>1550101</v>
      </c>
      <c r="F870">
        <f t="shared" si="78"/>
        <v>4.6582593068961788</v>
      </c>
      <c r="G870">
        <f t="shared" si="86"/>
        <v>211.29864216081066</v>
      </c>
      <c r="H870">
        <v>881.93200000000002</v>
      </c>
      <c r="I870" t="s">
        <v>59</v>
      </c>
      <c r="J870">
        <f t="shared" si="87"/>
        <v>8.0175636363636364</v>
      </c>
      <c r="K870">
        <v>4756.7749999999996</v>
      </c>
    </row>
    <row r="871" spans="1:11" x14ac:dyDescent="0.35">
      <c r="A871" s="1">
        <v>38869</v>
      </c>
      <c r="B871" t="s">
        <v>2</v>
      </c>
      <c r="C871" t="s">
        <v>38</v>
      </c>
      <c r="D871">
        <v>438480</v>
      </c>
      <c r="E871">
        <v>2327610</v>
      </c>
      <c r="F871">
        <f t="shared" si="78"/>
        <v>5.3083607006020799</v>
      </c>
      <c r="G871">
        <f t="shared" si="86"/>
        <v>240.78724137931033</v>
      </c>
      <c r="H871">
        <v>1100.3520000000001</v>
      </c>
      <c r="I871" t="s">
        <v>59</v>
      </c>
      <c r="J871">
        <f t="shared" si="87"/>
        <v>10.003200000000001</v>
      </c>
      <c r="K871">
        <v>4756.7749999999996</v>
      </c>
    </row>
    <row r="872" spans="1:11" x14ac:dyDescent="0.35">
      <c r="A872" s="1">
        <v>38899</v>
      </c>
      <c r="B872" t="s">
        <v>2</v>
      </c>
      <c r="C872" t="s">
        <v>38</v>
      </c>
      <c r="D872">
        <v>219428</v>
      </c>
      <c r="E872">
        <v>1088701</v>
      </c>
      <c r="F872">
        <f t="shared" si="78"/>
        <v>4.9615409154711339</v>
      </c>
      <c r="G872">
        <f t="shared" si="86"/>
        <v>225.05549592577063</v>
      </c>
      <c r="H872">
        <v>868</v>
      </c>
      <c r="I872" t="s">
        <v>59</v>
      </c>
      <c r="J872">
        <f t="shared" si="87"/>
        <v>7.8909090909090907</v>
      </c>
      <c r="K872">
        <v>4756.7749999999996</v>
      </c>
    </row>
    <row r="873" spans="1:11" x14ac:dyDescent="0.35">
      <c r="A873" s="1">
        <v>38930</v>
      </c>
      <c r="B873" t="s">
        <v>2</v>
      </c>
      <c r="C873" t="s">
        <v>38</v>
      </c>
      <c r="D873">
        <v>129993</v>
      </c>
      <c r="E873">
        <v>517858</v>
      </c>
      <c r="F873">
        <f t="shared" si="78"/>
        <v>3.9837375858700086</v>
      </c>
      <c r="G873">
        <f t="shared" si="86"/>
        <v>180.70233689506358</v>
      </c>
      <c r="H873">
        <v>1065</v>
      </c>
      <c r="I873" t="s">
        <v>59</v>
      </c>
      <c r="J873">
        <f t="shared" si="87"/>
        <v>9.6818181818181817</v>
      </c>
      <c r="K873">
        <v>4756.7749999999996</v>
      </c>
    </row>
    <row r="874" spans="1:11" x14ac:dyDescent="0.35">
      <c r="A874" s="1">
        <v>38961</v>
      </c>
      <c r="B874" t="s">
        <v>2</v>
      </c>
      <c r="C874" t="s">
        <v>38</v>
      </c>
      <c r="D874">
        <v>324990</v>
      </c>
      <c r="E874">
        <v>1145590</v>
      </c>
      <c r="F874">
        <f t="shared" si="78"/>
        <v>3.5250007692544387</v>
      </c>
      <c r="G874">
        <f t="shared" si="86"/>
        <v>159.89403489338133</v>
      </c>
      <c r="H874">
        <v>1051.75</v>
      </c>
      <c r="I874" t="s">
        <v>59</v>
      </c>
      <c r="J874">
        <f t="shared" si="87"/>
        <v>9.5613636363636356</v>
      </c>
      <c r="K874">
        <v>4756.7749999999996</v>
      </c>
    </row>
    <row r="875" spans="1:11" x14ac:dyDescent="0.35">
      <c r="A875" s="1">
        <v>38991</v>
      </c>
      <c r="B875" t="s">
        <v>2</v>
      </c>
      <c r="C875" t="s">
        <v>38</v>
      </c>
      <c r="D875">
        <v>456729</v>
      </c>
      <c r="E875">
        <v>1752612</v>
      </c>
      <c r="F875">
        <f t="shared" si="78"/>
        <v>3.8373127171692625</v>
      </c>
      <c r="G875">
        <f t="shared" si="86"/>
        <v>174.06050485079774</v>
      </c>
      <c r="H875">
        <v>1123.9936</v>
      </c>
      <c r="I875" t="s">
        <v>59</v>
      </c>
      <c r="J875">
        <f t="shared" si="87"/>
        <v>10.218123636363636</v>
      </c>
      <c r="K875">
        <v>4756.7749999999996</v>
      </c>
    </row>
    <row r="876" spans="1:11" x14ac:dyDescent="0.35">
      <c r="A876" s="1">
        <v>39022</v>
      </c>
      <c r="B876" t="s">
        <v>2</v>
      </c>
      <c r="C876" t="s">
        <v>38</v>
      </c>
      <c r="D876">
        <v>247432</v>
      </c>
      <c r="E876">
        <v>886283</v>
      </c>
      <c r="F876">
        <f t="shared" si="78"/>
        <v>3.5819255391380258</v>
      </c>
      <c r="G876">
        <f t="shared" si="86"/>
        <v>162.47614245530085</v>
      </c>
      <c r="H876">
        <v>1100.1327999999999</v>
      </c>
      <c r="I876" t="s">
        <v>59</v>
      </c>
      <c r="J876">
        <f t="shared" si="87"/>
        <v>10.001207272727271</v>
      </c>
      <c r="K876">
        <v>4756.7749999999996</v>
      </c>
    </row>
    <row r="877" spans="1:11" x14ac:dyDescent="0.35">
      <c r="A877" s="1">
        <v>39052</v>
      </c>
      <c r="B877" t="s">
        <v>2</v>
      </c>
      <c r="C877" t="s">
        <v>38</v>
      </c>
      <c r="D877">
        <v>123210</v>
      </c>
      <c r="E877">
        <v>391182</v>
      </c>
      <c r="F877">
        <f t="shared" si="78"/>
        <v>3.1749208668127586</v>
      </c>
      <c r="G877">
        <f t="shared" si="86"/>
        <v>144.01441051862673</v>
      </c>
      <c r="H877">
        <v>974.66666666666663</v>
      </c>
      <c r="I877" t="s">
        <v>59</v>
      </c>
      <c r="J877">
        <f t="shared" si="87"/>
        <v>8.8606060606060595</v>
      </c>
      <c r="K877">
        <v>4756.7749999999996</v>
      </c>
    </row>
    <row r="878" spans="1:11" x14ac:dyDescent="0.35">
      <c r="A878" s="1">
        <v>38718</v>
      </c>
      <c r="B878" t="s">
        <v>5</v>
      </c>
      <c r="C878" t="s">
        <v>38</v>
      </c>
      <c r="D878">
        <v>32790</v>
      </c>
      <c r="E878">
        <v>48772</v>
      </c>
      <c r="F878">
        <f t="shared" si="78"/>
        <v>1.4874046965538275</v>
      </c>
      <c r="G878">
        <f t="shared" si="86"/>
        <v>67.468677035681608</v>
      </c>
      <c r="H878">
        <v>310.32119999999998</v>
      </c>
      <c r="I878" t="s">
        <v>38</v>
      </c>
      <c r="J878">
        <f>H878/45.36</f>
        <v>6.8412962962962958</v>
      </c>
      <c r="K878">
        <v>1341.48</v>
      </c>
    </row>
    <row r="879" spans="1:11" x14ac:dyDescent="0.35">
      <c r="A879" s="1">
        <v>38749</v>
      </c>
      <c r="B879" t="s">
        <v>5</v>
      </c>
      <c r="C879" t="s">
        <v>38</v>
      </c>
      <c r="D879">
        <v>17881</v>
      </c>
      <c r="E879">
        <v>46167</v>
      </c>
      <c r="F879">
        <f t="shared" si="78"/>
        <v>2.5819025781555842</v>
      </c>
      <c r="G879">
        <f t="shared" si="86"/>
        <v>117.1151009451373</v>
      </c>
      <c r="H879">
        <v>384.78523999999999</v>
      </c>
      <c r="I879" t="s">
        <v>38</v>
      </c>
      <c r="J879">
        <f t="shared" ref="J879:J942" si="88">H879/45.36</f>
        <v>8.4829197530864189</v>
      </c>
      <c r="K879">
        <v>1341.48</v>
      </c>
    </row>
    <row r="880" spans="1:11" x14ac:dyDescent="0.35">
      <c r="A880" s="1">
        <v>38777</v>
      </c>
      <c r="B880" t="s">
        <v>5</v>
      </c>
      <c r="C880" t="s">
        <v>38</v>
      </c>
      <c r="D880">
        <v>11130</v>
      </c>
      <c r="E880">
        <v>18628</v>
      </c>
      <c r="F880">
        <f t="shared" si="78"/>
        <v>1.673674752920036</v>
      </c>
      <c r="G880">
        <f t="shared" si="86"/>
        <v>75.917886792452833</v>
      </c>
      <c r="H880">
        <v>337.92048</v>
      </c>
      <c r="I880" t="s">
        <v>38</v>
      </c>
      <c r="J880">
        <f t="shared" si="88"/>
        <v>7.4497460317460318</v>
      </c>
      <c r="K880">
        <v>1341.48</v>
      </c>
    </row>
    <row r="881" spans="1:11" x14ac:dyDescent="0.35">
      <c r="A881" s="1">
        <v>38808</v>
      </c>
      <c r="B881" t="s">
        <v>5</v>
      </c>
      <c r="C881" t="s">
        <v>38</v>
      </c>
      <c r="D881">
        <v>14314</v>
      </c>
      <c r="E881">
        <v>27972</v>
      </c>
      <c r="F881">
        <f t="shared" si="78"/>
        <v>1.9541707419309766</v>
      </c>
      <c r="G881">
        <f t="shared" si="86"/>
        <v>88.641184853989103</v>
      </c>
      <c r="H881">
        <v>447</v>
      </c>
      <c r="I881" t="s">
        <v>38</v>
      </c>
      <c r="J881">
        <f t="shared" si="88"/>
        <v>9.8544973544973544</v>
      </c>
      <c r="K881">
        <v>1341.48</v>
      </c>
    </row>
    <row r="882" spans="1:11" x14ac:dyDescent="0.35">
      <c r="A882" s="1">
        <v>38838</v>
      </c>
      <c r="B882" t="s">
        <v>5</v>
      </c>
      <c r="C882" t="s">
        <v>38</v>
      </c>
      <c r="D882">
        <v>14614</v>
      </c>
      <c r="E882">
        <v>27774</v>
      </c>
      <c r="F882">
        <f t="shared" si="78"/>
        <v>1.9005063637607773</v>
      </c>
      <c r="G882">
        <f t="shared" si="86"/>
        <v>86.206968660188863</v>
      </c>
      <c r="H882">
        <v>499.66666666666669</v>
      </c>
      <c r="I882" t="s">
        <v>38</v>
      </c>
      <c r="J882">
        <f t="shared" si="88"/>
        <v>11.015579071134628</v>
      </c>
      <c r="K882">
        <v>1341.48</v>
      </c>
    </row>
    <row r="883" spans="1:11" x14ac:dyDescent="0.35">
      <c r="A883" s="1">
        <v>38869</v>
      </c>
      <c r="B883" t="s">
        <v>5</v>
      </c>
      <c r="C883" t="s">
        <v>38</v>
      </c>
      <c r="D883">
        <v>20596</v>
      </c>
      <c r="E883">
        <v>44032</v>
      </c>
      <c r="F883">
        <f t="shared" si="78"/>
        <v>2.1378908525927365</v>
      </c>
      <c r="G883">
        <f t="shared" si="86"/>
        <v>96.974729073606525</v>
      </c>
      <c r="H883">
        <v>566.04250000000002</v>
      </c>
      <c r="I883" t="s">
        <v>38</v>
      </c>
      <c r="J883">
        <f t="shared" si="88"/>
        <v>12.478891093474427</v>
      </c>
      <c r="K883">
        <v>1341.48</v>
      </c>
    </row>
    <row r="884" spans="1:11" x14ac:dyDescent="0.35">
      <c r="A884" s="1">
        <v>38899</v>
      </c>
      <c r="B884" t="s">
        <v>5</v>
      </c>
      <c r="C884" t="s">
        <v>38</v>
      </c>
      <c r="D884">
        <v>28897</v>
      </c>
      <c r="E884">
        <v>64689</v>
      </c>
      <c r="F884">
        <f t="shared" si="78"/>
        <v>2.238606083676506</v>
      </c>
      <c r="G884">
        <f t="shared" si="86"/>
        <v>101.54317195556631</v>
      </c>
      <c r="H884">
        <v>432</v>
      </c>
      <c r="I884" t="s">
        <v>38</v>
      </c>
      <c r="J884">
        <f t="shared" si="88"/>
        <v>9.5238095238095237</v>
      </c>
      <c r="K884">
        <v>1341.48</v>
      </c>
    </row>
    <row r="885" spans="1:11" x14ac:dyDescent="0.35">
      <c r="A885" s="1">
        <v>38930</v>
      </c>
      <c r="B885" t="s">
        <v>5</v>
      </c>
      <c r="C885" t="s">
        <v>38</v>
      </c>
      <c r="D885">
        <v>46892</v>
      </c>
      <c r="E885">
        <v>90595</v>
      </c>
      <c r="F885">
        <f t="shared" si="78"/>
        <v>1.9319926639938583</v>
      </c>
      <c r="G885">
        <f t="shared" si="86"/>
        <v>87.635187238761404</v>
      </c>
      <c r="H885">
        <v>494.49600000000004</v>
      </c>
      <c r="I885" t="s">
        <v>38</v>
      </c>
      <c r="J885">
        <f t="shared" si="88"/>
        <v>10.901587301587302</v>
      </c>
      <c r="K885">
        <v>1341.48</v>
      </c>
    </row>
    <row r="886" spans="1:11" x14ac:dyDescent="0.35">
      <c r="A886" s="1">
        <v>38961</v>
      </c>
      <c r="B886" t="s">
        <v>5</v>
      </c>
      <c r="C886" t="s">
        <v>38</v>
      </c>
      <c r="D886">
        <v>60534</v>
      </c>
      <c r="E886">
        <v>111773</v>
      </c>
      <c r="F886">
        <f t="shared" si="78"/>
        <v>1.8464499289655401</v>
      </c>
      <c r="G886">
        <f t="shared" si="86"/>
        <v>83.754968777876897</v>
      </c>
      <c r="H886">
        <v>421.75</v>
      </c>
      <c r="I886" t="s">
        <v>38</v>
      </c>
      <c r="J886">
        <f t="shared" si="88"/>
        <v>9.2978395061728403</v>
      </c>
      <c r="K886">
        <v>1341.48</v>
      </c>
    </row>
    <row r="887" spans="1:11" x14ac:dyDescent="0.35">
      <c r="A887" s="1">
        <v>38991</v>
      </c>
      <c r="B887" t="s">
        <v>5</v>
      </c>
      <c r="C887" t="s">
        <v>38</v>
      </c>
      <c r="D887">
        <v>39737</v>
      </c>
      <c r="E887">
        <v>77486</v>
      </c>
      <c r="F887">
        <f t="shared" si="78"/>
        <v>1.9499710597176434</v>
      </c>
      <c r="G887">
        <f t="shared" si="86"/>
        <v>88.450687268792308</v>
      </c>
      <c r="H887">
        <v>386.75560000000002</v>
      </c>
      <c r="I887" t="s">
        <v>38</v>
      </c>
      <c r="J887">
        <f t="shared" si="88"/>
        <v>8.5263580246913584</v>
      </c>
      <c r="K887">
        <v>1341.48</v>
      </c>
    </row>
    <row r="888" spans="1:11" x14ac:dyDescent="0.35">
      <c r="A888" s="1">
        <v>39022</v>
      </c>
      <c r="B888" t="s">
        <v>5</v>
      </c>
      <c r="C888" t="s">
        <v>38</v>
      </c>
      <c r="D888">
        <v>32561</v>
      </c>
      <c r="E888">
        <v>73114</v>
      </c>
      <c r="F888">
        <f t="shared" si="78"/>
        <v>2.2454470071557999</v>
      </c>
      <c r="G888">
        <f t="shared" si="86"/>
        <v>101.85347624458709</v>
      </c>
      <c r="H888">
        <v>398.92320000000001</v>
      </c>
      <c r="I888" t="s">
        <v>38</v>
      </c>
      <c r="J888">
        <f t="shared" si="88"/>
        <v>8.794603174603175</v>
      </c>
      <c r="K888">
        <v>1341.48</v>
      </c>
    </row>
    <row r="889" spans="1:11" x14ac:dyDescent="0.35">
      <c r="A889" s="1">
        <v>39052</v>
      </c>
      <c r="B889" t="s">
        <v>5</v>
      </c>
      <c r="C889" t="s">
        <v>38</v>
      </c>
      <c r="D889">
        <v>33505</v>
      </c>
      <c r="E889">
        <v>50197</v>
      </c>
      <c r="F889">
        <f t="shared" si="78"/>
        <v>1.4981942993583048</v>
      </c>
      <c r="G889">
        <f t="shared" si="86"/>
        <v>67.958093418892702</v>
      </c>
      <c r="H889">
        <v>339.48</v>
      </c>
      <c r="I889" t="s">
        <v>38</v>
      </c>
      <c r="J889">
        <f t="shared" si="88"/>
        <v>7.4841269841269842</v>
      </c>
      <c r="K889">
        <v>1341.48</v>
      </c>
    </row>
    <row r="890" spans="1:11" x14ac:dyDescent="0.35">
      <c r="A890" s="1">
        <v>38718</v>
      </c>
      <c r="B890" t="s">
        <v>7</v>
      </c>
      <c r="C890" t="s">
        <v>38</v>
      </c>
      <c r="D890">
        <v>6119</v>
      </c>
      <c r="E890">
        <v>57113</v>
      </c>
      <c r="F890">
        <f t="shared" si="78"/>
        <v>9.3337146592580496</v>
      </c>
      <c r="G890">
        <f t="shared" si="86"/>
        <v>423.37729694394511</v>
      </c>
      <c r="H890">
        <v>226.10005000000001</v>
      </c>
      <c r="I890" t="s">
        <v>38</v>
      </c>
      <c r="J890">
        <f t="shared" si="88"/>
        <v>4.9845690035273371</v>
      </c>
      <c r="K890">
        <v>2058.7550000000001</v>
      </c>
    </row>
    <row r="891" spans="1:11" x14ac:dyDescent="0.35">
      <c r="A891" s="1">
        <v>38749</v>
      </c>
      <c r="B891" t="s">
        <v>7</v>
      </c>
      <c r="C891" t="s">
        <v>38</v>
      </c>
      <c r="D891">
        <v>5109</v>
      </c>
      <c r="E891">
        <v>46414</v>
      </c>
      <c r="F891">
        <f t="shared" ref="F891:F954" si="89">E891/D891</f>
        <v>9.0847523977294973</v>
      </c>
      <c r="G891">
        <f t="shared" si="86"/>
        <v>412.08436876101001</v>
      </c>
      <c r="H891">
        <v>234.40236666666667</v>
      </c>
      <c r="I891" t="s">
        <v>38</v>
      </c>
      <c r="J891">
        <f t="shared" si="88"/>
        <v>5.1676006760728983</v>
      </c>
      <c r="K891">
        <v>2058.7550000000001</v>
      </c>
    </row>
    <row r="892" spans="1:11" x14ac:dyDescent="0.35">
      <c r="A892" s="1">
        <v>38777</v>
      </c>
      <c r="B892" t="s">
        <v>7</v>
      </c>
      <c r="C892" t="s">
        <v>38</v>
      </c>
      <c r="D892">
        <v>6376</v>
      </c>
      <c r="E892">
        <v>62364</v>
      </c>
      <c r="F892">
        <f t="shared" si="89"/>
        <v>9.781053952321205</v>
      </c>
      <c r="G892">
        <f t="shared" si="86"/>
        <v>443.66860727728988</v>
      </c>
      <c r="H892">
        <v>392.166</v>
      </c>
      <c r="I892" t="s">
        <v>38</v>
      </c>
      <c r="J892">
        <f t="shared" si="88"/>
        <v>8.6456349206349206</v>
      </c>
      <c r="K892">
        <v>2058.7550000000001</v>
      </c>
    </row>
    <row r="893" spans="1:11" x14ac:dyDescent="0.35">
      <c r="A893" s="1">
        <v>38808</v>
      </c>
      <c r="B893" t="s">
        <v>7</v>
      </c>
      <c r="C893" t="s">
        <v>38</v>
      </c>
      <c r="D893">
        <v>8472</v>
      </c>
      <c r="E893">
        <v>102511</v>
      </c>
      <c r="F893">
        <f t="shared" si="89"/>
        <v>12.099976392823418</v>
      </c>
      <c r="G893">
        <f t="shared" si="86"/>
        <v>548.85492917847023</v>
      </c>
      <c r="H893">
        <v>356.99200000000002</v>
      </c>
      <c r="I893" t="s">
        <v>38</v>
      </c>
      <c r="J893">
        <f t="shared" si="88"/>
        <v>7.8701940035273372</v>
      </c>
      <c r="K893">
        <v>2058.7550000000001</v>
      </c>
    </row>
    <row r="894" spans="1:11" x14ac:dyDescent="0.35">
      <c r="A894" s="1">
        <v>38838</v>
      </c>
      <c r="B894" t="s">
        <v>7</v>
      </c>
      <c r="C894" t="s">
        <v>38</v>
      </c>
      <c r="D894">
        <v>3250</v>
      </c>
      <c r="E894">
        <v>32475</v>
      </c>
      <c r="F894">
        <f t="shared" si="89"/>
        <v>9.9923076923076923</v>
      </c>
      <c r="G894">
        <f t="shared" si="86"/>
        <v>453.25107692307694</v>
      </c>
      <c r="H894">
        <v>253.42500000000001</v>
      </c>
      <c r="I894" t="s">
        <v>38</v>
      </c>
      <c r="J894">
        <f t="shared" si="88"/>
        <v>5.5869708994708995</v>
      </c>
      <c r="K894">
        <v>2058.7550000000001</v>
      </c>
    </row>
    <row r="895" spans="1:11" x14ac:dyDescent="0.35">
      <c r="A895" s="1">
        <v>38869</v>
      </c>
      <c r="B895" t="s">
        <v>7</v>
      </c>
      <c r="C895" t="s">
        <v>38</v>
      </c>
      <c r="D895">
        <v>4249</v>
      </c>
      <c r="E895">
        <v>43053</v>
      </c>
      <c r="F895">
        <f t="shared" si="89"/>
        <v>10.132501765121205</v>
      </c>
      <c r="G895">
        <f t="shared" si="86"/>
        <v>459.61028006589788</v>
      </c>
      <c r="H895">
        <v>267.24603999999999</v>
      </c>
      <c r="I895" t="s">
        <v>38</v>
      </c>
      <c r="J895">
        <f t="shared" si="88"/>
        <v>5.891667548500882</v>
      </c>
      <c r="K895">
        <v>2058.7550000000001</v>
      </c>
    </row>
    <row r="896" spans="1:11" x14ac:dyDescent="0.35">
      <c r="A896" s="1">
        <v>38899</v>
      </c>
      <c r="B896" t="s">
        <v>7</v>
      </c>
      <c r="C896" t="s">
        <v>38</v>
      </c>
      <c r="D896">
        <v>4482</v>
      </c>
      <c r="E896">
        <v>44835</v>
      </c>
      <c r="F896">
        <f t="shared" si="89"/>
        <v>10.003346720214189</v>
      </c>
      <c r="G896">
        <f t="shared" si="86"/>
        <v>453.7518072289156</v>
      </c>
      <c r="H896">
        <v>281.40766666666673</v>
      </c>
      <c r="I896" t="s">
        <v>38</v>
      </c>
      <c r="J896">
        <f t="shared" si="88"/>
        <v>6.2038727219282785</v>
      </c>
      <c r="K896">
        <v>2058.7550000000001</v>
      </c>
    </row>
    <row r="897" spans="1:11" x14ac:dyDescent="0.35">
      <c r="A897" s="1">
        <v>38930</v>
      </c>
      <c r="B897" t="s">
        <v>7</v>
      </c>
      <c r="C897" t="s">
        <v>38</v>
      </c>
      <c r="D897">
        <v>3916</v>
      </c>
      <c r="E897">
        <v>36600</v>
      </c>
      <c r="F897">
        <f t="shared" si="89"/>
        <v>9.346271705822268</v>
      </c>
      <c r="G897">
        <f t="shared" si="86"/>
        <v>423.94688457609806</v>
      </c>
      <c r="H897">
        <v>379.36599999999999</v>
      </c>
      <c r="I897" t="s">
        <v>38</v>
      </c>
      <c r="J897">
        <f t="shared" si="88"/>
        <v>8.3634479717813051</v>
      </c>
      <c r="K897">
        <v>2058.7550000000001</v>
      </c>
    </row>
    <row r="898" spans="1:11" x14ac:dyDescent="0.35">
      <c r="A898" s="1">
        <v>38961</v>
      </c>
      <c r="B898" t="s">
        <v>7</v>
      </c>
      <c r="C898" t="s">
        <v>38</v>
      </c>
      <c r="D898">
        <v>5162</v>
      </c>
      <c r="E898">
        <v>57975</v>
      </c>
      <c r="F898">
        <f t="shared" si="89"/>
        <v>11.231111972103836</v>
      </c>
      <c r="G898">
        <f t="shared" si="86"/>
        <v>509.44323905463</v>
      </c>
      <c r="H898">
        <v>442.834</v>
      </c>
      <c r="I898" t="s">
        <v>38</v>
      </c>
      <c r="J898">
        <f t="shared" si="88"/>
        <v>9.7626543209876537</v>
      </c>
      <c r="K898">
        <v>2058.7550000000001</v>
      </c>
    </row>
    <row r="899" spans="1:11" x14ac:dyDescent="0.35">
      <c r="A899" s="1">
        <v>38991</v>
      </c>
      <c r="B899" t="s">
        <v>7</v>
      </c>
      <c r="C899" t="s">
        <v>38</v>
      </c>
      <c r="D899">
        <v>4216</v>
      </c>
      <c r="E899">
        <v>38339</v>
      </c>
      <c r="F899">
        <f t="shared" si="89"/>
        <v>9.0936907020872866</v>
      </c>
      <c r="G899">
        <f t="shared" si="86"/>
        <v>412.48981024667933</v>
      </c>
      <c r="H899">
        <v>362.56333333333333</v>
      </c>
      <c r="I899" t="s">
        <v>38</v>
      </c>
      <c r="J899">
        <f t="shared" si="88"/>
        <v>7.9930188124632569</v>
      </c>
      <c r="K899">
        <v>2058.7550000000001</v>
      </c>
    </row>
    <row r="900" spans="1:11" x14ac:dyDescent="0.35">
      <c r="A900" s="1">
        <v>39022</v>
      </c>
      <c r="B900" t="s">
        <v>7</v>
      </c>
      <c r="C900" t="s">
        <v>38</v>
      </c>
      <c r="D900">
        <v>6143</v>
      </c>
      <c r="E900">
        <v>59623</v>
      </c>
      <c r="F900">
        <f t="shared" si="89"/>
        <v>9.7058440501383689</v>
      </c>
      <c r="G900">
        <f t="shared" si="86"/>
        <v>440.25708611427643</v>
      </c>
      <c r="H900">
        <v>214.79528000000002</v>
      </c>
      <c r="I900" t="s">
        <v>38</v>
      </c>
      <c r="J900">
        <f t="shared" si="88"/>
        <v>4.7353456790123465</v>
      </c>
      <c r="K900">
        <v>2058.7550000000001</v>
      </c>
    </row>
    <row r="901" spans="1:11" x14ac:dyDescent="0.35">
      <c r="A901" s="1">
        <v>39052</v>
      </c>
      <c r="B901" t="s">
        <v>7</v>
      </c>
      <c r="C901" t="s">
        <v>38</v>
      </c>
      <c r="D901">
        <v>7652</v>
      </c>
      <c r="E901">
        <v>52332</v>
      </c>
      <c r="F901">
        <f t="shared" si="89"/>
        <v>6.8389963408259282</v>
      </c>
      <c r="G901">
        <f t="shared" si="86"/>
        <v>310.21687401986412</v>
      </c>
      <c r="H901">
        <v>234.91334999999998</v>
      </c>
      <c r="I901" t="s">
        <v>38</v>
      </c>
      <c r="J901">
        <f t="shared" si="88"/>
        <v>5.1788657407407408</v>
      </c>
      <c r="K901">
        <v>2058.7550000000001</v>
      </c>
    </row>
    <row r="902" spans="1:11" x14ac:dyDescent="0.35">
      <c r="A902" s="1">
        <v>38718</v>
      </c>
      <c r="B902" t="s">
        <v>8</v>
      </c>
      <c r="C902" t="s">
        <v>38</v>
      </c>
      <c r="D902">
        <v>12260</v>
      </c>
      <c r="E902">
        <v>112275</v>
      </c>
      <c r="F902">
        <f t="shared" si="89"/>
        <v>9.157830342577487</v>
      </c>
      <c r="G902">
        <f t="shared" si="86"/>
        <v>415.39918433931479</v>
      </c>
      <c r="H902">
        <v>901.66666666666663</v>
      </c>
      <c r="I902" t="s">
        <v>38</v>
      </c>
      <c r="J902">
        <f t="shared" si="88"/>
        <v>19.878012933568488</v>
      </c>
      <c r="K902">
        <v>5691.88</v>
      </c>
    </row>
    <row r="903" spans="1:11" x14ac:dyDescent="0.35">
      <c r="A903" s="1">
        <v>38749</v>
      </c>
      <c r="B903" t="s">
        <v>8</v>
      </c>
      <c r="C903" t="s">
        <v>38</v>
      </c>
      <c r="D903">
        <v>9702</v>
      </c>
      <c r="E903">
        <v>80107</v>
      </c>
      <c r="F903">
        <f t="shared" si="89"/>
        <v>8.2567511853226137</v>
      </c>
      <c r="G903">
        <f t="shared" si="86"/>
        <v>374.52623376623376</v>
      </c>
      <c r="H903">
        <v>880.83333333333337</v>
      </c>
      <c r="I903" t="s">
        <v>38</v>
      </c>
      <c r="J903">
        <f t="shared" si="88"/>
        <v>19.418724279835391</v>
      </c>
      <c r="K903">
        <v>5691.88</v>
      </c>
    </row>
    <row r="904" spans="1:11" x14ac:dyDescent="0.35">
      <c r="A904" s="1">
        <v>38777</v>
      </c>
      <c r="B904" t="s">
        <v>8</v>
      </c>
      <c r="C904" t="s">
        <v>38</v>
      </c>
      <c r="D904">
        <v>4820</v>
      </c>
      <c r="E904">
        <v>40490</v>
      </c>
      <c r="F904">
        <f t="shared" si="89"/>
        <v>8.4004149377593365</v>
      </c>
      <c r="G904">
        <f t="shared" si="86"/>
        <v>381.04282157676352</v>
      </c>
      <c r="H904">
        <v>750.4</v>
      </c>
      <c r="I904" t="s">
        <v>38</v>
      </c>
      <c r="J904">
        <f t="shared" si="88"/>
        <v>16.543209876543209</v>
      </c>
      <c r="K904">
        <v>5691.88</v>
      </c>
    </row>
    <row r="905" spans="1:11" x14ac:dyDescent="0.35">
      <c r="A905" s="1">
        <v>38808</v>
      </c>
      <c r="B905" t="s">
        <v>8</v>
      </c>
      <c r="C905" t="s">
        <v>38</v>
      </c>
      <c r="D905">
        <v>4570</v>
      </c>
      <c r="E905">
        <v>42772</v>
      </c>
      <c r="F905">
        <f t="shared" si="89"/>
        <v>9.359299781181619</v>
      </c>
      <c r="G905">
        <f t="shared" si="86"/>
        <v>424.53783807439822</v>
      </c>
      <c r="H905">
        <v>576.58249999999998</v>
      </c>
      <c r="I905" t="s">
        <v>38</v>
      </c>
      <c r="J905">
        <f t="shared" si="88"/>
        <v>12.711254409171076</v>
      </c>
      <c r="K905">
        <v>5691.88</v>
      </c>
    </row>
    <row r="906" spans="1:11" x14ac:dyDescent="0.35">
      <c r="A906" s="1">
        <v>38838</v>
      </c>
      <c r="B906" t="s">
        <v>8</v>
      </c>
      <c r="C906" t="s">
        <v>38</v>
      </c>
      <c r="D906">
        <v>7275</v>
      </c>
      <c r="E906">
        <v>68589</v>
      </c>
      <c r="F906">
        <f t="shared" si="89"/>
        <v>9.4280412371134013</v>
      </c>
      <c r="G906">
        <f t="shared" si="86"/>
        <v>427.65595051546387</v>
      </c>
      <c r="H906">
        <v>854</v>
      </c>
      <c r="I906" t="s">
        <v>38</v>
      </c>
      <c r="J906">
        <f t="shared" si="88"/>
        <v>18.827160493827162</v>
      </c>
      <c r="K906">
        <v>5691.88</v>
      </c>
    </row>
    <row r="907" spans="1:11" x14ac:dyDescent="0.35">
      <c r="A907" s="1">
        <v>38869</v>
      </c>
      <c r="B907" t="s">
        <v>8</v>
      </c>
      <c r="C907" t="s">
        <v>38</v>
      </c>
      <c r="D907">
        <v>6182</v>
      </c>
      <c r="E907">
        <v>60218</v>
      </c>
      <c r="F907">
        <f t="shared" si="89"/>
        <v>9.7408605629246203</v>
      </c>
      <c r="G907">
        <f t="shared" si="86"/>
        <v>441.84543513426075</v>
      </c>
      <c r="H907">
        <v>795.75</v>
      </c>
      <c r="I907" t="s">
        <v>38</v>
      </c>
      <c r="J907">
        <f t="shared" si="88"/>
        <v>17.542989417989418</v>
      </c>
      <c r="K907">
        <v>5691.88</v>
      </c>
    </row>
    <row r="908" spans="1:11" x14ac:dyDescent="0.35">
      <c r="A908" s="1">
        <v>38899</v>
      </c>
      <c r="B908" t="s">
        <v>8</v>
      </c>
      <c r="C908" t="s">
        <v>38</v>
      </c>
      <c r="D908">
        <v>1954</v>
      </c>
      <c r="E908">
        <v>17129</v>
      </c>
      <c r="F908">
        <f t="shared" si="89"/>
        <v>8.7661207778915049</v>
      </c>
      <c r="G908">
        <f t="shared" si="86"/>
        <v>397.63123848515863</v>
      </c>
      <c r="H908">
        <v>766.70833333333326</v>
      </c>
      <c r="I908" t="s">
        <v>38</v>
      </c>
      <c r="J908">
        <f t="shared" si="88"/>
        <v>16.902741034685477</v>
      </c>
      <c r="K908">
        <v>5691.88</v>
      </c>
    </row>
    <row r="909" spans="1:11" x14ac:dyDescent="0.35">
      <c r="A909" s="1">
        <v>38930</v>
      </c>
      <c r="B909" t="s">
        <v>8</v>
      </c>
      <c r="C909" t="s">
        <v>38</v>
      </c>
      <c r="D909">
        <v>2566</v>
      </c>
      <c r="E909">
        <v>23054</v>
      </c>
      <c r="F909">
        <f t="shared" si="89"/>
        <v>8.9844115354637566</v>
      </c>
      <c r="G909">
        <f t="shared" si="86"/>
        <v>407.53290724863598</v>
      </c>
      <c r="H909">
        <v>737.66666666666663</v>
      </c>
      <c r="I909" t="s">
        <v>38</v>
      </c>
      <c r="J909">
        <f t="shared" si="88"/>
        <v>16.262492651381539</v>
      </c>
      <c r="K909">
        <v>5691.88</v>
      </c>
    </row>
    <row r="910" spans="1:11" x14ac:dyDescent="0.35">
      <c r="A910" s="1">
        <v>38961</v>
      </c>
      <c r="B910" t="s">
        <v>8</v>
      </c>
      <c r="C910" t="s">
        <v>38</v>
      </c>
      <c r="D910">
        <v>2611</v>
      </c>
      <c r="E910">
        <v>22489</v>
      </c>
      <c r="F910">
        <f t="shared" si="89"/>
        <v>8.6131750287246263</v>
      </c>
      <c r="G910">
        <f t="shared" si="86"/>
        <v>390.69361930294906</v>
      </c>
      <c r="H910">
        <v>790</v>
      </c>
      <c r="I910" t="s">
        <v>38</v>
      </c>
      <c r="J910">
        <f t="shared" si="88"/>
        <v>17.416225749559082</v>
      </c>
      <c r="K910">
        <v>5691.88</v>
      </c>
    </row>
    <row r="911" spans="1:11" x14ac:dyDescent="0.35">
      <c r="A911" s="1">
        <v>38991</v>
      </c>
      <c r="B911" t="s">
        <v>8</v>
      </c>
      <c r="C911" t="s">
        <v>38</v>
      </c>
      <c r="D911">
        <v>2079</v>
      </c>
      <c r="E911">
        <v>16046</v>
      </c>
      <c r="F911">
        <f t="shared" si="89"/>
        <v>7.7181337181337177</v>
      </c>
      <c r="G911">
        <f t="shared" si="86"/>
        <v>350.09454545454543</v>
      </c>
      <c r="H911">
        <v>633</v>
      </c>
      <c r="I911" t="s">
        <v>38</v>
      </c>
      <c r="J911">
        <f t="shared" si="88"/>
        <v>13.955026455026456</v>
      </c>
      <c r="K911">
        <v>5691.88</v>
      </c>
    </row>
    <row r="912" spans="1:11" x14ac:dyDescent="0.35">
      <c r="A912" s="1">
        <v>39022</v>
      </c>
      <c r="B912" t="s">
        <v>8</v>
      </c>
      <c r="C912" t="s">
        <v>38</v>
      </c>
      <c r="D912">
        <v>3320</v>
      </c>
      <c r="E912">
        <v>28284</v>
      </c>
      <c r="F912">
        <f t="shared" si="89"/>
        <v>8.5192771084337355</v>
      </c>
      <c r="G912">
        <f t="shared" si="86"/>
        <v>386.43440963855426</v>
      </c>
      <c r="H912">
        <v>582.33333333333337</v>
      </c>
      <c r="I912" t="s">
        <v>38</v>
      </c>
      <c r="J912">
        <f t="shared" si="88"/>
        <v>12.838036449147561</v>
      </c>
      <c r="K912">
        <v>5691.88</v>
      </c>
    </row>
    <row r="913" spans="1:11" x14ac:dyDescent="0.35">
      <c r="A913" s="1">
        <v>39052</v>
      </c>
      <c r="B913" t="s">
        <v>8</v>
      </c>
      <c r="C913" t="s">
        <v>38</v>
      </c>
      <c r="D913">
        <v>4922</v>
      </c>
      <c r="E913">
        <v>40929</v>
      </c>
      <c r="F913">
        <f t="shared" si="89"/>
        <v>8.3155221454693216</v>
      </c>
      <c r="G913">
        <f t="shared" si="86"/>
        <v>377.1920845184884</v>
      </c>
      <c r="H913">
        <v>636.33333333333337</v>
      </c>
      <c r="I913" t="s">
        <v>38</v>
      </c>
      <c r="J913">
        <f t="shared" si="88"/>
        <v>14.028512639623752</v>
      </c>
      <c r="K913">
        <v>5691.88</v>
      </c>
    </row>
    <row r="914" spans="1:11" x14ac:dyDescent="0.35">
      <c r="A914" s="1">
        <v>38718</v>
      </c>
      <c r="B914" t="s">
        <v>9</v>
      </c>
      <c r="C914" t="s">
        <v>38</v>
      </c>
      <c r="D914">
        <v>4959</v>
      </c>
      <c r="E914">
        <v>124149</v>
      </c>
      <c r="F914">
        <f t="shared" si="89"/>
        <v>25.035087719298247</v>
      </c>
      <c r="G914">
        <f t="shared" si="86"/>
        <v>1135.5915789473684</v>
      </c>
      <c r="H914">
        <v>738.79025000000001</v>
      </c>
      <c r="I914" t="s">
        <v>38</v>
      </c>
      <c r="J914">
        <f t="shared" si="88"/>
        <v>16.287263007054673</v>
      </c>
      <c r="K914">
        <v>10412.049999999999</v>
      </c>
    </row>
    <row r="915" spans="1:11" x14ac:dyDescent="0.35">
      <c r="A915" s="1">
        <v>38749</v>
      </c>
      <c r="B915" t="s">
        <v>9</v>
      </c>
      <c r="C915" t="s">
        <v>38</v>
      </c>
      <c r="D915">
        <v>3264</v>
      </c>
      <c r="E915">
        <v>110075</v>
      </c>
      <c r="F915">
        <f t="shared" si="89"/>
        <v>33.723958333333336</v>
      </c>
      <c r="G915">
        <f t="shared" si="86"/>
        <v>1529.71875</v>
      </c>
      <c r="H915">
        <v>666.1875</v>
      </c>
      <c r="I915" t="s">
        <v>38</v>
      </c>
      <c r="J915">
        <f t="shared" si="88"/>
        <v>14.68667328042328</v>
      </c>
      <c r="K915">
        <v>10412.049999999999</v>
      </c>
    </row>
    <row r="916" spans="1:11" x14ac:dyDescent="0.35">
      <c r="A916" s="1">
        <v>38777</v>
      </c>
      <c r="B916" t="s">
        <v>9</v>
      </c>
      <c r="C916" t="s">
        <v>38</v>
      </c>
      <c r="D916">
        <v>2733</v>
      </c>
      <c r="E916">
        <v>89445</v>
      </c>
      <c r="F916">
        <f t="shared" si="89"/>
        <v>32.727771679473108</v>
      </c>
      <c r="G916">
        <f t="shared" si="86"/>
        <v>1484.5317233809001</v>
      </c>
      <c r="H916">
        <v>544.45485000000008</v>
      </c>
      <c r="I916" t="s">
        <v>38</v>
      </c>
      <c r="J916">
        <f t="shared" si="88"/>
        <v>12.002972883597886</v>
      </c>
      <c r="K916">
        <v>10412.049999999999</v>
      </c>
    </row>
    <row r="917" spans="1:11" x14ac:dyDescent="0.35">
      <c r="A917" s="1">
        <v>38808</v>
      </c>
      <c r="B917" t="s">
        <v>9</v>
      </c>
      <c r="C917" t="s">
        <v>38</v>
      </c>
      <c r="D917">
        <v>3098</v>
      </c>
      <c r="E917">
        <v>91019</v>
      </c>
      <c r="F917">
        <f t="shared" si="89"/>
        <v>29.379922530664945</v>
      </c>
      <c r="G917">
        <f t="shared" si="86"/>
        <v>1332.6732859909619</v>
      </c>
      <c r="H917">
        <v>474.75</v>
      </c>
      <c r="I917" t="s">
        <v>38</v>
      </c>
      <c r="J917">
        <f t="shared" si="88"/>
        <v>10.466269841269842</v>
      </c>
      <c r="K917">
        <v>10412.049999999999</v>
      </c>
    </row>
    <row r="918" spans="1:11" x14ac:dyDescent="0.35">
      <c r="A918" s="1">
        <v>38838</v>
      </c>
      <c r="B918" t="s">
        <v>9</v>
      </c>
      <c r="C918" t="s">
        <v>38</v>
      </c>
      <c r="D918">
        <v>3499</v>
      </c>
      <c r="E918">
        <v>118225</v>
      </c>
      <c r="F918">
        <f t="shared" si="89"/>
        <v>33.788225207202061</v>
      </c>
      <c r="G918">
        <f t="shared" si="86"/>
        <v>1532.6338953986854</v>
      </c>
      <c r="H918">
        <v>418.125</v>
      </c>
      <c r="I918" t="s">
        <v>38</v>
      </c>
      <c r="J918">
        <f t="shared" si="88"/>
        <v>9.21792328042328</v>
      </c>
      <c r="K918">
        <v>10412.049999999999</v>
      </c>
    </row>
    <row r="919" spans="1:11" x14ac:dyDescent="0.35">
      <c r="A919" s="1">
        <v>38869</v>
      </c>
      <c r="B919" t="s">
        <v>9</v>
      </c>
      <c r="C919" t="s">
        <v>38</v>
      </c>
      <c r="D919">
        <v>3890</v>
      </c>
      <c r="E919">
        <v>114260</v>
      </c>
      <c r="F919">
        <f t="shared" si="89"/>
        <v>29.372750642673523</v>
      </c>
      <c r="G919">
        <f t="shared" si="86"/>
        <v>1332.3479691516709</v>
      </c>
      <c r="H919">
        <v>495</v>
      </c>
      <c r="I919" t="s">
        <v>38</v>
      </c>
      <c r="J919">
        <f t="shared" si="88"/>
        <v>10.912698412698413</v>
      </c>
      <c r="K919">
        <v>10412.049999999999</v>
      </c>
    </row>
    <row r="920" spans="1:11" x14ac:dyDescent="0.35">
      <c r="A920" s="1">
        <v>38899</v>
      </c>
      <c r="B920" t="s">
        <v>9</v>
      </c>
      <c r="C920" t="s">
        <v>38</v>
      </c>
      <c r="D920">
        <v>1738</v>
      </c>
      <c r="E920">
        <v>52432</v>
      </c>
      <c r="F920">
        <f t="shared" si="89"/>
        <v>30.168009205983889</v>
      </c>
      <c r="G920">
        <f t="shared" si="86"/>
        <v>1368.4208975834292</v>
      </c>
      <c r="H920">
        <v>456.5625</v>
      </c>
      <c r="I920" t="s">
        <v>38</v>
      </c>
      <c r="J920">
        <f t="shared" si="88"/>
        <v>10.065310846560847</v>
      </c>
      <c r="K920">
        <v>10412.049999999999</v>
      </c>
    </row>
    <row r="921" spans="1:11" x14ac:dyDescent="0.35">
      <c r="A921" s="1">
        <v>38930</v>
      </c>
      <c r="B921" t="s">
        <v>9</v>
      </c>
      <c r="C921" t="s">
        <v>38</v>
      </c>
      <c r="D921">
        <v>1081</v>
      </c>
      <c r="E921">
        <v>33465</v>
      </c>
      <c r="F921">
        <f t="shared" si="89"/>
        <v>30.957446808510639</v>
      </c>
      <c r="G921">
        <f t="shared" si="86"/>
        <v>1404.2297872340425</v>
      </c>
      <c r="H921">
        <v>540</v>
      </c>
      <c r="I921" t="s">
        <v>38</v>
      </c>
      <c r="J921">
        <f t="shared" si="88"/>
        <v>11.904761904761905</v>
      </c>
      <c r="K921">
        <v>10412.049999999999</v>
      </c>
    </row>
    <row r="922" spans="1:11" x14ac:dyDescent="0.35">
      <c r="A922" s="1">
        <v>38961</v>
      </c>
      <c r="B922" t="s">
        <v>9</v>
      </c>
      <c r="C922" t="s">
        <v>38</v>
      </c>
      <c r="D922">
        <v>1468</v>
      </c>
      <c r="E922">
        <v>51685</v>
      </c>
      <c r="F922">
        <f t="shared" si="89"/>
        <v>35.207765667574932</v>
      </c>
      <c r="G922">
        <f t="shared" si="86"/>
        <v>1597.024250681199</v>
      </c>
      <c r="H922">
        <v>583.83000000000004</v>
      </c>
      <c r="I922" t="s">
        <v>38</v>
      </c>
      <c r="J922">
        <f t="shared" si="88"/>
        <v>12.871031746031747</v>
      </c>
      <c r="K922">
        <v>10412.049999999999</v>
      </c>
    </row>
    <row r="923" spans="1:11" x14ac:dyDescent="0.35">
      <c r="A923" s="1">
        <v>38991</v>
      </c>
      <c r="B923" t="s">
        <v>9</v>
      </c>
      <c r="C923" t="s">
        <v>38</v>
      </c>
      <c r="D923">
        <v>1183</v>
      </c>
      <c r="E923">
        <v>35235</v>
      </c>
      <c r="F923">
        <f t="shared" si="89"/>
        <v>29.784446322907861</v>
      </c>
      <c r="G923">
        <f t="shared" si="86"/>
        <v>1351.0224852071005</v>
      </c>
      <c r="H923">
        <v>480.25</v>
      </c>
      <c r="I923" t="s">
        <v>38</v>
      </c>
      <c r="J923">
        <f t="shared" si="88"/>
        <v>10.58752204585538</v>
      </c>
      <c r="K923">
        <v>10412.049999999999</v>
      </c>
    </row>
    <row r="924" spans="1:11" x14ac:dyDescent="0.35">
      <c r="A924" s="1">
        <v>39022</v>
      </c>
      <c r="B924" t="s">
        <v>9</v>
      </c>
      <c r="C924" t="s">
        <v>38</v>
      </c>
      <c r="D924">
        <v>765</v>
      </c>
      <c r="E924">
        <v>25275</v>
      </c>
      <c r="F924">
        <f t="shared" si="89"/>
        <v>33.03921568627451</v>
      </c>
      <c r="G924">
        <f t="shared" si="86"/>
        <v>1498.6588235294118</v>
      </c>
      <c r="H924">
        <v>538.59375</v>
      </c>
      <c r="I924" t="s">
        <v>38</v>
      </c>
      <c r="J924">
        <f t="shared" si="88"/>
        <v>11.873759920634921</v>
      </c>
      <c r="K924">
        <v>10412.049999999999</v>
      </c>
    </row>
    <row r="925" spans="1:11" x14ac:dyDescent="0.35">
      <c r="A925" s="1">
        <v>39052</v>
      </c>
      <c r="B925" t="s">
        <v>9</v>
      </c>
      <c r="C925" t="s">
        <v>38</v>
      </c>
      <c r="D925">
        <v>2626</v>
      </c>
      <c r="E925">
        <v>88095</v>
      </c>
      <c r="F925">
        <f t="shared" si="89"/>
        <v>33.54722010662605</v>
      </c>
      <c r="G925">
        <f t="shared" si="86"/>
        <v>1521.7019040365576</v>
      </c>
      <c r="H925">
        <v>569.25</v>
      </c>
      <c r="I925" t="s">
        <v>38</v>
      </c>
      <c r="J925">
        <f t="shared" si="88"/>
        <v>12.549603174603174</v>
      </c>
      <c r="K925">
        <v>10412.049999999999</v>
      </c>
    </row>
    <row r="926" spans="1:11" x14ac:dyDescent="0.35">
      <c r="A926" s="1">
        <v>38718</v>
      </c>
      <c r="B926" t="s">
        <v>10</v>
      </c>
      <c r="C926" t="s">
        <v>38</v>
      </c>
      <c r="D926">
        <v>9044</v>
      </c>
      <c r="E926">
        <v>71787</v>
      </c>
      <c r="F926">
        <f t="shared" si="89"/>
        <v>7.9375276426360015</v>
      </c>
      <c r="G926">
        <f t="shared" si="86"/>
        <v>360.04625386996901</v>
      </c>
      <c r="H926">
        <v>953.60625000000005</v>
      </c>
      <c r="I926" t="s">
        <v>38</v>
      </c>
      <c r="J926">
        <f t="shared" si="88"/>
        <v>21.023065476190478</v>
      </c>
      <c r="K926">
        <v>4593.1000000000004</v>
      </c>
    </row>
    <row r="927" spans="1:11" x14ac:dyDescent="0.35">
      <c r="A927" s="1">
        <v>38749</v>
      </c>
      <c r="B927" t="s">
        <v>10</v>
      </c>
      <c r="C927" t="s">
        <v>38</v>
      </c>
      <c r="D927">
        <v>9706</v>
      </c>
      <c r="E927">
        <v>77787</v>
      </c>
      <c r="F927">
        <f t="shared" si="89"/>
        <v>8.0143210385328665</v>
      </c>
      <c r="G927">
        <f t="shared" si="86"/>
        <v>363.52960230785084</v>
      </c>
      <c r="H927">
        <v>897.58333333333337</v>
      </c>
      <c r="I927" t="s">
        <v>38</v>
      </c>
      <c r="J927">
        <f t="shared" si="88"/>
        <v>19.787992357436803</v>
      </c>
      <c r="K927">
        <v>4593.1000000000004</v>
      </c>
    </row>
    <row r="928" spans="1:11" x14ac:dyDescent="0.35">
      <c r="A928" s="1">
        <v>38777</v>
      </c>
      <c r="B928" t="s">
        <v>10</v>
      </c>
      <c r="C928" t="s">
        <v>38</v>
      </c>
      <c r="D928">
        <v>5983</v>
      </c>
      <c r="E928">
        <v>46939</v>
      </c>
      <c r="F928">
        <f t="shared" si="89"/>
        <v>7.8453952866454957</v>
      </c>
      <c r="G928">
        <f t="shared" si="86"/>
        <v>355.86713020223971</v>
      </c>
      <c r="H928">
        <v>972.35</v>
      </c>
      <c r="I928" t="s">
        <v>38</v>
      </c>
      <c r="J928">
        <f t="shared" si="88"/>
        <v>21.436287477954146</v>
      </c>
      <c r="K928">
        <v>4593.1000000000004</v>
      </c>
    </row>
    <row r="929" spans="1:11" x14ac:dyDescent="0.35">
      <c r="A929" s="1">
        <v>38808</v>
      </c>
      <c r="B929" t="s">
        <v>10</v>
      </c>
      <c r="C929" t="s">
        <v>38</v>
      </c>
      <c r="D929">
        <v>6215</v>
      </c>
      <c r="E929">
        <v>58097</v>
      </c>
      <c r="F929">
        <f t="shared" si="89"/>
        <v>9.3478680611423979</v>
      </c>
      <c r="G929">
        <f t="shared" si="86"/>
        <v>424.01929525341916</v>
      </c>
      <c r="H929">
        <v>984.6400000000001</v>
      </c>
      <c r="I929" t="s">
        <v>38</v>
      </c>
      <c r="J929">
        <f t="shared" si="88"/>
        <v>21.707231040564377</v>
      </c>
      <c r="K929">
        <v>4593.1000000000004</v>
      </c>
    </row>
    <row r="930" spans="1:11" x14ac:dyDescent="0.35">
      <c r="A930" s="1">
        <v>38838</v>
      </c>
      <c r="B930" t="s">
        <v>10</v>
      </c>
      <c r="C930" t="s">
        <v>38</v>
      </c>
      <c r="D930">
        <v>5839</v>
      </c>
      <c r="E930">
        <v>46789</v>
      </c>
      <c r="F930">
        <f t="shared" si="89"/>
        <v>8.0131871895872582</v>
      </c>
      <c r="G930">
        <f t="shared" si="86"/>
        <v>363.47817091967801</v>
      </c>
      <c r="H930">
        <v>860.33400000000006</v>
      </c>
      <c r="I930" t="s">
        <v>38</v>
      </c>
      <c r="J930">
        <f t="shared" si="88"/>
        <v>18.966798941798942</v>
      </c>
      <c r="K930">
        <v>4593.1000000000004</v>
      </c>
    </row>
    <row r="931" spans="1:11" x14ac:dyDescent="0.35">
      <c r="A931" s="1">
        <v>38869</v>
      </c>
      <c r="B931" t="s">
        <v>10</v>
      </c>
      <c r="C931" t="s">
        <v>38</v>
      </c>
      <c r="D931">
        <v>6409</v>
      </c>
      <c r="E931">
        <v>58206</v>
      </c>
      <c r="F931">
        <f t="shared" si="89"/>
        <v>9.0819160555468876</v>
      </c>
      <c r="G931">
        <f t="shared" ref="G931:G973" si="90">F931*45.36</f>
        <v>411.95571227960681</v>
      </c>
      <c r="H931">
        <v>878.5</v>
      </c>
      <c r="I931" t="s">
        <v>38</v>
      </c>
      <c r="J931">
        <f t="shared" si="88"/>
        <v>19.367283950617285</v>
      </c>
      <c r="K931">
        <v>4593.1000000000004</v>
      </c>
    </row>
    <row r="932" spans="1:11" x14ac:dyDescent="0.35">
      <c r="A932" s="1">
        <v>38899</v>
      </c>
      <c r="B932" t="s">
        <v>10</v>
      </c>
      <c r="C932" t="s">
        <v>38</v>
      </c>
      <c r="D932">
        <v>4803</v>
      </c>
      <c r="E932">
        <v>39304</v>
      </c>
      <c r="F932">
        <f t="shared" si="89"/>
        <v>8.1832188215698523</v>
      </c>
      <c r="G932">
        <f t="shared" si="90"/>
        <v>371.1908057464085</v>
      </c>
      <c r="H932">
        <v>869.41700000000003</v>
      </c>
      <c r="I932" t="s">
        <v>38</v>
      </c>
      <c r="J932">
        <f t="shared" si="88"/>
        <v>19.167041446208113</v>
      </c>
      <c r="K932">
        <v>4593.1000000000004</v>
      </c>
    </row>
    <row r="933" spans="1:11" x14ac:dyDescent="0.35">
      <c r="A933" s="1">
        <v>38930</v>
      </c>
      <c r="B933" t="s">
        <v>10</v>
      </c>
      <c r="C933" t="s">
        <v>38</v>
      </c>
      <c r="D933">
        <v>4782</v>
      </c>
      <c r="E933">
        <v>37479</v>
      </c>
      <c r="F933">
        <f t="shared" si="89"/>
        <v>7.8375156838143036</v>
      </c>
      <c r="G933">
        <f t="shared" si="90"/>
        <v>355.50971141781679</v>
      </c>
      <c r="H933">
        <v>982.5</v>
      </c>
      <c r="I933" t="s">
        <v>38</v>
      </c>
      <c r="J933">
        <f t="shared" si="88"/>
        <v>21.660052910052912</v>
      </c>
      <c r="K933">
        <v>4593.1000000000004</v>
      </c>
    </row>
    <row r="934" spans="1:11" x14ac:dyDescent="0.35">
      <c r="A934" s="1">
        <v>38961</v>
      </c>
      <c r="B934" t="s">
        <v>10</v>
      </c>
      <c r="C934" t="s">
        <v>38</v>
      </c>
      <c r="D934">
        <v>4576</v>
      </c>
      <c r="E934">
        <v>39215</v>
      </c>
      <c r="F934">
        <f t="shared" si="89"/>
        <v>8.5697115384615383</v>
      </c>
      <c r="G934">
        <f t="shared" si="90"/>
        <v>388.72211538461539</v>
      </c>
      <c r="H934">
        <v>792.91666666666663</v>
      </c>
      <c r="I934" t="s">
        <v>38</v>
      </c>
      <c r="J934">
        <f t="shared" si="88"/>
        <v>17.480526161081716</v>
      </c>
      <c r="K934">
        <v>4593.1000000000004</v>
      </c>
    </row>
    <row r="935" spans="1:11" x14ac:dyDescent="0.35">
      <c r="A935" s="1">
        <v>38991</v>
      </c>
      <c r="B935" t="s">
        <v>10</v>
      </c>
      <c r="C935" t="s">
        <v>38</v>
      </c>
      <c r="D935">
        <v>3133</v>
      </c>
      <c r="E935">
        <v>23653</v>
      </c>
      <c r="F935">
        <f t="shared" si="89"/>
        <v>7.5496329396744333</v>
      </c>
      <c r="G935">
        <f t="shared" si="90"/>
        <v>342.45135014363228</v>
      </c>
      <c r="H935">
        <v>785.16666666666663</v>
      </c>
      <c r="I935" t="s">
        <v>38</v>
      </c>
      <c r="J935">
        <f t="shared" si="88"/>
        <v>17.309670781893004</v>
      </c>
      <c r="K935">
        <v>4593.1000000000004</v>
      </c>
    </row>
    <row r="936" spans="1:11" x14ac:dyDescent="0.35">
      <c r="A936" s="1">
        <v>39022</v>
      </c>
      <c r="B936" t="s">
        <v>10</v>
      </c>
      <c r="C936" t="s">
        <v>38</v>
      </c>
      <c r="D936">
        <v>4750</v>
      </c>
      <c r="E936">
        <v>38035</v>
      </c>
      <c r="F936">
        <f t="shared" si="89"/>
        <v>8.0073684210526324</v>
      </c>
      <c r="G936">
        <f t="shared" si="90"/>
        <v>363.21423157894742</v>
      </c>
      <c r="H936">
        <v>904.375</v>
      </c>
      <c r="I936" t="s">
        <v>38</v>
      </c>
      <c r="J936">
        <f t="shared" si="88"/>
        <v>19.937720458553791</v>
      </c>
      <c r="K936">
        <v>4593.1000000000004</v>
      </c>
    </row>
    <row r="937" spans="1:11" x14ac:dyDescent="0.35">
      <c r="A937" s="1">
        <v>39052</v>
      </c>
      <c r="B937" t="s">
        <v>10</v>
      </c>
      <c r="C937" t="s">
        <v>38</v>
      </c>
      <c r="D937">
        <v>5954</v>
      </c>
      <c r="E937">
        <v>45478</v>
      </c>
      <c r="F937">
        <f t="shared" si="89"/>
        <v>7.6382264024185424</v>
      </c>
      <c r="G937">
        <f t="shared" si="90"/>
        <v>346.46994961370507</v>
      </c>
      <c r="H937">
        <v>901.75</v>
      </c>
      <c r="I937" t="s">
        <v>38</v>
      </c>
      <c r="J937">
        <f t="shared" si="88"/>
        <v>19.879850088183421</v>
      </c>
      <c r="K937">
        <v>4593.1000000000004</v>
      </c>
    </row>
    <row r="938" spans="1:11" x14ac:dyDescent="0.35">
      <c r="A938" s="1">
        <v>38718</v>
      </c>
      <c r="B938" t="s">
        <v>11</v>
      </c>
      <c r="C938" t="s">
        <v>38</v>
      </c>
      <c r="D938">
        <v>27129</v>
      </c>
      <c r="E938">
        <v>249658</v>
      </c>
      <c r="F938">
        <f t="shared" si="89"/>
        <v>9.2026244977699143</v>
      </c>
      <c r="G938">
        <f t="shared" si="90"/>
        <v>417.43104721884333</v>
      </c>
      <c r="H938">
        <v>282.67200000000003</v>
      </c>
      <c r="I938" t="s">
        <v>38</v>
      </c>
      <c r="J938">
        <f t="shared" si="88"/>
        <v>6.2317460317460327</v>
      </c>
      <c r="K938">
        <v>2287.145</v>
      </c>
    </row>
    <row r="939" spans="1:11" x14ac:dyDescent="0.35">
      <c r="A939" s="1">
        <v>38749</v>
      </c>
      <c r="B939" t="s">
        <v>11</v>
      </c>
      <c r="C939" t="s">
        <v>38</v>
      </c>
      <c r="D939">
        <v>32460</v>
      </c>
      <c r="E939">
        <v>348521</v>
      </c>
      <c r="F939">
        <f t="shared" si="89"/>
        <v>10.736937769562539</v>
      </c>
      <c r="G939">
        <f t="shared" si="90"/>
        <v>487.02749722735678</v>
      </c>
      <c r="H939">
        <v>277.86281250000002</v>
      </c>
      <c r="I939" t="s">
        <v>38</v>
      </c>
      <c r="J939">
        <f t="shared" si="88"/>
        <v>6.1257233796296298</v>
      </c>
      <c r="K939">
        <v>2287.145</v>
      </c>
    </row>
    <row r="940" spans="1:11" x14ac:dyDescent="0.35">
      <c r="A940" s="1">
        <v>38777</v>
      </c>
      <c r="B940" t="s">
        <v>11</v>
      </c>
      <c r="C940" t="s">
        <v>38</v>
      </c>
      <c r="D940">
        <v>26663</v>
      </c>
      <c r="E940">
        <v>268251</v>
      </c>
      <c r="F940">
        <f t="shared" si="89"/>
        <v>10.060795859430671</v>
      </c>
      <c r="G940">
        <f t="shared" si="90"/>
        <v>456.35770018377525</v>
      </c>
      <c r="H940">
        <v>430.89285714285717</v>
      </c>
      <c r="I940" t="s">
        <v>38</v>
      </c>
      <c r="J940">
        <f t="shared" si="88"/>
        <v>9.4994016124968521</v>
      </c>
      <c r="K940">
        <v>2287.145</v>
      </c>
    </row>
    <row r="941" spans="1:11" x14ac:dyDescent="0.35">
      <c r="A941" s="1">
        <v>38808</v>
      </c>
      <c r="B941" t="s">
        <v>11</v>
      </c>
      <c r="C941" t="s">
        <v>38</v>
      </c>
      <c r="D941">
        <v>29022</v>
      </c>
      <c r="E941">
        <v>291466</v>
      </c>
      <c r="F941">
        <f t="shared" si="89"/>
        <v>10.0429329474192</v>
      </c>
      <c r="G941">
        <f t="shared" si="90"/>
        <v>455.54743849493491</v>
      </c>
      <c r="H941">
        <v>287.45495999999997</v>
      </c>
      <c r="I941" t="s">
        <v>38</v>
      </c>
      <c r="J941">
        <f t="shared" si="88"/>
        <v>6.337190476190476</v>
      </c>
      <c r="K941">
        <v>2287.145</v>
      </c>
    </row>
    <row r="942" spans="1:11" x14ac:dyDescent="0.35">
      <c r="A942" s="1">
        <v>38838</v>
      </c>
      <c r="B942" t="s">
        <v>11</v>
      </c>
      <c r="C942" t="s">
        <v>38</v>
      </c>
      <c r="D942">
        <v>26056</v>
      </c>
      <c r="E942">
        <v>261680</v>
      </c>
      <c r="F942">
        <f t="shared" si="89"/>
        <v>10.042984341418483</v>
      </c>
      <c r="G942">
        <f t="shared" si="90"/>
        <v>455.5497697267424</v>
      </c>
      <c r="H942">
        <v>440.69666666666666</v>
      </c>
      <c r="I942" t="s">
        <v>38</v>
      </c>
      <c r="J942">
        <f t="shared" si="88"/>
        <v>9.7155349794238681</v>
      </c>
      <c r="K942">
        <v>2287.145</v>
      </c>
    </row>
    <row r="943" spans="1:11" x14ac:dyDescent="0.35">
      <c r="A943" s="1">
        <v>38869</v>
      </c>
      <c r="B943" t="s">
        <v>11</v>
      </c>
      <c r="C943" t="s">
        <v>38</v>
      </c>
      <c r="D943">
        <v>23496</v>
      </c>
      <c r="E943">
        <v>236640</v>
      </c>
      <c r="F943">
        <f t="shared" si="89"/>
        <v>10.07150153217569</v>
      </c>
      <c r="G943">
        <f t="shared" si="90"/>
        <v>456.84330949948929</v>
      </c>
      <c r="H943">
        <v>463.74571428571431</v>
      </c>
      <c r="I943" t="s">
        <v>38</v>
      </c>
      <c r="J943">
        <f t="shared" ref="J943:J973" si="91">H943/45.36</f>
        <v>10.223670949861427</v>
      </c>
      <c r="K943">
        <v>2287.145</v>
      </c>
    </row>
    <row r="944" spans="1:11" x14ac:dyDescent="0.35">
      <c r="A944" s="1">
        <v>38899</v>
      </c>
      <c r="B944" t="s">
        <v>11</v>
      </c>
      <c r="C944" t="s">
        <v>38</v>
      </c>
      <c r="D944">
        <v>17094</v>
      </c>
      <c r="E944">
        <v>172387</v>
      </c>
      <c r="F944">
        <f t="shared" si="89"/>
        <v>10.084649584649584</v>
      </c>
      <c r="G944">
        <f t="shared" si="90"/>
        <v>457.43970515970517</v>
      </c>
      <c r="H944">
        <v>400.60999999999996</v>
      </c>
      <c r="I944" t="s">
        <v>38</v>
      </c>
      <c r="J944">
        <f t="shared" si="91"/>
        <v>8.8317901234567895</v>
      </c>
      <c r="K944">
        <v>2287.145</v>
      </c>
    </row>
    <row r="945" spans="1:11" x14ac:dyDescent="0.35">
      <c r="A945" s="1">
        <v>38930</v>
      </c>
      <c r="B945" t="s">
        <v>11</v>
      </c>
      <c r="C945" t="s">
        <v>38</v>
      </c>
      <c r="D945">
        <v>20282</v>
      </c>
      <c r="E945">
        <v>212064</v>
      </c>
      <c r="F945">
        <f t="shared" si="89"/>
        <v>10.455773592347894</v>
      </c>
      <c r="G945">
        <f t="shared" si="90"/>
        <v>474.27389014890048</v>
      </c>
      <c r="H945">
        <v>449.77833333333336</v>
      </c>
      <c r="I945" t="s">
        <v>38</v>
      </c>
      <c r="J945">
        <f t="shared" si="91"/>
        <v>9.9157480893592016</v>
      </c>
      <c r="K945">
        <v>2287.145</v>
      </c>
    </row>
    <row r="946" spans="1:11" x14ac:dyDescent="0.35">
      <c r="A946" s="1">
        <v>38961</v>
      </c>
      <c r="B946" t="s">
        <v>11</v>
      </c>
      <c r="C946" t="s">
        <v>38</v>
      </c>
      <c r="D946">
        <v>21015</v>
      </c>
      <c r="E946">
        <v>210883</v>
      </c>
      <c r="F946">
        <f t="shared" si="89"/>
        <v>10.034879847727813</v>
      </c>
      <c r="G946">
        <f t="shared" si="90"/>
        <v>455.18214989293364</v>
      </c>
      <c r="H946">
        <v>438.69</v>
      </c>
      <c r="I946" t="s">
        <v>38</v>
      </c>
      <c r="J946">
        <f t="shared" si="91"/>
        <v>9.6712962962962958</v>
      </c>
      <c r="K946">
        <v>2287.145</v>
      </c>
    </row>
    <row r="947" spans="1:11" x14ac:dyDescent="0.35">
      <c r="A947" s="1">
        <v>38991</v>
      </c>
      <c r="B947" t="s">
        <v>11</v>
      </c>
      <c r="C947" t="s">
        <v>38</v>
      </c>
      <c r="D947">
        <v>16367</v>
      </c>
      <c r="E947">
        <v>165291</v>
      </c>
      <c r="F947">
        <f t="shared" si="89"/>
        <v>10.09904075273416</v>
      </c>
      <c r="G947">
        <f t="shared" si="90"/>
        <v>458.09248854402148</v>
      </c>
      <c r="H947">
        <v>422.03500000000003</v>
      </c>
      <c r="I947" t="s">
        <v>38</v>
      </c>
      <c r="J947">
        <f t="shared" si="91"/>
        <v>9.3041225749559082</v>
      </c>
      <c r="K947">
        <v>2287.145</v>
      </c>
    </row>
    <row r="948" spans="1:11" x14ac:dyDescent="0.35">
      <c r="A948" s="1">
        <v>39022</v>
      </c>
      <c r="B948" t="s">
        <v>11</v>
      </c>
      <c r="C948" t="s">
        <v>38</v>
      </c>
      <c r="D948">
        <v>20736</v>
      </c>
      <c r="E948">
        <v>201077</v>
      </c>
      <c r="F948">
        <f t="shared" si="89"/>
        <v>9.6970003858024683</v>
      </c>
      <c r="G948">
        <f t="shared" si="90"/>
        <v>439.85593749999998</v>
      </c>
      <c r="H948">
        <v>237.13628571428572</v>
      </c>
      <c r="I948" t="s">
        <v>38</v>
      </c>
      <c r="J948">
        <f t="shared" si="91"/>
        <v>5.2278722600151175</v>
      </c>
      <c r="K948">
        <v>2287.145</v>
      </c>
    </row>
    <row r="949" spans="1:11" x14ac:dyDescent="0.35">
      <c r="A949" s="1">
        <v>39052</v>
      </c>
      <c r="B949" t="s">
        <v>11</v>
      </c>
      <c r="C949" t="s">
        <v>38</v>
      </c>
      <c r="D949">
        <v>22444</v>
      </c>
      <c r="E949">
        <v>212108</v>
      </c>
      <c r="F949">
        <f t="shared" si="89"/>
        <v>9.4505435751202995</v>
      </c>
      <c r="G949">
        <f t="shared" si="90"/>
        <v>428.6766565674568</v>
      </c>
      <c r="H949">
        <v>285.767</v>
      </c>
      <c r="I949" t="s">
        <v>38</v>
      </c>
      <c r="J949">
        <f t="shared" si="91"/>
        <v>6.2999779541446204</v>
      </c>
      <c r="K949">
        <v>2287.145</v>
      </c>
    </row>
    <row r="950" spans="1:11" x14ac:dyDescent="0.35">
      <c r="A950" s="1">
        <v>38718</v>
      </c>
      <c r="B950" t="s">
        <v>12</v>
      </c>
      <c r="C950" t="s">
        <v>38</v>
      </c>
      <c r="D950">
        <v>12099</v>
      </c>
      <c r="E950">
        <v>63156</v>
      </c>
      <c r="F950">
        <f t="shared" si="89"/>
        <v>5.219935531862137</v>
      </c>
      <c r="G950">
        <f t="shared" si="90"/>
        <v>236.77627572526654</v>
      </c>
      <c r="H950">
        <v>458.02833333333336</v>
      </c>
      <c r="I950" t="s">
        <v>38</v>
      </c>
      <c r="J950">
        <f t="shared" si="91"/>
        <v>10.097626396237509</v>
      </c>
      <c r="K950">
        <v>864.56</v>
      </c>
    </row>
    <row r="951" spans="1:11" x14ac:dyDescent="0.35">
      <c r="A951" s="1">
        <v>38749</v>
      </c>
      <c r="B951" t="s">
        <v>12</v>
      </c>
      <c r="C951" t="s">
        <v>38</v>
      </c>
      <c r="D951">
        <v>11408</v>
      </c>
      <c r="E951">
        <v>66014</v>
      </c>
      <c r="F951">
        <f t="shared" si="89"/>
        <v>5.7866409537166899</v>
      </c>
      <c r="G951">
        <f t="shared" si="90"/>
        <v>262.48203366058902</v>
      </c>
      <c r="H951">
        <v>516.625</v>
      </c>
      <c r="I951" t="s">
        <v>38</v>
      </c>
      <c r="J951">
        <f t="shared" si="91"/>
        <v>11.389440035273369</v>
      </c>
      <c r="K951">
        <v>864.56</v>
      </c>
    </row>
    <row r="952" spans="1:11" x14ac:dyDescent="0.35">
      <c r="A952" s="1">
        <v>38777</v>
      </c>
      <c r="B952" t="s">
        <v>12</v>
      </c>
      <c r="C952" t="s">
        <v>38</v>
      </c>
      <c r="D952">
        <v>9925</v>
      </c>
      <c r="E952">
        <v>53770</v>
      </c>
      <c r="F952">
        <f t="shared" si="89"/>
        <v>5.4176322418136023</v>
      </c>
      <c r="G952">
        <f t="shared" si="90"/>
        <v>245.74379848866499</v>
      </c>
      <c r="H952">
        <v>582.16599999999994</v>
      </c>
      <c r="I952" t="s">
        <v>38</v>
      </c>
      <c r="J952">
        <f t="shared" si="91"/>
        <v>12.834347442680775</v>
      </c>
      <c r="K952">
        <v>864.56</v>
      </c>
    </row>
    <row r="953" spans="1:11" x14ac:dyDescent="0.35">
      <c r="A953" s="1">
        <v>38808</v>
      </c>
      <c r="B953" t="s">
        <v>12</v>
      </c>
      <c r="C953" t="s">
        <v>38</v>
      </c>
      <c r="D953">
        <v>8253</v>
      </c>
      <c r="E953">
        <v>59980</v>
      </c>
      <c r="F953">
        <f t="shared" si="89"/>
        <v>7.2676602447594814</v>
      </c>
      <c r="G953">
        <f t="shared" si="90"/>
        <v>329.66106870229009</v>
      </c>
      <c r="H953">
        <v>424.4</v>
      </c>
      <c r="I953" t="s">
        <v>38</v>
      </c>
      <c r="J953">
        <f t="shared" si="91"/>
        <v>9.3562610229276899</v>
      </c>
      <c r="K953">
        <v>864.56</v>
      </c>
    </row>
    <row r="954" spans="1:11" x14ac:dyDescent="0.35">
      <c r="A954" s="1">
        <v>38838</v>
      </c>
      <c r="B954" t="s">
        <v>12</v>
      </c>
      <c r="C954" t="s">
        <v>38</v>
      </c>
      <c r="D954">
        <v>5969</v>
      </c>
      <c r="E954">
        <v>40046</v>
      </c>
      <c r="F954">
        <f t="shared" si="89"/>
        <v>6.7089964818227505</v>
      </c>
      <c r="G954">
        <f t="shared" si="90"/>
        <v>304.32008041547994</v>
      </c>
      <c r="H954">
        <v>352.08333333333331</v>
      </c>
      <c r="I954" t="s">
        <v>38</v>
      </c>
      <c r="J954">
        <f t="shared" si="91"/>
        <v>7.7619782480893589</v>
      </c>
      <c r="K954">
        <v>864.56</v>
      </c>
    </row>
    <row r="955" spans="1:11" x14ac:dyDescent="0.35">
      <c r="A955" s="1">
        <v>38869</v>
      </c>
      <c r="B955" t="s">
        <v>12</v>
      </c>
      <c r="C955" t="s">
        <v>38</v>
      </c>
      <c r="D955">
        <v>9049</v>
      </c>
      <c r="E955">
        <v>61376</v>
      </c>
      <c r="F955">
        <f t="shared" ref="F955:F985" si="92">E955/D955</f>
        <v>6.7826279146867057</v>
      </c>
      <c r="G955">
        <f t="shared" si="90"/>
        <v>307.66000221018896</v>
      </c>
      <c r="H955">
        <v>434.91750000000002</v>
      </c>
      <c r="I955" t="s">
        <v>38</v>
      </c>
      <c r="J955">
        <f t="shared" si="91"/>
        <v>9.588128306878307</v>
      </c>
      <c r="K955">
        <v>864.56</v>
      </c>
    </row>
    <row r="956" spans="1:11" x14ac:dyDescent="0.35">
      <c r="A956" s="1">
        <v>38899</v>
      </c>
      <c r="B956" t="s">
        <v>12</v>
      </c>
      <c r="C956" t="s">
        <v>38</v>
      </c>
      <c r="D956">
        <v>9508</v>
      </c>
      <c r="E956">
        <v>65422</v>
      </c>
      <c r="F956">
        <f t="shared" si="92"/>
        <v>6.8807320151451412</v>
      </c>
      <c r="G956">
        <f t="shared" si="90"/>
        <v>312.1100042069836</v>
      </c>
      <c r="H956">
        <v>350</v>
      </c>
      <c r="I956" t="s">
        <v>38</v>
      </c>
      <c r="J956">
        <f t="shared" si="91"/>
        <v>7.7160493827160499</v>
      </c>
      <c r="K956">
        <v>864.56</v>
      </c>
    </row>
    <row r="957" spans="1:11" x14ac:dyDescent="0.35">
      <c r="A957" s="1">
        <v>38930</v>
      </c>
      <c r="B957" t="s">
        <v>12</v>
      </c>
      <c r="C957" t="s">
        <v>38</v>
      </c>
      <c r="D957">
        <v>11542</v>
      </c>
      <c r="E957">
        <v>70555</v>
      </c>
      <c r="F957">
        <f t="shared" si="92"/>
        <v>6.1128920464390921</v>
      </c>
      <c r="G957">
        <f t="shared" si="90"/>
        <v>277.28078322647724</v>
      </c>
      <c r="H957">
        <v>789.5</v>
      </c>
      <c r="I957" t="s">
        <v>38</v>
      </c>
      <c r="J957">
        <f t="shared" si="91"/>
        <v>17.405202821869487</v>
      </c>
      <c r="K957">
        <v>864.56</v>
      </c>
    </row>
    <row r="958" spans="1:11" x14ac:dyDescent="0.35">
      <c r="A958" s="1">
        <v>38961</v>
      </c>
      <c r="B958" t="s">
        <v>12</v>
      </c>
      <c r="C958" t="s">
        <v>38</v>
      </c>
      <c r="D958">
        <v>11919</v>
      </c>
      <c r="E958">
        <v>83861</v>
      </c>
      <c r="F958">
        <f t="shared" si="92"/>
        <v>7.035909052772884</v>
      </c>
      <c r="G958">
        <f t="shared" si="90"/>
        <v>319.14883463377799</v>
      </c>
      <c r="H958">
        <v>374.1</v>
      </c>
      <c r="I958" t="s">
        <v>38</v>
      </c>
      <c r="J958">
        <f t="shared" si="91"/>
        <v>8.2473544973544985</v>
      </c>
      <c r="K958">
        <v>864.56</v>
      </c>
    </row>
    <row r="959" spans="1:11" x14ac:dyDescent="0.35">
      <c r="A959" s="1">
        <v>38991</v>
      </c>
      <c r="B959" t="s">
        <v>12</v>
      </c>
      <c r="C959" t="s">
        <v>38</v>
      </c>
      <c r="D959">
        <v>11639</v>
      </c>
      <c r="E959">
        <v>68207</v>
      </c>
      <c r="F959">
        <f t="shared" si="92"/>
        <v>5.8602113583641202</v>
      </c>
      <c r="G959">
        <f t="shared" si="90"/>
        <v>265.81918721539648</v>
      </c>
      <c r="H959">
        <v>373.834</v>
      </c>
      <c r="I959" t="s">
        <v>38</v>
      </c>
      <c r="J959">
        <f t="shared" si="91"/>
        <v>8.2414902998236332</v>
      </c>
      <c r="K959">
        <v>864.56</v>
      </c>
    </row>
    <row r="960" spans="1:11" x14ac:dyDescent="0.35">
      <c r="A960" s="1">
        <v>39022</v>
      </c>
      <c r="B960" t="s">
        <v>12</v>
      </c>
      <c r="C960" t="s">
        <v>38</v>
      </c>
      <c r="D960">
        <v>11749</v>
      </c>
      <c r="E960">
        <v>64967</v>
      </c>
      <c r="F960">
        <f t="shared" si="92"/>
        <v>5.5295769852753427</v>
      </c>
      <c r="G960">
        <f t="shared" si="90"/>
        <v>250.82161205208953</v>
      </c>
      <c r="H960">
        <v>455.05</v>
      </c>
      <c r="I960" t="s">
        <v>38</v>
      </c>
      <c r="J960">
        <f t="shared" si="91"/>
        <v>10.031966490299824</v>
      </c>
      <c r="K960">
        <v>864.56</v>
      </c>
    </row>
    <row r="961" spans="1:11" x14ac:dyDescent="0.35">
      <c r="A961" s="1">
        <v>39052</v>
      </c>
      <c r="B961" t="s">
        <v>12</v>
      </c>
      <c r="C961" t="s">
        <v>38</v>
      </c>
      <c r="D961">
        <v>12320</v>
      </c>
      <c r="E961">
        <v>100723</v>
      </c>
      <c r="F961">
        <f t="shared" si="92"/>
        <v>8.175568181818182</v>
      </c>
      <c r="G961">
        <f t="shared" si="90"/>
        <v>370.84377272727272</v>
      </c>
      <c r="H961">
        <v>482.5</v>
      </c>
      <c r="I961" t="s">
        <v>38</v>
      </c>
      <c r="J961">
        <f t="shared" si="91"/>
        <v>10.637125220458554</v>
      </c>
      <c r="K961">
        <v>864.56</v>
      </c>
    </row>
    <row r="962" spans="1:11" x14ac:dyDescent="0.35">
      <c r="A962" s="1">
        <v>38718</v>
      </c>
      <c r="B962" t="s">
        <v>13</v>
      </c>
      <c r="C962" t="s">
        <v>38</v>
      </c>
      <c r="D962">
        <v>6425</v>
      </c>
      <c r="E962">
        <v>35117</v>
      </c>
      <c r="F962">
        <f t="shared" si="92"/>
        <v>5.4656809338521404</v>
      </c>
      <c r="G962">
        <f t="shared" si="90"/>
        <v>247.92328715953309</v>
      </c>
      <c r="H962">
        <v>277.95999999999998</v>
      </c>
      <c r="I962" t="s">
        <v>38</v>
      </c>
      <c r="J962">
        <f t="shared" si="91"/>
        <v>6.1278659611992943</v>
      </c>
      <c r="K962">
        <v>4742.13</v>
      </c>
    </row>
    <row r="963" spans="1:11" x14ac:dyDescent="0.35">
      <c r="A963" s="1">
        <v>38749</v>
      </c>
      <c r="B963" t="s">
        <v>13</v>
      </c>
      <c r="C963" t="s">
        <v>38</v>
      </c>
      <c r="D963">
        <v>5032</v>
      </c>
      <c r="E963">
        <v>43811</v>
      </c>
      <c r="F963">
        <f t="shared" si="92"/>
        <v>8.7064785373608906</v>
      </c>
      <c r="G963">
        <f t="shared" si="90"/>
        <v>394.92586645468998</v>
      </c>
      <c r="H963">
        <v>256.26205949999996</v>
      </c>
      <c r="I963" t="s">
        <v>38</v>
      </c>
      <c r="J963">
        <f t="shared" si="91"/>
        <v>5.6495163029100519</v>
      </c>
      <c r="K963">
        <v>4742.13</v>
      </c>
    </row>
    <row r="964" spans="1:11" x14ac:dyDescent="0.35">
      <c r="A964" s="1">
        <v>38777</v>
      </c>
      <c r="B964" t="s">
        <v>13</v>
      </c>
      <c r="C964" t="s">
        <v>38</v>
      </c>
      <c r="D964">
        <v>5709</v>
      </c>
      <c r="E964">
        <v>50682</v>
      </c>
      <c r="F964">
        <f t="shared" si="92"/>
        <v>8.877561744613768</v>
      </c>
      <c r="G964">
        <f t="shared" si="90"/>
        <v>402.68620073568053</v>
      </c>
      <c r="H964">
        <v>200.87600000000003</v>
      </c>
      <c r="I964" t="s">
        <v>38</v>
      </c>
      <c r="J964">
        <f t="shared" si="91"/>
        <v>4.4284832451499128</v>
      </c>
      <c r="K964">
        <v>4742.13</v>
      </c>
    </row>
    <row r="965" spans="1:11" x14ac:dyDescent="0.35">
      <c r="A965" s="1">
        <v>38808</v>
      </c>
      <c r="B965" t="s">
        <v>13</v>
      </c>
      <c r="C965" t="s">
        <v>38</v>
      </c>
      <c r="D965">
        <v>6796</v>
      </c>
      <c r="E965">
        <v>59363</v>
      </c>
      <c r="F965">
        <f t="shared" si="92"/>
        <v>8.7349911712772226</v>
      </c>
      <c r="G965">
        <f t="shared" si="90"/>
        <v>396.21919952913481</v>
      </c>
      <c r="H965">
        <v>203.72</v>
      </c>
      <c r="I965" t="s">
        <v>38</v>
      </c>
      <c r="J965">
        <f t="shared" si="91"/>
        <v>4.4911816578483243</v>
      </c>
      <c r="K965">
        <v>4742.13</v>
      </c>
    </row>
    <row r="966" spans="1:11" x14ac:dyDescent="0.35">
      <c r="A966" s="1">
        <v>38838</v>
      </c>
      <c r="B966" t="s">
        <v>13</v>
      </c>
      <c r="C966" t="s">
        <v>38</v>
      </c>
      <c r="D966">
        <v>5869</v>
      </c>
      <c r="E966">
        <v>51899</v>
      </c>
      <c r="F966">
        <f t="shared" si="92"/>
        <v>8.8429033906968826</v>
      </c>
      <c r="G966">
        <f t="shared" si="90"/>
        <v>401.11409780201058</v>
      </c>
      <c r="H966">
        <v>220.33453749999998</v>
      </c>
      <c r="I966" t="s">
        <v>38</v>
      </c>
      <c r="J966">
        <f t="shared" si="91"/>
        <v>4.8574633487654317</v>
      </c>
      <c r="K966">
        <v>4742.13</v>
      </c>
    </row>
    <row r="967" spans="1:11" x14ac:dyDescent="0.35">
      <c r="A967" s="1">
        <v>38869</v>
      </c>
      <c r="B967" t="s">
        <v>13</v>
      </c>
      <c r="C967" t="s">
        <v>38</v>
      </c>
      <c r="D967">
        <v>5739</v>
      </c>
      <c r="E967">
        <v>61851</v>
      </c>
      <c r="F967">
        <f t="shared" si="92"/>
        <v>10.777313120752744</v>
      </c>
      <c r="G967">
        <f t="shared" si="90"/>
        <v>488.85892315734446</v>
      </c>
      <c r="H967">
        <v>292.67678333333333</v>
      </c>
      <c r="I967" t="s">
        <v>38</v>
      </c>
      <c r="J967">
        <f t="shared" si="91"/>
        <v>6.4523100382128158</v>
      </c>
      <c r="K967">
        <v>4742.13</v>
      </c>
    </row>
    <row r="968" spans="1:11" x14ac:dyDescent="0.35">
      <c r="A968" s="1">
        <v>38899</v>
      </c>
      <c r="B968" t="s">
        <v>13</v>
      </c>
      <c r="C968" t="s">
        <v>38</v>
      </c>
      <c r="D968">
        <v>5463</v>
      </c>
      <c r="E968">
        <v>45756</v>
      </c>
      <c r="F968">
        <f t="shared" si="92"/>
        <v>8.3756177924217461</v>
      </c>
      <c r="G968">
        <f t="shared" si="90"/>
        <v>379.91802306425041</v>
      </c>
      <c r="H968">
        <v>267.61626666666672</v>
      </c>
      <c r="I968" t="s">
        <v>38</v>
      </c>
      <c r="J968">
        <f t="shared" si="91"/>
        <v>5.8998295120517357</v>
      </c>
      <c r="K968">
        <v>4742.13</v>
      </c>
    </row>
    <row r="969" spans="1:11" x14ac:dyDescent="0.35">
      <c r="A969" s="1">
        <v>38930</v>
      </c>
      <c r="B969" t="s">
        <v>13</v>
      </c>
      <c r="C969" t="s">
        <v>38</v>
      </c>
      <c r="D969">
        <v>4682</v>
      </c>
      <c r="E969">
        <v>37389</v>
      </c>
      <c r="F969">
        <f t="shared" si="92"/>
        <v>7.9856898761213158</v>
      </c>
      <c r="G969">
        <f t="shared" si="90"/>
        <v>362.23089278086286</v>
      </c>
      <c r="H969">
        <v>247.00749999999999</v>
      </c>
      <c r="I969" t="s">
        <v>38</v>
      </c>
      <c r="J969">
        <f t="shared" si="91"/>
        <v>5.4454916225749557</v>
      </c>
      <c r="K969">
        <v>4742.13</v>
      </c>
    </row>
    <row r="970" spans="1:11" x14ac:dyDescent="0.35">
      <c r="A970" s="1">
        <v>38961</v>
      </c>
      <c r="B970" t="s">
        <v>13</v>
      </c>
      <c r="C970" t="s">
        <v>38</v>
      </c>
      <c r="D970">
        <v>4261</v>
      </c>
      <c r="E970">
        <v>41697</v>
      </c>
      <c r="F970">
        <f t="shared" si="92"/>
        <v>9.7857310490495184</v>
      </c>
      <c r="G970">
        <f t="shared" si="90"/>
        <v>443.88076038488617</v>
      </c>
      <c r="H970">
        <v>215.09629166666667</v>
      </c>
      <c r="I970" t="s">
        <v>38</v>
      </c>
      <c r="J970">
        <f t="shared" si="91"/>
        <v>4.741981738683128</v>
      </c>
      <c r="K970">
        <v>4742.13</v>
      </c>
    </row>
    <row r="971" spans="1:11" x14ac:dyDescent="0.35">
      <c r="A971" s="1">
        <v>38991</v>
      </c>
      <c r="B971" t="s">
        <v>13</v>
      </c>
      <c r="C971" t="s">
        <v>38</v>
      </c>
      <c r="D971">
        <v>3954</v>
      </c>
      <c r="E971">
        <v>33383</v>
      </c>
      <c r="F971">
        <f t="shared" si="92"/>
        <v>8.4428426909458771</v>
      </c>
      <c r="G971">
        <f t="shared" si="90"/>
        <v>382.967344461305</v>
      </c>
      <c r="H971">
        <v>264.8</v>
      </c>
      <c r="I971" t="s">
        <v>38</v>
      </c>
      <c r="J971">
        <f t="shared" si="91"/>
        <v>5.8377425044091718</v>
      </c>
      <c r="K971">
        <v>4742.13</v>
      </c>
    </row>
    <row r="972" spans="1:11" x14ac:dyDescent="0.35">
      <c r="A972" s="1">
        <v>39022</v>
      </c>
      <c r="B972" t="s">
        <v>13</v>
      </c>
      <c r="C972" t="s">
        <v>38</v>
      </c>
      <c r="D972">
        <v>3855</v>
      </c>
      <c r="E972">
        <v>37258</v>
      </c>
      <c r="F972">
        <f t="shared" si="92"/>
        <v>9.6648508430609592</v>
      </c>
      <c r="G972">
        <f t="shared" si="90"/>
        <v>438.3976342412451</v>
      </c>
      <c r="H972">
        <v>225.22499999999999</v>
      </c>
      <c r="I972" t="s">
        <v>38</v>
      </c>
      <c r="J972">
        <f t="shared" si="91"/>
        <v>4.9652777777777777</v>
      </c>
      <c r="K972">
        <v>4742.13</v>
      </c>
    </row>
    <row r="973" spans="1:11" x14ac:dyDescent="0.35">
      <c r="A973" s="1">
        <v>39052</v>
      </c>
      <c r="B973" t="s">
        <v>13</v>
      </c>
      <c r="C973" t="s">
        <v>38</v>
      </c>
      <c r="D973">
        <v>4290</v>
      </c>
      <c r="E973">
        <v>34765</v>
      </c>
      <c r="F973">
        <f t="shared" si="92"/>
        <v>8.1037296037296045</v>
      </c>
      <c r="G973">
        <f t="shared" si="90"/>
        <v>367.58517482517487</v>
      </c>
      <c r="H973">
        <v>257.52999999999997</v>
      </c>
      <c r="I973" t="s">
        <v>38</v>
      </c>
      <c r="J973">
        <f t="shared" si="91"/>
        <v>5.6774691358024683</v>
      </c>
      <c r="K973">
        <v>4742.13</v>
      </c>
    </row>
    <row r="974" spans="1:11" x14ac:dyDescent="0.35">
      <c r="A974" s="1">
        <v>38718</v>
      </c>
      <c r="B974" t="s">
        <v>14</v>
      </c>
      <c r="C974" t="s">
        <v>40</v>
      </c>
      <c r="D974">
        <v>36981</v>
      </c>
      <c r="E974">
        <v>63734</v>
      </c>
      <c r="F974">
        <f t="shared" si="92"/>
        <v>1.7234255428463265</v>
      </c>
      <c r="G974">
        <f>F974*562.34</f>
        <v>969.15111976420337</v>
      </c>
      <c r="H974">
        <v>5062</v>
      </c>
      <c r="I974" t="s">
        <v>40</v>
      </c>
      <c r="J974">
        <f>(H974/1000)/0.56234</f>
        <v>9.0016715865846297</v>
      </c>
      <c r="K974">
        <v>8196.8700000000008</v>
      </c>
    </row>
    <row r="975" spans="1:11" x14ac:dyDescent="0.35">
      <c r="A975" s="1">
        <v>38749</v>
      </c>
      <c r="B975" t="s">
        <v>14</v>
      </c>
      <c r="C975" t="s">
        <v>40</v>
      </c>
      <c r="D975">
        <v>11514</v>
      </c>
      <c r="E975">
        <v>6918</v>
      </c>
      <c r="F975">
        <f t="shared" si="92"/>
        <v>0.60083376758728502</v>
      </c>
      <c r="G975">
        <f t="shared" ref="G975:G985" si="93">F975*562.34</f>
        <v>337.87286086503389</v>
      </c>
      <c r="H975">
        <v>3440.5</v>
      </c>
      <c r="I975" t="s">
        <v>40</v>
      </c>
      <c r="J975">
        <f t="shared" ref="J975:J985" si="94">(H975/1000)/0.56234</f>
        <v>6.118184728100438</v>
      </c>
      <c r="K975">
        <v>8196.8700000000008</v>
      </c>
    </row>
    <row r="976" spans="1:11" x14ac:dyDescent="0.35">
      <c r="A976" s="1">
        <v>38777</v>
      </c>
      <c r="B976" t="s">
        <v>14</v>
      </c>
      <c r="C976" t="s">
        <v>40</v>
      </c>
      <c r="D976">
        <v>2062</v>
      </c>
      <c r="E976">
        <v>980</v>
      </c>
      <c r="F976">
        <f t="shared" si="92"/>
        <v>0.47526673132880698</v>
      </c>
      <c r="G976">
        <f t="shared" si="93"/>
        <v>267.26149369544135</v>
      </c>
      <c r="H976">
        <v>4345.666666666667</v>
      </c>
      <c r="I976" t="s">
        <v>40</v>
      </c>
      <c r="J976">
        <f t="shared" si="94"/>
        <v>7.7278277673056648</v>
      </c>
      <c r="K976">
        <v>8196.8700000000008</v>
      </c>
    </row>
    <row r="977" spans="1:11" x14ac:dyDescent="0.35">
      <c r="A977" s="1">
        <v>38808</v>
      </c>
      <c r="B977" t="s">
        <v>14</v>
      </c>
      <c r="C977" t="s">
        <v>40</v>
      </c>
      <c r="D977">
        <v>488</v>
      </c>
      <c r="E977">
        <v>302</v>
      </c>
      <c r="F977">
        <f t="shared" si="92"/>
        <v>0.61885245901639341</v>
      </c>
      <c r="G977">
        <f t="shared" si="93"/>
        <v>348.00549180327869</v>
      </c>
      <c r="H977">
        <v>5757.5</v>
      </c>
      <c r="I977" t="s">
        <v>40</v>
      </c>
      <c r="J977">
        <f t="shared" si="94"/>
        <v>10.238467830849665</v>
      </c>
      <c r="K977">
        <v>8196.8700000000008</v>
      </c>
    </row>
    <row r="978" spans="1:11" x14ac:dyDescent="0.35">
      <c r="A978" s="1">
        <v>38838</v>
      </c>
      <c r="B978" t="s">
        <v>14</v>
      </c>
      <c r="C978" t="s">
        <v>40</v>
      </c>
      <c r="D978">
        <v>3</v>
      </c>
      <c r="E978">
        <v>4</v>
      </c>
      <c r="F978">
        <f t="shared" si="92"/>
        <v>1.3333333333333333</v>
      </c>
      <c r="G978">
        <f t="shared" si="93"/>
        <v>749.78666666666663</v>
      </c>
      <c r="H978">
        <v>3900</v>
      </c>
      <c r="I978" t="s">
        <v>40</v>
      </c>
      <c r="J978">
        <f t="shared" si="94"/>
        <v>6.9353060426076754</v>
      </c>
      <c r="K978">
        <v>8196.8700000000008</v>
      </c>
    </row>
    <row r="979" spans="1:11" x14ac:dyDescent="0.35">
      <c r="A979" s="1">
        <v>38869</v>
      </c>
      <c r="B979" t="s">
        <v>14</v>
      </c>
      <c r="C979" t="s">
        <v>40</v>
      </c>
      <c r="D979">
        <v>646</v>
      </c>
      <c r="E979">
        <v>450</v>
      </c>
      <c r="F979">
        <f t="shared" si="92"/>
        <v>0.69659442724458209</v>
      </c>
      <c r="G979">
        <f t="shared" si="93"/>
        <v>391.72291021671833</v>
      </c>
      <c r="H979">
        <v>5975</v>
      </c>
      <c r="I979" t="s">
        <v>40</v>
      </c>
      <c r="J979">
        <f t="shared" si="94"/>
        <v>10.625244513995092</v>
      </c>
      <c r="K979">
        <v>8196.8700000000008</v>
      </c>
    </row>
    <row r="980" spans="1:11" x14ac:dyDescent="0.35">
      <c r="A980" s="1">
        <v>38899</v>
      </c>
      <c r="B980" t="s">
        <v>14</v>
      </c>
      <c r="C980" t="s">
        <v>40</v>
      </c>
      <c r="D980">
        <v>5522</v>
      </c>
      <c r="E980">
        <v>2417</v>
      </c>
      <c r="F980">
        <f t="shared" si="92"/>
        <v>0.43770373053241579</v>
      </c>
      <c r="G980">
        <f t="shared" si="93"/>
        <v>246.13831582759872</v>
      </c>
      <c r="H980">
        <v>5462.5</v>
      </c>
      <c r="I980" t="s">
        <v>40</v>
      </c>
      <c r="J980">
        <f t="shared" si="94"/>
        <v>9.7138741686524188</v>
      </c>
      <c r="K980">
        <v>8196.8700000000008</v>
      </c>
    </row>
    <row r="981" spans="1:11" x14ac:dyDescent="0.35">
      <c r="A981" s="1">
        <v>38930</v>
      </c>
      <c r="B981" t="s">
        <v>14</v>
      </c>
      <c r="C981" t="s">
        <v>40</v>
      </c>
      <c r="D981">
        <v>43403</v>
      </c>
      <c r="E981">
        <v>59639</v>
      </c>
      <c r="F981">
        <f t="shared" si="92"/>
        <v>1.3740755247333134</v>
      </c>
      <c r="G981">
        <f t="shared" si="93"/>
        <v>772.69763057853152</v>
      </c>
      <c r="H981">
        <v>2370.6666666666665</v>
      </c>
      <c r="I981" t="s">
        <v>40</v>
      </c>
      <c r="J981">
        <f t="shared" si="94"/>
        <v>4.2157176559851104</v>
      </c>
      <c r="K981">
        <v>8196.8700000000008</v>
      </c>
    </row>
    <row r="982" spans="1:11" x14ac:dyDescent="0.35">
      <c r="A982" s="1">
        <v>38961</v>
      </c>
      <c r="B982" t="s">
        <v>14</v>
      </c>
      <c r="C982" t="s">
        <v>40</v>
      </c>
      <c r="D982">
        <v>69227</v>
      </c>
      <c r="E982">
        <v>149345</v>
      </c>
      <c r="F982">
        <f t="shared" si="92"/>
        <v>2.1573230098083118</v>
      </c>
      <c r="G982">
        <f t="shared" si="93"/>
        <v>1213.1490213356062</v>
      </c>
      <c r="H982">
        <v>2214.1660000000002</v>
      </c>
      <c r="I982" t="s">
        <v>40</v>
      </c>
      <c r="J982">
        <f t="shared" si="94"/>
        <v>3.9374150869580684</v>
      </c>
      <c r="K982">
        <v>8196.8700000000008</v>
      </c>
    </row>
    <row r="983" spans="1:11" x14ac:dyDescent="0.35">
      <c r="A983" s="1">
        <v>38991</v>
      </c>
      <c r="B983" t="s">
        <v>14</v>
      </c>
      <c r="C983" t="s">
        <v>40</v>
      </c>
      <c r="D983">
        <v>75620</v>
      </c>
      <c r="E983">
        <v>115518</v>
      </c>
      <c r="F983">
        <f t="shared" si="92"/>
        <v>1.5276117429251521</v>
      </c>
      <c r="G983">
        <f t="shared" si="93"/>
        <v>859.03718751653014</v>
      </c>
      <c r="H983">
        <v>2416.6642857142861</v>
      </c>
      <c r="I983" t="s">
        <v>40</v>
      </c>
      <c r="J983">
        <f t="shared" si="94"/>
        <v>4.2975144676072947</v>
      </c>
      <c r="K983">
        <v>8196.8700000000008</v>
      </c>
    </row>
    <row r="984" spans="1:11" x14ac:dyDescent="0.35">
      <c r="A984" s="1">
        <v>39022</v>
      </c>
      <c r="B984" t="s">
        <v>14</v>
      </c>
      <c r="C984" t="s">
        <v>40</v>
      </c>
      <c r="D984">
        <v>51100</v>
      </c>
      <c r="E984">
        <v>43028</v>
      </c>
      <c r="F984">
        <f t="shared" si="92"/>
        <v>0.8420352250489237</v>
      </c>
      <c r="G984">
        <f t="shared" si="93"/>
        <v>473.51008845401179</v>
      </c>
      <c r="H984">
        <v>2882.4166666666665</v>
      </c>
      <c r="I984" t="s">
        <v>40</v>
      </c>
      <c r="J984">
        <f t="shared" si="94"/>
        <v>5.1257542886272836</v>
      </c>
      <c r="K984">
        <v>8196.8700000000008</v>
      </c>
    </row>
    <row r="985" spans="1:11" x14ac:dyDescent="0.35">
      <c r="A985" s="1">
        <v>39052</v>
      </c>
      <c r="B985" t="s">
        <v>14</v>
      </c>
      <c r="C985" t="s">
        <v>40</v>
      </c>
      <c r="D985">
        <v>44514</v>
      </c>
      <c r="E985">
        <v>34693</v>
      </c>
      <c r="F985">
        <f t="shared" si="92"/>
        <v>0.77937278159680101</v>
      </c>
      <c r="G985">
        <f t="shared" si="93"/>
        <v>438.27249000314509</v>
      </c>
      <c r="H985">
        <v>4008.3959999999997</v>
      </c>
      <c r="I985" t="s">
        <v>40</v>
      </c>
      <c r="J985">
        <f t="shared" si="94"/>
        <v>7.1280648717857522</v>
      </c>
      <c r="K985">
        <v>8196.8700000000008</v>
      </c>
    </row>
    <row r="986" spans="1:11" x14ac:dyDescent="0.35">
      <c r="A986" s="1">
        <v>38718</v>
      </c>
      <c r="B986" t="s">
        <v>15</v>
      </c>
      <c r="C986" t="s">
        <v>41</v>
      </c>
      <c r="D986">
        <v>325902</v>
      </c>
      <c r="E986">
        <v>1819453</v>
      </c>
      <c r="F986">
        <f t="shared" ref="F986:F1030" si="95">E986/D986</f>
        <v>5.582822443556652</v>
      </c>
      <c r="G986">
        <f>F986*27.21</f>
        <v>151.9085986891765</v>
      </c>
      <c r="H986">
        <v>66.492500000000007</v>
      </c>
      <c r="I986" t="s">
        <v>58</v>
      </c>
      <c r="J986">
        <f>H986/27.21</f>
        <v>2.4436787945608236</v>
      </c>
      <c r="K986">
        <f>2906.62+4247.57</f>
        <v>7154.19</v>
      </c>
    </row>
    <row r="987" spans="1:11" x14ac:dyDescent="0.35">
      <c r="A987" s="1">
        <v>38749</v>
      </c>
      <c r="B987" t="s">
        <v>15</v>
      </c>
      <c r="C987" t="s">
        <v>41</v>
      </c>
      <c r="D987">
        <v>318832</v>
      </c>
      <c r="E987">
        <v>1271115</v>
      </c>
      <c r="F987">
        <f t="shared" si="95"/>
        <v>3.9867861444271591</v>
      </c>
      <c r="G987">
        <f t="shared" ref="G987:G997" si="96">F987*27.21</f>
        <v>108.480450989863</v>
      </c>
      <c r="H987">
        <v>67.552499999999995</v>
      </c>
      <c r="I987" t="s">
        <v>58</v>
      </c>
      <c r="J987">
        <f t="shared" ref="J987:J997" si="97">H987/27.21</f>
        <v>2.4826350606394705</v>
      </c>
      <c r="K987">
        <f t="shared" ref="K987:K997" si="98">2906.62+4247.57</f>
        <v>7154.19</v>
      </c>
    </row>
    <row r="988" spans="1:11" x14ac:dyDescent="0.35">
      <c r="A988" s="1">
        <v>38777</v>
      </c>
      <c r="B988" t="s">
        <v>15</v>
      </c>
      <c r="C988" t="s">
        <v>41</v>
      </c>
      <c r="D988">
        <v>308074</v>
      </c>
      <c r="E988">
        <v>1274186</v>
      </c>
      <c r="F988">
        <f t="shared" si="95"/>
        <v>4.135973824470744</v>
      </c>
      <c r="G988">
        <f t="shared" si="96"/>
        <v>112.53984776384895</v>
      </c>
      <c r="H988">
        <v>68.416666666666671</v>
      </c>
      <c r="I988" t="s">
        <v>58</v>
      </c>
      <c r="J988">
        <f t="shared" si="97"/>
        <v>2.5143942178120788</v>
      </c>
      <c r="K988">
        <f t="shared" si="98"/>
        <v>7154.19</v>
      </c>
    </row>
    <row r="989" spans="1:11" x14ac:dyDescent="0.35">
      <c r="A989" s="1">
        <v>38808</v>
      </c>
      <c r="B989" t="s">
        <v>15</v>
      </c>
      <c r="C989" t="s">
        <v>41</v>
      </c>
      <c r="D989">
        <v>295016</v>
      </c>
      <c r="E989">
        <v>1437807</v>
      </c>
      <c r="F989">
        <f t="shared" si="95"/>
        <v>4.8736576999213606</v>
      </c>
      <c r="G989">
        <f t="shared" si="96"/>
        <v>132.61222601486023</v>
      </c>
      <c r="H989">
        <v>62.138333333333328</v>
      </c>
      <c r="I989" t="s">
        <v>58</v>
      </c>
      <c r="J989">
        <f t="shared" si="97"/>
        <v>2.2836579688839884</v>
      </c>
      <c r="K989">
        <f t="shared" si="98"/>
        <v>7154.19</v>
      </c>
    </row>
    <row r="990" spans="1:11" x14ac:dyDescent="0.35">
      <c r="A990" s="1">
        <v>38838</v>
      </c>
      <c r="B990" t="s">
        <v>15</v>
      </c>
      <c r="C990" t="s">
        <v>41</v>
      </c>
      <c r="D990">
        <v>274438</v>
      </c>
      <c r="E990">
        <v>1611888</v>
      </c>
      <c r="F990">
        <f t="shared" si="95"/>
        <v>5.8734140315845469</v>
      </c>
      <c r="G990">
        <f t="shared" si="96"/>
        <v>159.81559579941552</v>
      </c>
      <c r="H990">
        <v>62.09</v>
      </c>
      <c r="I990" t="s">
        <v>58</v>
      </c>
      <c r="J990">
        <f t="shared" si="97"/>
        <v>2.2818816611539874</v>
      </c>
      <c r="K990">
        <f t="shared" si="98"/>
        <v>7154.19</v>
      </c>
    </row>
    <row r="991" spans="1:11" x14ac:dyDescent="0.35">
      <c r="A991" s="1">
        <v>38869</v>
      </c>
      <c r="B991" t="s">
        <v>15</v>
      </c>
      <c r="C991" t="s">
        <v>41</v>
      </c>
      <c r="D991">
        <v>292953</v>
      </c>
      <c r="E991">
        <v>1620444</v>
      </c>
      <c r="F991">
        <f t="shared" si="95"/>
        <v>5.5314128887568996</v>
      </c>
      <c r="G991">
        <f t="shared" si="96"/>
        <v>150.50974470307526</v>
      </c>
      <c r="H991">
        <v>70.664285714285711</v>
      </c>
      <c r="I991" t="s">
        <v>58</v>
      </c>
      <c r="J991">
        <f t="shared" si="97"/>
        <v>2.5969969023993276</v>
      </c>
      <c r="K991">
        <f t="shared" si="98"/>
        <v>7154.19</v>
      </c>
    </row>
    <row r="992" spans="1:11" x14ac:dyDescent="0.35">
      <c r="A992" s="1">
        <v>38899</v>
      </c>
      <c r="B992" t="s">
        <v>15</v>
      </c>
      <c r="C992" t="s">
        <v>41</v>
      </c>
      <c r="D992">
        <v>312792</v>
      </c>
      <c r="E992">
        <v>2046320</v>
      </c>
      <c r="F992">
        <f t="shared" si="95"/>
        <v>6.5421110514335403</v>
      </c>
      <c r="G992">
        <f t="shared" si="96"/>
        <v>178.01084170950665</v>
      </c>
      <c r="H992">
        <v>68.276666666666657</v>
      </c>
      <c r="I992" t="s">
        <v>58</v>
      </c>
      <c r="J992">
        <f t="shared" si="97"/>
        <v>2.509249050594144</v>
      </c>
      <c r="K992">
        <f t="shared" si="98"/>
        <v>7154.19</v>
      </c>
    </row>
    <row r="993" spans="1:11" x14ac:dyDescent="0.35">
      <c r="A993" s="1">
        <v>38930</v>
      </c>
      <c r="B993" t="s">
        <v>15</v>
      </c>
      <c r="C993" t="s">
        <v>41</v>
      </c>
      <c r="D993">
        <v>309407</v>
      </c>
      <c r="E993">
        <v>1670544</v>
      </c>
      <c r="F993">
        <f t="shared" si="95"/>
        <v>5.3991797212086343</v>
      </c>
      <c r="G993">
        <f t="shared" si="96"/>
        <v>146.91168021408694</v>
      </c>
      <c r="H993">
        <v>63.903333333333336</v>
      </c>
      <c r="I993" t="s">
        <v>58</v>
      </c>
      <c r="J993">
        <f t="shared" si="97"/>
        <v>2.3485238270243785</v>
      </c>
      <c r="K993">
        <f t="shared" si="98"/>
        <v>7154.19</v>
      </c>
    </row>
    <row r="994" spans="1:11" x14ac:dyDescent="0.35">
      <c r="A994" s="1">
        <v>38961</v>
      </c>
      <c r="B994" t="s">
        <v>15</v>
      </c>
      <c r="C994" t="s">
        <v>41</v>
      </c>
      <c r="D994">
        <v>309846</v>
      </c>
      <c r="E994">
        <v>1942933</v>
      </c>
      <c r="F994">
        <f t="shared" si="95"/>
        <v>6.2706408990272591</v>
      </c>
      <c r="G994">
        <f t="shared" si="96"/>
        <v>170.62413886253174</v>
      </c>
      <c r="H994">
        <v>51.371666666666663</v>
      </c>
      <c r="I994" t="s">
        <v>58</v>
      </c>
      <c r="J994">
        <f t="shared" si="97"/>
        <v>1.8879701090285432</v>
      </c>
      <c r="K994">
        <f t="shared" si="98"/>
        <v>7154.19</v>
      </c>
    </row>
    <row r="995" spans="1:11" x14ac:dyDescent="0.35">
      <c r="A995" s="1">
        <v>38991</v>
      </c>
      <c r="B995" t="s">
        <v>15</v>
      </c>
      <c r="C995" t="s">
        <v>41</v>
      </c>
      <c r="D995">
        <v>309067</v>
      </c>
      <c r="E995">
        <v>1884783</v>
      </c>
      <c r="F995">
        <f t="shared" si="95"/>
        <v>6.0982990743107486</v>
      </c>
      <c r="G995">
        <f t="shared" si="96"/>
        <v>165.93471781199548</v>
      </c>
      <c r="H995">
        <v>62.361428571428569</v>
      </c>
      <c r="I995" t="s">
        <v>58</v>
      </c>
      <c r="J995">
        <f t="shared" si="97"/>
        <v>2.2918569853520236</v>
      </c>
      <c r="K995">
        <f t="shared" si="98"/>
        <v>7154.19</v>
      </c>
    </row>
    <row r="996" spans="1:11" x14ac:dyDescent="0.35">
      <c r="A996" s="1">
        <v>39022</v>
      </c>
      <c r="B996" t="s">
        <v>15</v>
      </c>
      <c r="C996" t="s">
        <v>41</v>
      </c>
      <c r="D996">
        <v>311162</v>
      </c>
      <c r="E996">
        <v>2015806</v>
      </c>
      <c r="F996">
        <f t="shared" si="95"/>
        <v>6.4783167610440859</v>
      </c>
      <c r="G996">
        <f t="shared" si="96"/>
        <v>176.27499906800958</v>
      </c>
      <c r="H996">
        <v>57.17285714285714</v>
      </c>
      <c r="I996" t="s">
        <v>58</v>
      </c>
      <c r="J996">
        <f t="shared" si="97"/>
        <v>2.1011707880506116</v>
      </c>
      <c r="K996">
        <f t="shared" si="98"/>
        <v>7154.19</v>
      </c>
    </row>
    <row r="997" spans="1:11" x14ac:dyDescent="0.35">
      <c r="A997" s="1">
        <v>39052</v>
      </c>
      <c r="B997" t="s">
        <v>15</v>
      </c>
      <c r="C997" t="s">
        <v>41</v>
      </c>
      <c r="D997">
        <v>315208</v>
      </c>
      <c r="E997">
        <v>1851495</v>
      </c>
      <c r="F997">
        <f t="shared" si="95"/>
        <v>5.873883277074186</v>
      </c>
      <c r="G997">
        <f t="shared" si="96"/>
        <v>159.82836396918862</v>
      </c>
      <c r="H997">
        <v>51.565999999999995</v>
      </c>
      <c r="I997" t="s">
        <v>58</v>
      </c>
      <c r="J997">
        <f t="shared" si="97"/>
        <v>1.895112091142962</v>
      </c>
      <c r="K997">
        <f t="shared" si="98"/>
        <v>7154.19</v>
      </c>
    </row>
    <row r="998" spans="1:11" x14ac:dyDescent="0.35">
      <c r="A998" s="1">
        <v>38718</v>
      </c>
      <c r="B998" t="s">
        <v>18</v>
      </c>
      <c r="C998" t="s">
        <v>40</v>
      </c>
      <c r="D998">
        <v>704149</v>
      </c>
      <c r="E998">
        <v>151275</v>
      </c>
      <c r="F998">
        <f t="shared" si="95"/>
        <v>0.21483379227975896</v>
      </c>
      <c r="G998">
        <f>F998*408.15</f>
        <v>87.684412318983618</v>
      </c>
      <c r="H998">
        <v>3038.0987500000001</v>
      </c>
      <c r="I998" t="s">
        <v>40</v>
      </c>
      <c r="J998">
        <f>(H998/1000)/0.40815</f>
        <v>7.4435838539752543</v>
      </c>
      <c r="K998">
        <f>2541.9+6962.54</f>
        <v>9504.44</v>
      </c>
    </row>
    <row r="999" spans="1:11" x14ac:dyDescent="0.35">
      <c r="A999" s="1">
        <v>38749</v>
      </c>
      <c r="B999" t="s">
        <v>18</v>
      </c>
      <c r="C999" t="s">
        <v>40</v>
      </c>
      <c r="D999">
        <v>652695</v>
      </c>
      <c r="E999">
        <v>178281</v>
      </c>
      <c r="F999">
        <f t="shared" si="95"/>
        <v>0.27314595638085171</v>
      </c>
      <c r="G999">
        <f t="shared" ref="G999:G1009" si="99">F999*408.15</f>
        <v>111.48452209684461</v>
      </c>
      <c r="H999">
        <v>3288.1</v>
      </c>
      <c r="I999" t="s">
        <v>40</v>
      </c>
      <c r="J999">
        <f t="shared" ref="J999:J1009" si="100">(H999/1000)/0.40815</f>
        <v>8.0561068234717634</v>
      </c>
      <c r="K999">
        <f t="shared" ref="K999:K1009" si="101">2541.9+6962.54</f>
        <v>9504.44</v>
      </c>
    </row>
    <row r="1000" spans="1:11" x14ac:dyDescent="0.35">
      <c r="A1000" s="1">
        <v>38777</v>
      </c>
      <c r="B1000" t="s">
        <v>18</v>
      </c>
      <c r="C1000" t="s">
        <v>40</v>
      </c>
      <c r="D1000">
        <v>661239</v>
      </c>
      <c r="E1000">
        <v>126497</v>
      </c>
      <c r="F1000">
        <f t="shared" si="95"/>
        <v>0.19130299332011572</v>
      </c>
      <c r="G1000">
        <f t="shared" si="99"/>
        <v>78.080316723605222</v>
      </c>
      <c r="H1000">
        <v>2836.5</v>
      </c>
      <c r="I1000" t="s">
        <v>40</v>
      </c>
      <c r="J1000">
        <f t="shared" si="100"/>
        <v>6.9496508636530683</v>
      </c>
      <c r="K1000">
        <f t="shared" si="101"/>
        <v>9504.44</v>
      </c>
    </row>
    <row r="1001" spans="1:11" x14ac:dyDescent="0.35">
      <c r="A1001" s="1">
        <v>38808</v>
      </c>
      <c r="B1001" t="s">
        <v>18</v>
      </c>
      <c r="C1001" t="s">
        <v>40</v>
      </c>
      <c r="D1001">
        <v>652495</v>
      </c>
      <c r="E1001">
        <v>146839</v>
      </c>
      <c r="F1001">
        <f t="shared" si="95"/>
        <v>0.22504233748917615</v>
      </c>
      <c r="G1001">
        <f t="shared" si="99"/>
        <v>91.851030046207242</v>
      </c>
      <c r="H1001">
        <v>2487.3049999999998</v>
      </c>
      <c r="I1001" t="s">
        <v>40</v>
      </c>
      <c r="J1001">
        <f t="shared" si="100"/>
        <v>6.0940953080975122</v>
      </c>
      <c r="K1001">
        <f t="shared" si="101"/>
        <v>9504.44</v>
      </c>
    </row>
    <row r="1002" spans="1:11" x14ac:dyDescent="0.35">
      <c r="A1002" s="1">
        <v>38838</v>
      </c>
      <c r="B1002" t="s">
        <v>18</v>
      </c>
      <c r="C1002" t="s">
        <v>40</v>
      </c>
      <c r="D1002">
        <v>665839</v>
      </c>
      <c r="E1002">
        <v>154734</v>
      </c>
      <c r="F1002">
        <f t="shared" si="95"/>
        <v>0.23238951157862486</v>
      </c>
      <c r="G1002">
        <f t="shared" si="99"/>
        <v>94.849779150815735</v>
      </c>
      <c r="H1002">
        <v>2222.2849999999999</v>
      </c>
      <c r="I1002" t="s">
        <v>40</v>
      </c>
      <c r="J1002">
        <f t="shared" si="100"/>
        <v>5.4447752051941682</v>
      </c>
      <c r="K1002">
        <f t="shared" si="101"/>
        <v>9504.44</v>
      </c>
    </row>
    <row r="1003" spans="1:11" x14ac:dyDescent="0.35">
      <c r="A1003" s="1">
        <v>38869</v>
      </c>
      <c r="B1003" t="s">
        <v>18</v>
      </c>
      <c r="C1003" t="s">
        <v>40</v>
      </c>
      <c r="D1003">
        <v>683898</v>
      </c>
      <c r="E1003">
        <v>223214</v>
      </c>
      <c r="F1003">
        <f t="shared" si="95"/>
        <v>0.32638492874668446</v>
      </c>
      <c r="G1003">
        <f t="shared" si="99"/>
        <v>133.21400866795926</v>
      </c>
      <c r="H1003">
        <v>2126.6428571428573</v>
      </c>
      <c r="I1003" t="s">
        <v>40</v>
      </c>
      <c r="J1003">
        <f t="shared" si="100"/>
        <v>5.2104443394410325</v>
      </c>
      <c r="K1003">
        <f t="shared" si="101"/>
        <v>9504.44</v>
      </c>
    </row>
    <row r="1004" spans="1:11" x14ac:dyDescent="0.35">
      <c r="A1004" s="1">
        <v>38899</v>
      </c>
      <c r="B1004" t="s">
        <v>18</v>
      </c>
      <c r="C1004" t="s">
        <v>40</v>
      </c>
      <c r="D1004">
        <v>711178</v>
      </c>
      <c r="E1004">
        <v>196537</v>
      </c>
      <c r="F1004">
        <f t="shared" si="95"/>
        <v>0.27635416168666632</v>
      </c>
      <c r="G1004">
        <f t="shared" si="99"/>
        <v>112.79395109241285</v>
      </c>
      <c r="H1004">
        <v>2174.1666666666665</v>
      </c>
      <c r="I1004" t="s">
        <v>40</v>
      </c>
      <c r="J1004">
        <f t="shared" si="100"/>
        <v>5.3268814569806846</v>
      </c>
      <c r="K1004">
        <f t="shared" si="101"/>
        <v>9504.44</v>
      </c>
    </row>
    <row r="1005" spans="1:11" x14ac:dyDescent="0.35">
      <c r="A1005" s="1">
        <v>38930</v>
      </c>
      <c r="B1005" t="s">
        <v>18</v>
      </c>
      <c r="C1005" t="s">
        <v>40</v>
      </c>
      <c r="D1005">
        <v>730352</v>
      </c>
      <c r="E1005">
        <v>198655</v>
      </c>
      <c r="F1005">
        <f t="shared" si="95"/>
        <v>0.27199898131312022</v>
      </c>
      <c r="G1005">
        <f t="shared" si="99"/>
        <v>111.01638422295001</v>
      </c>
      <c r="H1005">
        <v>1903.4716666666666</v>
      </c>
      <c r="I1005" t="s">
        <v>40</v>
      </c>
      <c r="J1005">
        <f t="shared" si="100"/>
        <v>4.6636571521907797</v>
      </c>
      <c r="K1005">
        <f t="shared" si="101"/>
        <v>9504.44</v>
      </c>
    </row>
    <row r="1006" spans="1:11" x14ac:dyDescent="0.35">
      <c r="A1006" s="1">
        <v>38961</v>
      </c>
      <c r="B1006" t="s">
        <v>18</v>
      </c>
      <c r="C1006" t="s">
        <v>40</v>
      </c>
      <c r="D1006">
        <v>806973</v>
      </c>
      <c r="E1006">
        <v>190688</v>
      </c>
      <c r="F1006">
        <f t="shared" si="95"/>
        <v>0.23630034709959316</v>
      </c>
      <c r="G1006">
        <f t="shared" si="99"/>
        <v>96.44598666869895</v>
      </c>
      <c r="H1006">
        <v>1676.4528571428571</v>
      </c>
      <c r="I1006" t="s">
        <v>40</v>
      </c>
      <c r="J1006">
        <f t="shared" si="100"/>
        <v>4.1074429918972362</v>
      </c>
      <c r="K1006">
        <f t="shared" si="101"/>
        <v>9504.44</v>
      </c>
    </row>
    <row r="1007" spans="1:11" x14ac:dyDescent="0.35">
      <c r="A1007" s="1">
        <v>38991</v>
      </c>
      <c r="B1007" t="s">
        <v>18</v>
      </c>
      <c r="C1007" t="s">
        <v>40</v>
      </c>
      <c r="D1007">
        <v>700636</v>
      </c>
      <c r="E1007">
        <v>155625</v>
      </c>
      <c r="F1007">
        <f t="shared" si="95"/>
        <v>0.22211961703366656</v>
      </c>
      <c r="G1007">
        <f t="shared" si="99"/>
        <v>90.658121692291004</v>
      </c>
      <c r="H1007">
        <v>1833.2114285714285</v>
      </c>
      <c r="I1007" t="s">
        <v>40</v>
      </c>
      <c r="J1007">
        <f t="shared" si="100"/>
        <v>4.4915139742041612</v>
      </c>
      <c r="K1007">
        <f t="shared" si="101"/>
        <v>9504.44</v>
      </c>
    </row>
    <row r="1008" spans="1:11" x14ac:dyDescent="0.35">
      <c r="A1008" s="1">
        <v>39022</v>
      </c>
      <c r="B1008" t="s">
        <v>18</v>
      </c>
      <c r="C1008" t="s">
        <v>40</v>
      </c>
      <c r="D1008">
        <v>763036</v>
      </c>
      <c r="E1008">
        <v>149278</v>
      </c>
      <c r="F1008">
        <f t="shared" si="95"/>
        <v>0.19563690310811024</v>
      </c>
      <c r="G1008">
        <f t="shared" si="99"/>
        <v>79.849202003575186</v>
      </c>
      <c r="H1008">
        <v>1873.9042857142856</v>
      </c>
      <c r="I1008" t="s">
        <v>40</v>
      </c>
      <c r="J1008">
        <f t="shared" si="100"/>
        <v>4.5912147144782205</v>
      </c>
      <c r="K1008">
        <f t="shared" si="101"/>
        <v>9504.44</v>
      </c>
    </row>
    <row r="1009" spans="1:11" x14ac:dyDescent="0.35">
      <c r="A1009" s="1">
        <v>39052</v>
      </c>
      <c r="B1009" t="s">
        <v>18</v>
      </c>
      <c r="C1009" t="s">
        <v>40</v>
      </c>
      <c r="D1009">
        <v>756017</v>
      </c>
      <c r="E1009">
        <v>156443</v>
      </c>
      <c r="F1009">
        <f t="shared" si="95"/>
        <v>0.20693053198539185</v>
      </c>
      <c r="G1009">
        <f t="shared" si="99"/>
        <v>84.458696629837675</v>
      </c>
      <c r="H1009">
        <v>2472.9133333333334</v>
      </c>
      <c r="I1009" t="s">
        <v>40</v>
      </c>
      <c r="J1009">
        <f t="shared" si="100"/>
        <v>6.0588345787904778</v>
      </c>
      <c r="K1009">
        <f t="shared" si="101"/>
        <v>9504.44</v>
      </c>
    </row>
    <row r="1010" spans="1:11" x14ac:dyDescent="0.35">
      <c r="A1010" s="1">
        <v>39083</v>
      </c>
      <c r="B1010" t="s">
        <v>2</v>
      </c>
      <c r="C1010" t="s">
        <v>38</v>
      </c>
      <c r="D1010">
        <v>35764</v>
      </c>
      <c r="E1010">
        <v>114935</v>
      </c>
      <c r="F1010">
        <f t="shared" si="95"/>
        <v>3.2137065205234312</v>
      </c>
      <c r="G1010">
        <f>F1010*45.36</f>
        <v>145.77372777094283</v>
      </c>
      <c r="H1010">
        <v>1325.9</v>
      </c>
      <c r="I1010" t="s">
        <v>59</v>
      </c>
      <c r="J1010">
        <f>H1010/110</f>
        <v>12.053636363636365</v>
      </c>
      <c r="K1010" s="3">
        <v>5339.5</v>
      </c>
    </row>
    <row r="1011" spans="1:11" x14ac:dyDescent="0.35">
      <c r="A1011" s="1">
        <v>39114</v>
      </c>
      <c r="B1011" t="s">
        <v>2</v>
      </c>
      <c r="C1011" t="s">
        <v>38</v>
      </c>
      <c r="D1011">
        <v>2022</v>
      </c>
      <c r="E1011">
        <v>4799</v>
      </c>
      <c r="F1011">
        <f t="shared" si="95"/>
        <v>2.3733926805143422</v>
      </c>
      <c r="G1011">
        <f t="shared" ref="G1011:G1074" si="102">F1011*45.36</f>
        <v>107.65709198813056</v>
      </c>
      <c r="H1011">
        <v>1329.8333333333333</v>
      </c>
      <c r="I1011" t="s">
        <v>59</v>
      </c>
      <c r="J1011">
        <f t="shared" ref="J1011:J1021" si="103">H1011/110</f>
        <v>12.089393939393938</v>
      </c>
      <c r="K1011" s="3">
        <v>5339.5</v>
      </c>
    </row>
    <row r="1012" spans="1:11" x14ac:dyDescent="0.35">
      <c r="A1012" s="1">
        <v>39142</v>
      </c>
      <c r="B1012" t="s">
        <v>2</v>
      </c>
      <c r="C1012" t="s">
        <v>38</v>
      </c>
      <c r="D1012">
        <v>7245</v>
      </c>
      <c r="E1012">
        <v>27936</v>
      </c>
      <c r="F1012">
        <f t="shared" si="95"/>
        <v>3.8559006211180122</v>
      </c>
      <c r="G1012">
        <f t="shared" si="102"/>
        <v>174.90365217391303</v>
      </c>
      <c r="H1012">
        <v>1295.2</v>
      </c>
      <c r="I1012" t="s">
        <v>59</v>
      </c>
      <c r="J1012">
        <f t="shared" si="103"/>
        <v>11.774545454545455</v>
      </c>
      <c r="K1012" s="3">
        <v>5339.5</v>
      </c>
    </row>
    <row r="1013" spans="1:11" x14ac:dyDescent="0.35">
      <c r="A1013" s="1">
        <v>39173</v>
      </c>
      <c r="B1013" t="s">
        <v>2</v>
      </c>
      <c r="C1013" t="s">
        <v>38</v>
      </c>
      <c r="D1013">
        <v>139504</v>
      </c>
      <c r="E1013">
        <v>581596</v>
      </c>
      <c r="F1013">
        <f t="shared" si="95"/>
        <v>4.16902741140039</v>
      </c>
      <c r="G1013">
        <f t="shared" si="102"/>
        <v>189.1070833811217</v>
      </c>
      <c r="H1013">
        <v>1429.2775000000001</v>
      </c>
      <c r="I1013" t="s">
        <v>59</v>
      </c>
      <c r="J1013">
        <f t="shared" si="103"/>
        <v>12.99343181818182</v>
      </c>
      <c r="K1013" s="3">
        <v>5339.5</v>
      </c>
    </row>
    <row r="1014" spans="1:11" x14ac:dyDescent="0.35">
      <c r="A1014" s="1">
        <v>39203</v>
      </c>
      <c r="B1014" t="s">
        <v>2</v>
      </c>
      <c r="C1014" t="s">
        <v>38</v>
      </c>
      <c r="D1014">
        <v>469290</v>
      </c>
      <c r="E1014">
        <v>2296097</v>
      </c>
      <c r="F1014">
        <f t="shared" si="95"/>
        <v>4.8927038718063454</v>
      </c>
      <c r="G1014">
        <f t="shared" si="102"/>
        <v>221.93304762513583</v>
      </c>
      <c r="H1014">
        <v>1167.9166666666667</v>
      </c>
      <c r="I1014" t="s">
        <v>59</v>
      </c>
      <c r="J1014">
        <f t="shared" si="103"/>
        <v>10.617424242424244</v>
      </c>
      <c r="K1014" s="3">
        <v>5339.5</v>
      </c>
    </row>
    <row r="1015" spans="1:11" x14ac:dyDescent="0.35">
      <c r="A1015" s="1">
        <v>39234</v>
      </c>
      <c r="B1015" t="s">
        <v>2</v>
      </c>
      <c r="C1015" t="s">
        <v>38</v>
      </c>
      <c r="D1015">
        <v>409076</v>
      </c>
      <c r="E1015">
        <v>2020789</v>
      </c>
      <c r="F1015">
        <f t="shared" si="95"/>
        <v>4.9398864758626759</v>
      </c>
      <c r="G1015">
        <f t="shared" si="102"/>
        <v>224.07325054513097</v>
      </c>
      <c r="H1015">
        <v>1249.2550000000001</v>
      </c>
      <c r="I1015" t="s">
        <v>59</v>
      </c>
      <c r="J1015">
        <f t="shared" si="103"/>
        <v>11.356863636363638</v>
      </c>
      <c r="K1015" s="3">
        <v>5339.5</v>
      </c>
    </row>
    <row r="1016" spans="1:11" x14ac:dyDescent="0.35">
      <c r="A1016" s="1">
        <v>39264</v>
      </c>
      <c r="B1016" t="s">
        <v>2</v>
      </c>
      <c r="C1016" t="s">
        <v>38</v>
      </c>
      <c r="D1016">
        <v>146059</v>
      </c>
      <c r="E1016">
        <v>757228</v>
      </c>
      <c r="F1016">
        <f t="shared" si="95"/>
        <v>5.1843980857050918</v>
      </c>
      <c r="G1016">
        <f t="shared" si="102"/>
        <v>235.16429716758296</v>
      </c>
      <c r="H1016">
        <v>1173.8266666666666</v>
      </c>
      <c r="I1016" t="s">
        <v>59</v>
      </c>
      <c r="J1016">
        <f t="shared" si="103"/>
        <v>10.671151515151514</v>
      </c>
      <c r="K1016" s="3">
        <v>5339.5</v>
      </c>
    </row>
    <row r="1017" spans="1:11" x14ac:dyDescent="0.35">
      <c r="A1017" s="1">
        <v>39295</v>
      </c>
      <c r="B1017" t="s">
        <v>2</v>
      </c>
      <c r="C1017" t="s">
        <v>38</v>
      </c>
      <c r="D1017">
        <v>143581</v>
      </c>
      <c r="E1017">
        <v>549221</v>
      </c>
      <c r="F1017">
        <f t="shared" si="95"/>
        <v>3.8251648895048787</v>
      </c>
      <c r="G1017">
        <f t="shared" si="102"/>
        <v>173.5094793879413</v>
      </c>
      <c r="H1017">
        <v>1302.25</v>
      </c>
      <c r="I1017" t="s">
        <v>59</v>
      </c>
      <c r="J1017">
        <f t="shared" si="103"/>
        <v>11.838636363636363</v>
      </c>
      <c r="K1017" s="3">
        <v>5339.5</v>
      </c>
    </row>
    <row r="1018" spans="1:11" x14ac:dyDescent="0.35">
      <c r="A1018" s="1">
        <v>39326</v>
      </c>
      <c r="B1018" t="s">
        <v>2</v>
      </c>
      <c r="C1018" t="s">
        <v>38</v>
      </c>
      <c r="D1018">
        <v>228496</v>
      </c>
      <c r="E1018">
        <v>943535</v>
      </c>
      <c r="F1018">
        <f t="shared" si="95"/>
        <v>4.1293283033401025</v>
      </c>
      <c r="G1018">
        <f t="shared" si="102"/>
        <v>187.30633183950704</v>
      </c>
      <c r="H1018">
        <v>1321.375</v>
      </c>
      <c r="I1018" t="s">
        <v>59</v>
      </c>
      <c r="J1018">
        <f t="shared" si="103"/>
        <v>12.012499999999999</v>
      </c>
      <c r="K1018" s="3">
        <v>5339.5</v>
      </c>
    </row>
    <row r="1019" spans="1:11" x14ac:dyDescent="0.35">
      <c r="A1019" s="1">
        <v>39356</v>
      </c>
      <c r="B1019" t="s">
        <v>2</v>
      </c>
      <c r="C1019" t="s">
        <v>38</v>
      </c>
      <c r="D1019">
        <v>454915</v>
      </c>
      <c r="E1019">
        <v>1748188</v>
      </c>
      <c r="F1019">
        <f t="shared" si="95"/>
        <v>3.842889330973918</v>
      </c>
      <c r="G1019">
        <f t="shared" si="102"/>
        <v>174.31346005297692</v>
      </c>
      <c r="H1019">
        <v>1270.6933333333334</v>
      </c>
      <c r="I1019" t="s">
        <v>59</v>
      </c>
      <c r="J1019">
        <f t="shared" si="103"/>
        <v>11.551757575757577</v>
      </c>
      <c r="K1019" s="3">
        <v>5339.5</v>
      </c>
    </row>
    <row r="1020" spans="1:11" x14ac:dyDescent="0.35">
      <c r="A1020" s="1">
        <v>39387</v>
      </c>
      <c r="B1020" t="s">
        <v>2</v>
      </c>
      <c r="C1020" t="s">
        <v>38</v>
      </c>
      <c r="D1020">
        <v>357472</v>
      </c>
      <c r="E1020">
        <v>1357863</v>
      </c>
      <c r="F1020">
        <f t="shared" si="95"/>
        <v>3.7985156879419928</v>
      </c>
      <c r="G1020">
        <f t="shared" si="102"/>
        <v>172.30067160504879</v>
      </c>
      <c r="H1020">
        <v>1294.375</v>
      </c>
      <c r="I1020" t="s">
        <v>59</v>
      </c>
      <c r="J1020">
        <f t="shared" si="103"/>
        <v>11.767045454545455</v>
      </c>
      <c r="K1020" s="3">
        <v>5339.5</v>
      </c>
    </row>
    <row r="1021" spans="1:11" x14ac:dyDescent="0.35">
      <c r="A1021" s="1">
        <v>39417</v>
      </c>
      <c r="B1021" t="s">
        <v>2</v>
      </c>
      <c r="C1021" t="s">
        <v>38</v>
      </c>
      <c r="D1021">
        <v>81806</v>
      </c>
      <c r="E1021">
        <v>307067</v>
      </c>
      <c r="F1021">
        <f t="shared" si="95"/>
        <v>3.7535999804415323</v>
      </c>
      <c r="G1021">
        <f t="shared" si="102"/>
        <v>170.2632951128279</v>
      </c>
      <c r="H1021">
        <v>1347.5</v>
      </c>
      <c r="I1021" t="s">
        <v>59</v>
      </c>
      <c r="J1021">
        <f t="shared" si="103"/>
        <v>12.25</v>
      </c>
      <c r="K1021" s="3">
        <v>5339.5</v>
      </c>
    </row>
    <row r="1022" spans="1:11" x14ac:dyDescent="0.35">
      <c r="A1022" s="1">
        <v>39083</v>
      </c>
      <c r="B1022" t="s">
        <v>5</v>
      </c>
      <c r="C1022" t="s">
        <v>38</v>
      </c>
      <c r="D1022">
        <v>31040</v>
      </c>
      <c r="E1022">
        <v>61912</v>
      </c>
      <c r="F1022">
        <f t="shared" si="95"/>
        <v>1.9945876288659794</v>
      </c>
      <c r="G1022">
        <f t="shared" si="102"/>
        <v>90.474494845360823</v>
      </c>
      <c r="H1022">
        <v>495.66356666666661</v>
      </c>
      <c r="I1022" t="s">
        <v>38</v>
      </c>
      <c r="J1022">
        <f>H1022/45.36</f>
        <v>10.927327307466195</v>
      </c>
      <c r="K1022" s="3">
        <v>1417.48</v>
      </c>
    </row>
    <row r="1023" spans="1:11" x14ac:dyDescent="0.35">
      <c r="A1023" s="1">
        <v>39114</v>
      </c>
      <c r="B1023" t="s">
        <v>5</v>
      </c>
      <c r="C1023" t="s">
        <v>38</v>
      </c>
      <c r="D1023">
        <v>21005</v>
      </c>
      <c r="E1023">
        <v>29415</v>
      </c>
      <c r="F1023">
        <f t="shared" si="95"/>
        <v>1.4003808616995954</v>
      </c>
      <c r="G1023">
        <f t="shared" si="102"/>
        <v>63.521275886693644</v>
      </c>
      <c r="H1023">
        <v>372.59872799999999</v>
      </c>
      <c r="I1023" t="s">
        <v>38</v>
      </c>
      <c r="J1023">
        <f t="shared" ref="J1023:J1086" si="104">H1023/45.36</f>
        <v>8.2142576719576716</v>
      </c>
      <c r="K1023" s="3">
        <v>1417.48</v>
      </c>
    </row>
    <row r="1024" spans="1:11" x14ac:dyDescent="0.35">
      <c r="A1024" s="1">
        <v>39142</v>
      </c>
      <c r="B1024" t="s">
        <v>5</v>
      </c>
      <c r="C1024" t="s">
        <v>38</v>
      </c>
      <c r="D1024">
        <v>25331</v>
      </c>
      <c r="E1024">
        <v>34775</v>
      </c>
      <c r="F1024">
        <f t="shared" si="95"/>
        <v>1.3728238127195926</v>
      </c>
      <c r="G1024">
        <f t="shared" si="102"/>
        <v>62.271288144960721</v>
      </c>
      <c r="H1024">
        <v>432.99914285714289</v>
      </c>
      <c r="I1024" t="s">
        <v>38</v>
      </c>
      <c r="J1024">
        <f t="shared" si="104"/>
        <v>9.5458364827412456</v>
      </c>
      <c r="K1024" s="3">
        <v>1417.48</v>
      </c>
    </row>
    <row r="1025" spans="1:11" x14ac:dyDescent="0.35">
      <c r="A1025" s="1">
        <v>39173</v>
      </c>
      <c r="B1025" t="s">
        <v>5</v>
      </c>
      <c r="C1025" t="s">
        <v>38</v>
      </c>
      <c r="D1025">
        <v>17465</v>
      </c>
      <c r="E1025">
        <v>41014</v>
      </c>
      <c r="F1025">
        <f t="shared" si="95"/>
        <v>2.3483538505582593</v>
      </c>
      <c r="G1025">
        <f t="shared" si="102"/>
        <v>106.52133066132264</v>
      </c>
      <c r="H1025">
        <v>409.38528000000002</v>
      </c>
      <c r="I1025" t="s">
        <v>38</v>
      </c>
      <c r="J1025">
        <f t="shared" si="104"/>
        <v>9.025248677248678</v>
      </c>
      <c r="K1025" s="3">
        <v>1417.48</v>
      </c>
    </row>
    <row r="1026" spans="1:11" x14ac:dyDescent="0.35">
      <c r="A1026" s="1">
        <v>39203</v>
      </c>
      <c r="B1026" t="s">
        <v>5</v>
      </c>
      <c r="C1026" t="s">
        <v>38</v>
      </c>
      <c r="D1026">
        <v>18684</v>
      </c>
      <c r="E1026">
        <v>48366</v>
      </c>
      <c r="F1026">
        <f t="shared" si="95"/>
        <v>2.5886319845857417</v>
      </c>
      <c r="G1026">
        <f t="shared" si="102"/>
        <v>117.42034682080924</v>
      </c>
      <c r="H1026">
        <v>334.2406115</v>
      </c>
      <c r="I1026" t="s">
        <v>38</v>
      </c>
      <c r="J1026">
        <f t="shared" si="104"/>
        <v>7.3686201829805995</v>
      </c>
      <c r="K1026" s="3">
        <v>1417.48</v>
      </c>
    </row>
    <row r="1027" spans="1:11" x14ac:dyDescent="0.35">
      <c r="A1027" s="1">
        <v>39234</v>
      </c>
      <c r="B1027" t="s">
        <v>5</v>
      </c>
      <c r="C1027" t="s">
        <v>38</v>
      </c>
      <c r="D1027">
        <v>25052</v>
      </c>
      <c r="E1027">
        <v>50603</v>
      </c>
      <c r="F1027">
        <f t="shared" si="95"/>
        <v>2.0199185693756987</v>
      </c>
      <c r="G1027">
        <f t="shared" si="102"/>
        <v>91.623506306881694</v>
      </c>
      <c r="H1027">
        <v>340.40659999999997</v>
      </c>
      <c r="I1027" t="s">
        <v>38</v>
      </c>
      <c r="J1027">
        <f t="shared" si="104"/>
        <v>7.5045546737213398</v>
      </c>
      <c r="K1027" s="3">
        <v>1417.48</v>
      </c>
    </row>
    <row r="1028" spans="1:11" x14ac:dyDescent="0.35">
      <c r="A1028" s="1">
        <v>39264</v>
      </c>
      <c r="B1028" t="s">
        <v>5</v>
      </c>
      <c r="C1028" t="s">
        <v>38</v>
      </c>
      <c r="D1028">
        <v>33669</v>
      </c>
      <c r="E1028">
        <v>68013</v>
      </c>
      <c r="F1028">
        <f t="shared" si="95"/>
        <v>2.0200481154771452</v>
      </c>
      <c r="G1028">
        <f t="shared" si="102"/>
        <v>91.6293825180433</v>
      </c>
      <c r="H1028">
        <v>355.24573333333331</v>
      </c>
      <c r="I1028" t="s">
        <v>38</v>
      </c>
      <c r="J1028">
        <f t="shared" si="104"/>
        <v>7.8316960611405051</v>
      </c>
      <c r="K1028" s="3">
        <v>1417.48</v>
      </c>
    </row>
    <row r="1029" spans="1:11" x14ac:dyDescent="0.35">
      <c r="A1029" s="1">
        <v>39295</v>
      </c>
      <c r="B1029" t="s">
        <v>5</v>
      </c>
      <c r="C1029" t="s">
        <v>38</v>
      </c>
      <c r="D1029">
        <v>63939</v>
      </c>
      <c r="E1029">
        <v>108527</v>
      </c>
      <c r="F1029">
        <f t="shared" si="95"/>
        <v>1.6973521637811038</v>
      </c>
      <c r="G1029">
        <f t="shared" si="102"/>
        <v>76.991894149110863</v>
      </c>
      <c r="H1029">
        <v>365.22444444444449</v>
      </c>
      <c r="I1029" t="s">
        <v>38</v>
      </c>
      <c r="J1029">
        <f t="shared" si="104"/>
        <v>8.0516852831667656</v>
      </c>
      <c r="K1029" s="3">
        <v>1417.48</v>
      </c>
    </row>
    <row r="1030" spans="1:11" x14ac:dyDescent="0.35">
      <c r="A1030" s="1">
        <v>39326</v>
      </c>
      <c r="B1030" t="s">
        <v>5</v>
      </c>
      <c r="C1030" t="s">
        <v>38</v>
      </c>
      <c r="D1030">
        <v>47615</v>
      </c>
      <c r="E1030">
        <v>83903</v>
      </c>
      <c r="F1030">
        <f t="shared" si="95"/>
        <v>1.7621127795862648</v>
      </c>
      <c r="G1030">
        <f t="shared" si="102"/>
        <v>79.929435682032974</v>
      </c>
      <c r="H1030">
        <v>396.27965</v>
      </c>
      <c r="I1030" t="s">
        <v>38</v>
      </c>
      <c r="J1030">
        <f t="shared" si="104"/>
        <v>8.7363238536155201</v>
      </c>
      <c r="K1030" s="3">
        <v>1417.48</v>
      </c>
    </row>
    <row r="1031" spans="1:11" x14ac:dyDescent="0.35">
      <c r="A1031" s="1">
        <v>39356</v>
      </c>
      <c r="B1031" t="s">
        <v>5</v>
      </c>
      <c r="C1031" t="s">
        <v>38</v>
      </c>
      <c r="D1031">
        <v>24618</v>
      </c>
      <c r="E1031">
        <v>51803</v>
      </c>
      <c r="F1031">
        <f t="shared" ref="F1031:F1094" si="105">E1031/D1031</f>
        <v>2.1042732959623041</v>
      </c>
      <c r="G1031">
        <f t="shared" si="102"/>
        <v>95.449836704850114</v>
      </c>
      <c r="H1031">
        <v>397.48332857142856</v>
      </c>
      <c r="I1031" t="s">
        <v>38</v>
      </c>
      <c r="J1031">
        <f t="shared" si="104"/>
        <v>8.762859977324263</v>
      </c>
      <c r="K1031" s="3">
        <v>1417.48</v>
      </c>
    </row>
    <row r="1032" spans="1:11" x14ac:dyDescent="0.35">
      <c r="A1032" s="1">
        <v>39387</v>
      </c>
      <c r="B1032" t="s">
        <v>5</v>
      </c>
      <c r="C1032" t="s">
        <v>38</v>
      </c>
      <c r="D1032">
        <v>19754</v>
      </c>
      <c r="E1032">
        <v>33578</v>
      </c>
      <c r="F1032">
        <f t="shared" si="105"/>
        <v>1.6998076338969323</v>
      </c>
      <c r="G1032">
        <f t="shared" si="102"/>
        <v>77.10327427356485</v>
      </c>
      <c r="H1032">
        <v>395.609134375</v>
      </c>
      <c r="I1032" t="s">
        <v>38</v>
      </c>
      <c r="J1032">
        <f t="shared" si="104"/>
        <v>8.7215417631172834</v>
      </c>
      <c r="K1032" s="3">
        <v>1417.48</v>
      </c>
    </row>
    <row r="1033" spans="1:11" x14ac:dyDescent="0.35">
      <c r="A1033" s="1">
        <v>39417</v>
      </c>
      <c r="B1033" t="s">
        <v>5</v>
      </c>
      <c r="C1033" t="s">
        <v>38</v>
      </c>
      <c r="D1033">
        <v>22324</v>
      </c>
      <c r="E1033">
        <v>36873</v>
      </c>
      <c r="F1033">
        <f t="shared" si="105"/>
        <v>1.6517201218419637</v>
      </c>
      <c r="G1033">
        <f t="shared" si="102"/>
        <v>74.922024726751474</v>
      </c>
      <c r="H1033">
        <v>417.836952</v>
      </c>
      <c r="I1033" t="s">
        <v>38</v>
      </c>
      <c r="J1033">
        <f t="shared" si="104"/>
        <v>9.2115730158730162</v>
      </c>
      <c r="K1033" s="3">
        <v>1417.48</v>
      </c>
    </row>
    <row r="1034" spans="1:11" x14ac:dyDescent="0.35">
      <c r="A1034" s="1">
        <v>39083</v>
      </c>
      <c r="B1034" t="s">
        <v>7</v>
      </c>
      <c r="C1034" t="s">
        <v>38</v>
      </c>
      <c r="D1034">
        <v>5496</v>
      </c>
      <c r="E1034">
        <v>53112</v>
      </c>
      <c r="F1034">
        <f t="shared" si="105"/>
        <v>9.6637554585152845</v>
      </c>
      <c r="G1034">
        <f t="shared" si="102"/>
        <v>438.34794759825331</v>
      </c>
      <c r="H1034">
        <v>211.83416</v>
      </c>
      <c r="I1034" t="s">
        <v>38</v>
      </c>
      <c r="J1034">
        <f t="shared" si="104"/>
        <v>4.670065255731922</v>
      </c>
      <c r="K1034" s="3">
        <v>2131.605</v>
      </c>
    </row>
    <row r="1035" spans="1:11" x14ac:dyDescent="0.35">
      <c r="A1035" s="1">
        <v>39114</v>
      </c>
      <c r="B1035" t="s">
        <v>7</v>
      </c>
      <c r="C1035" t="s">
        <v>38</v>
      </c>
      <c r="D1035">
        <v>8805</v>
      </c>
      <c r="E1035">
        <v>95350</v>
      </c>
      <c r="F1035">
        <f t="shared" si="105"/>
        <v>10.829074389551391</v>
      </c>
      <c r="G1035">
        <f t="shared" si="102"/>
        <v>491.20681431005107</v>
      </c>
      <c r="H1035">
        <v>201.87200000000001</v>
      </c>
      <c r="I1035" t="s">
        <v>38</v>
      </c>
      <c r="J1035">
        <f t="shared" si="104"/>
        <v>4.450440917107584</v>
      </c>
      <c r="K1035" s="3">
        <v>2131.605</v>
      </c>
    </row>
    <row r="1036" spans="1:11" x14ac:dyDescent="0.35">
      <c r="A1036" s="1">
        <v>39142</v>
      </c>
      <c r="B1036" t="s">
        <v>7</v>
      </c>
      <c r="C1036" t="s">
        <v>38</v>
      </c>
      <c r="D1036">
        <v>8475</v>
      </c>
      <c r="E1036">
        <v>86801</v>
      </c>
      <c r="F1036">
        <f t="shared" si="105"/>
        <v>10.242005899705015</v>
      </c>
      <c r="G1036">
        <f t="shared" si="102"/>
        <v>464.5773876106195</v>
      </c>
      <c r="H1036">
        <v>352.02523809523808</v>
      </c>
      <c r="I1036" t="s">
        <v>38</v>
      </c>
      <c r="J1036">
        <f t="shared" si="104"/>
        <v>7.7606974888720917</v>
      </c>
      <c r="K1036" s="3">
        <v>2131.605</v>
      </c>
    </row>
    <row r="1037" spans="1:11" x14ac:dyDescent="0.35">
      <c r="A1037" s="1">
        <v>39173</v>
      </c>
      <c r="B1037" t="s">
        <v>7</v>
      </c>
      <c r="C1037" t="s">
        <v>38</v>
      </c>
      <c r="D1037">
        <v>10854</v>
      </c>
      <c r="E1037">
        <v>119260</v>
      </c>
      <c r="F1037">
        <f t="shared" si="105"/>
        <v>10.987654320987655</v>
      </c>
      <c r="G1037">
        <f t="shared" si="102"/>
        <v>498.40000000000003</v>
      </c>
      <c r="H1037">
        <v>381.18400000000003</v>
      </c>
      <c r="I1037" t="s">
        <v>38</v>
      </c>
      <c r="J1037">
        <f t="shared" si="104"/>
        <v>8.4035273368606713</v>
      </c>
      <c r="K1037" s="3">
        <v>2131.605</v>
      </c>
    </row>
    <row r="1038" spans="1:11" x14ac:dyDescent="0.35">
      <c r="A1038" s="1">
        <v>39203</v>
      </c>
      <c r="B1038" t="s">
        <v>7</v>
      </c>
      <c r="C1038" t="s">
        <v>38</v>
      </c>
      <c r="D1038">
        <v>11852</v>
      </c>
      <c r="E1038">
        <v>121724</v>
      </c>
      <c r="F1038">
        <f t="shared" si="105"/>
        <v>10.27033412082349</v>
      </c>
      <c r="G1038">
        <f t="shared" si="102"/>
        <v>465.86235572055352</v>
      </c>
      <c r="H1038">
        <v>211.13604000000001</v>
      </c>
      <c r="I1038" t="s">
        <v>38</v>
      </c>
      <c r="J1038">
        <f t="shared" si="104"/>
        <v>4.6546746031746036</v>
      </c>
      <c r="K1038" s="3">
        <v>2131.605</v>
      </c>
    </row>
    <row r="1039" spans="1:11" x14ac:dyDescent="0.35">
      <c r="A1039" s="1">
        <v>39234</v>
      </c>
      <c r="B1039" t="s">
        <v>7</v>
      </c>
      <c r="C1039" t="s">
        <v>38</v>
      </c>
      <c r="D1039">
        <v>6555</v>
      </c>
      <c r="E1039">
        <v>68139</v>
      </c>
      <c r="F1039">
        <f t="shared" si="105"/>
        <v>10.394965675057207</v>
      </c>
      <c r="G1039">
        <f t="shared" si="102"/>
        <v>471.51564302059495</v>
      </c>
      <c r="H1039">
        <v>195.58529999999999</v>
      </c>
      <c r="I1039" t="s">
        <v>38</v>
      </c>
      <c r="J1039">
        <f t="shared" si="104"/>
        <v>4.3118452380952377</v>
      </c>
      <c r="K1039" s="3">
        <v>2131.605</v>
      </c>
    </row>
    <row r="1040" spans="1:11" x14ac:dyDescent="0.35">
      <c r="A1040" s="1">
        <v>39264</v>
      </c>
      <c r="B1040" t="s">
        <v>7</v>
      </c>
      <c r="C1040" t="s">
        <v>38</v>
      </c>
      <c r="D1040">
        <v>5485</v>
      </c>
      <c r="E1040">
        <v>70414</v>
      </c>
      <c r="F1040">
        <f t="shared" si="105"/>
        <v>12.837556973564267</v>
      </c>
      <c r="G1040">
        <f t="shared" si="102"/>
        <v>582.31158432087511</v>
      </c>
      <c r="H1040">
        <v>222.70650000000001</v>
      </c>
      <c r="I1040" t="s">
        <v>38</v>
      </c>
      <c r="J1040">
        <f t="shared" si="104"/>
        <v>4.9097552910052915</v>
      </c>
      <c r="K1040" s="3">
        <v>2131.605</v>
      </c>
    </row>
    <row r="1041" spans="1:11" x14ac:dyDescent="0.35">
      <c r="A1041" s="1">
        <v>39295</v>
      </c>
      <c r="B1041" t="s">
        <v>7</v>
      </c>
      <c r="C1041" t="s">
        <v>38</v>
      </c>
      <c r="D1041">
        <v>4346</v>
      </c>
      <c r="E1041">
        <v>51230</v>
      </c>
      <c r="F1041">
        <f t="shared" si="105"/>
        <v>11.787850897376899</v>
      </c>
      <c r="G1041">
        <f t="shared" si="102"/>
        <v>534.69691670501606</v>
      </c>
      <c r="H1041">
        <v>214.4</v>
      </c>
      <c r="I1041" t="s">
        <v>38</v>
      </c>
      <c r="J1041">
        <f t="shared" si="104"/>
        <v>4.7266313932980601</v>
      </c>
      <c r="K1041" s="3">
        <v>2131.605</v>
      </c>
    </row>
    <row r="1042" spans="1:11" x14ac:dyDescent="0.35">
      <c r="A1042" s="1">
        <v>39326</v>
      </c>
      <c r="B1042" t="s">
        <v>7</v>
      </c>
      <c r="C1042" t="s">
        <v>38</v>
      </c>
      <c r="D1042">
        <v>3536</v>
      </c>
      <c r="E1042">
        <v>33381</v>
      </c>
      <c r="F1042">
        <f t="shared" si="105"/>
        <v>9.440328054298643</v>
      </c>
      <c r="G1042">
        <f t="shared" si="102"/>
        <v>428.21328054298647</v>
      </c>
      <c r="H1042">
        <v>262.75028571428572</v>
      </c>
      <c r="I1042" t="s">
        <v>38</v>
      </c>
      <c r="J1042">
        <f t="shared" si="104"/>
        <v>5.7925547996976574</v>
      </c>
      <c r="K1042" s="3">
        <v>2131.605</v>
      </c>
    </row>
    <row r="1043" spans="1:11" x14ac:dyDescent="0.35">
      <c r="A1043" s="1">
        <v>39356</v>
      </c>
      <c r="B1043" t="s">
        <v>7</v>
      </c>
      <c r="C1043" t="s">
        <v>38</v>
      </c>
      <c r="D1043">
        <v>5503</v>
      </c>
      <c r="E1043">
        <v>50303</v>
      </c>
      <c r="F1043">
        <f t="shared" si="105"/>
        <v>9.1410139923677995</v>
      </c>
      <c r="G1043">
        <f t="shared" si="102"/>
        <v>414.63639469380337</v>
      </c>
      <c r="H1043">
        <v>259.74959999999999</v>
      </c>
      <c r="I1043" t="s">
        <v>38</v>
      </c>
      <c r="J1043">
        <f t="shared" si="104"/>
        <v>5.7264021164021166</v>
      </c>
      <c r="K1043" s="3">
        <v>2131.605</v>
      </c>
    </row>
    <row r="1044" spans="1:11" x14ac:dyDescent="0.35">
      <c r="A1044" s="1">
        <v>39387</v>
      </c>
      <c r="B1044" t="s">
        <v>7</v>
      </c>
      <c r="C1044" t="s">
        <v>38</v>
      </c>
      <c r="D1044">
        <v>3274</v>
      </c>
      <c r="E1044">
        <v>31565</v>
      </c>
      <c r="F1044">
        <f t="shared" si="105"/>
        <v>9.6411117898594991</v>
      </c>
      <c r="G1044">
        <f t="shared" si="102"/>
        <v>437.32083078802685</v>
      </c>
      <c r="H1044">
        <v>400.49485714285714</v>
      </c>
      <c r="I1044" t="s">
        <v>38</v>
      </c>
      <c r="J1044">
        <f t="shared" si="104"/>
        <v>8.8292517006802722</v>
      </c>
      <c r="K1044" s="3">
        <v>2131.605</v>
      </c>
    </row>
    <row r="1045" spans="1:11" x14ac:dyDescent="0.35">
      <c r="A1045" s="1">
        <v>39417</v>
      </c>
      <c r="B1045" t="s">
        <v>7</v>
      </c>
      <c r="C1045" t="s">
        <v>38</v>
      </c>
      <c r="D1045">
        <v>2282</v>
      </c>
      <c r="E1045">
        <v>21236</v>
      </c>
      <c r="F1045">
        <f t="shared" si="105"/>
        <v>9.3058720420683603</v>
      </c>
      <c r="G1045">
        <f t="shared" si="102"/>
        <v>422.11435582822082</v>
      </c>
      <c r="H1045">
        <v>447.12457142857147</v>
      </c>
      <c r="I1045" t="s">
        <v>38</v>
      </c>
      <c r="J1045">
        <f t="shared" si="104"/>
        <v>9.8572436381960209</v>
      </c>
      <c r="K1045" s="3">
        <v>2131.605</v>
      </c>
    </row>
    <row r="1046" spans="1:11" x14ac:dyDescent="0.35">
      <c r="A1046" s="1">
        <v>39083</v>
      </c>
      <c r="B1046" t="s">
        <v>8</v>
      </c>
      <c r="C1046" t="s">
        <v>38</v>
      </c>
      <c r="D1046">
        <v>10724</v>
      </c>
      <c r="E1046">
        <v>90360</v>
      </c>
      <c r="F1046">
        <f t="shared" si="105"/>
        <v>8.4259604625139879</v>
      </c>
      <c r="G1046">
        <f t="shared" si="102"/>
        <v>382.20156657963446</v>
      </c>
      <c r="H1046">
        <v>709</v>
      </c>
      <c r="I1046" t="s">
        <v>38</v>
      </c>
      <c r="J1046">
        <f t="shared" si="104"/>
        <v>15.630511463844798</v>
      </c>
      <c r="K1046" s="3">
        <v>6063.13</v>
      </c>
    </row>
    <row r="1047" spans="1:11" x14ac:dyDescent="0.35">
      <c r="A1047" s="1">
        <v>39114</v>
      </c>
      <c r="B1047" t="s">
        <v>8</v>
      </c>
      <c r="C1047" t="s">
        <v>38</v>
      </c>
      <c r="D1047">
        <v>9595</v>
      </c>
      <c r="E1047">
        <v>80997</v>
      </c>
      <c r="F1047">
        <f t="shared" si="105"/>
        <v>8.4415841584158411</v>
      </c>
      <c r="G1047">
        <f t="shared" si="102"/>
        <v>382.91025742574254</v>
      </c>
      <c r="H1047">
        <v>931.2</v>
      </c>
      <c r="I1047" t="s">
        <v>38</v>
      </c>
      <c r="J1047">
        <f t="shared" si="104"/>
        <v>20.529100529100532</v>
      </c>
      <c r="K1047" s="3">
        <v>6063.13</v>
      </c>
    </row>
    <row r="1048" spans="1:11" x14ac:dyDescent="0.35">
      <c r="A1048" s="1">
        <v>39142</v>
      </c>
      <c r="B1048" t="s">
        <v>8</v>
      </c>
      <c r="C1048" t="s">
        <v>38</v>
      </c>
      <c r="D1048">
        <v>7898</v>
      </c>
      <c r="E1048">
        <v>76837</v>
      </c>
      <c r="F1048">
        <f t="shared" si="105"/>
        <v>9.7286654849328951</v>
      </c>
      <c r="G1048">
        <f t="shared" si="102"/>
        <v>441.2922663965561</v>
      </c>
      <c r="H1048">
        <v>776.57142857142856</v>
      </c>
      <c r="I1048" t="s">
        <v>38</v>
      </c>
      <c r="J1048">
        <f t="shared" si="104"/>
        <v>17.120181405895693</v>
      </c>
      <c r="K1048" s="3">
        <v>6063.13</v>
      </c>
    </row>
    <row r="1049" spans="1:11" x14ac:dyDescent="0.35">
      <c r="A1049" s="1">
        <v>39173</v>
      </c>
      <c r="B1049" t="s">
        <v>8</v>
      </c>
      <c r="C1049" t="s">
        <v>38</v>
      </c>
      <c r="D1049">
        <v>5174</v>
      </c>
      <c r="E1049">
        <v>43605</v>
      </c>
      <c r="F1049">
        <f t="shared" si="105"/>
        <v>8.4277155005798221</v>
      </c>
      <c r="G1049">
        <f t="shared" si="102"/>
        <v>382.28117510630074</v>
      </c>
      <c r="H1049">
        <v>810.22333333333336</v>
      </c>
      <c r="I1049" t="s">
        <v>38</v>
      </c>
      <c r="J1049">
        <f t="shared" si="104"/>
        <v>17.862066431510875</v>
      </c>
      <c r="K1049" s="3">
        <v>6063.13</v>
      </c>
    </row>
    <row r="1050" spans="1:11" x14ac:dyDescent="0.35">
      <c r="A1050" s="1">
        <v>39203</v>
      </c>
      <c r="B1050" t="s">
        <v>8</v>
      </c>
      <c r="C1050" t="s">
        <v>38</v>
      </c>
      <c r="D1050">
        <v>6812</v>
      </c>
      <c r="E1050">
        <v>67901</v>
      </c>
      <c r="F1050">
        <f t="shared" si="105"/>
        <v>9.9678508514386372</v>
      </c>
      <c r="G1050">
        <f t="shared" si="102"/>
        <v>452.1417146212566</v>
      </c>
      <c r="H1050">
        <v>852.125</v>
      </c>
      <c r="I1050" t="s">
        <v>38</v>
      </c>
      <c r="J1050">
        <f t="shared" si="104"/>
        <v>18.78582451499118</v>
      </c>
      <c r="K1050" s="3">
        <v>6063.13</v>
      </c>
    </row>
    <row r="1051" spans="1:11" x14ac:dyDescent="0.35">
      <c r="A1051" s="1">
        <v>39234</v>
      </c>
      <c r="B1051" t="s">
        <v>8</v>
      </c>
      <c r="C1051" t="s">
        <v>38</v>
      </c>
      <c r="D1051">
        <v>7091</v>
      </c>
      <c r="E1051">
        <v>63536</v>
      </c>
      <c r="F1051">
        <f t="shared" si="105"/>
        <v>8.960090255253137</v>
      </c>
      <c r="G1051">
        <f t="shared" si="102"/>
        <v>406.42969397828227</v>
      </c>
      <c r="H1051">
        <v>587</v>
      </c>
      <c r="I1051" t="s">
        <v>38</v>
      </c>
      <c r="J1051">
        <f t="shared" si="104"/>
        <v>12.940917107583774</v>
      </c>
      <c r="K1051" s="3">
        <v>6063.13</v>
      </c>
    </row>
    <row r="1052" spans="1:11" x14ac:dyDescent="0.35">
      <c r="A1052" s="1">
        <v>39264</v>
      </c>
      <c r="B1052" t="s">
        <v>8</v>
      </c>
      <c r="C1052" t="s">
        <v>38</v>
      </c>
      <c r="D1052">
        <v>2354</v>
      </c>
      <c r="E1052">
        <v>22424</v>
      </c>
      <c r="F1052">
        <f t="shared" si="105"/>
        <v>9.5259133389974515</v>
      </c>
      <c r="G1052">
        <f t="shared" si="102"/>
        <v>432.09542905692439</v>
      </c>
      <c r="H1052">
        <v>733.33333333333337</v>
      </c>
      <c r="I1052" t="s">
        <v>38</v>
      </c>
      <c r="J1052">
        <f t="shared" si="104"/>
        <v>16.166960611405056</v>
      </c>
      <c r="K1052" s="3">
        <v>6063.13</v>
      </c>
    </row>
    <row r="1053" spans="1:11" x14ac:dyDescent="0.35">
      <c r="A1053" s="1">
        <v>39295</v>
      </c>
      <c r="B1053" t="s">
        <v>8</v>
      </c>
      <c r="C1053" t="s">
        <v>38</v>
      </c>
      <c r="D1053">
        <v>4185</v>
      </c>
      <c r="E1053">
        <v>34853</v>
      </c>
      <c r="F1053">
        <f t="shared" si="105"/>
        <v>8.3280764635603344</v>
      </c>
      <c r="G1053">
        <f t="shared" si="102"/>
        <v>377.76154838709675</v>
      </c>
      <c r="H1053">
        <v>823.33333333333337</v>
      </c>
      <c r="I1053" t="s">
        <v>38</v>
      </c>
      <c r="J1053">
        <f t="shared" si="104"/>
        <v>18.15108759553204</v>
      </c>
      <c r="K1053" s="3">
        <v>6063.13</v>
      </c>
    </row>
    <row r="1054" spans="1:11" x14ac:dyDescent="0.35">
      <c r="A1054" s="1">
        <v>39326</v>
      </c>
      <c r="B1054" t="s">
        <v>8</v>
      </c>
      <c r="C1054" t="s">
        <v>38</v>
      </c>
      <c r="D1054">
        <v>2156</v>
      </c>
      <c r="E1054">
        <v>18938</v>
      </c>
      <c r="F1054">
        <f t="shared" si="105"/>
        <v>8.7838589981447122</v>
      </c>
      <c r="G1054">
        <f t="shared" si="102"/>
        <v>398.43584415584417</v>
      </c>
      <c r="H1054">
        <v>784.75</v>
      </c>
      <c r="I1054" t="s">
        <v>38</v>
      </c>
      <c r="J1054">
        <f t="shared" si="104"/>
        <v>17.300485008818342</v>
      </c>
      <c r="K1054" s="3">
        <v>6063.13</v>
      </c>
    </row>
    <row r="1055" spans="1:11" x14ac:dyDescent="0.35">
      <c r="A1055" s="1">
        <v>39356</v>
      </c>
      <c r="B1055" t="s">
        <v>8</v>
      </c>
      <c r="C1055" t="s">
        <v>38</v>
      </c>
      <c r="D1055">
        <v>2981</v>
      </c>
      <c r="E1055">
        <v>24191</v>
      </c>
      <c r="F1055">
        <f t="shared" si="105"/>
        <v>8.1150620597115068</v>
      </c>
      <c r="G1055">
        <f t="shared" si="102"/>
        <v>368.09921502851392</v>
      </c>
      <c r="H1055">
        <v>1035</v>
      </c>
      <c r="I1055" t="s">
        <v>38</v>
      </c>
      <c r="J1055">
        <f t="shared" si="104"/>
        <v>22.817460317460316</v>
      </c>
      <c r="K1055" s="3">
        <v>6063.13</v>
      </c>
    </row>
    <row r="1056" spans="1:11" x14ac:dyDescent="0.35">
      <c r="A1056" s="1">
        <v>39387</v>
      </c>
      <c r="B1056" t="s">
        <v>8</v>
      </c>
      <c r="C1056" t="s">
        <v>38</v>
      </c>
      <c r="D1056">
        <v>6726</v>
      </c>
      <c r="E1056">
        <v>65118</v>
      </c>
      <c r="F1056">
        <f t="shared" si="105"/>
        <v>9.6815343443354145</v>
      </c>
      <c r="G1056">
        <f t="shared" si="102"/>
        <v>439.15439785905437</v>
      </c>
      <c r="H1056">
        <v>946.25</v>
      </c>
      <c r="I1056" t="s">
        <v>38</v>
      </c>
      <c r="J1056">
        <f t="shared" si="104"/>
        <v>20.86089065255732</v>
      </c>
      <c r="K1056" s="3">
        <v>6063.13</v>
      </c>
    </row>
    <row r="1057" spans="1:11" x14ac:dyDescent="0.35">
      <c r="A1057" s="1">
        <v>39417</v>
      </c>
      <c r="B1057" t="s">
        <v>8</v>
      </c>
      <c r="C1057" t="s">
        <v>38</v>
      </c>
      <c r="D1057">
        <v>4532</v>
      </c>
      <c r="E1057">
        <v>42688</v>
      </c>
      <c r="F1057">
        <f t="shared" si="105"/>
        <v>9.4192409532215358</v>
      </c>
      <c r="G1057">
        <f t="shared" si="102"/>
        <v>427.25676963812884</v>
      </c>
      <c r="H1057">
        <v>720.8</v>
      </c>
      <c r="I1057" t="s">
        <v>38</v>
      </c>
      <c r="J1057">
        <f t="shared" si="104"/>
        <v>15.890652557319223</v>
      </c>
      <c r="K1057" s="3">
        <v>6063.13</v>
      </c>
    </row>
    <row r="1058" spans="1:11" x14ac:dyDescent="0.35">
      <c r="A1058" s="1">
        <v>39083</v>
      </c>
      <c r="B1058" t="s">
        <v>9</v>
      </c>
      <c r="C1058" t="s">
        <v>38</v>
      </c>
      <c r="D1058">
        <v>4885</v>
      </c>
      <c r="E1058">
        <v>104218</v>
      </c>
      <c r="F1058">
        <f t="shared" si="105"/>
        <v>21.334288638689866</v>
      </c>
      <c r="G1058">
        <f t="shared" si="102"/>
        <v>967.72333265097234</v>
      </c>
      <c r="H1058">
        <v>787.33333333333337</v>
      </c>
      <c r="I1058" t="s">
        <v>38</v>
      </c>
      <c r="J1058">
        <f t="shared" si="104"/>
        <v>17.357436801881246</v>
      </c>
      <c r="K1058">
        <v>12092.41</v>
      </c>
    </row>
    <row r="1059" spans="1:11" x14ac:dyDescent="0.35">
      <c r="A1059" s="1">
        <v>39114</v>
      </c>
      <c r="B1059" t="s">
        <v>9</v>
      </c>
      <c r="C1059" t="s">
        <v>38</v>
      </c>
      <c r="D1059">
        <v>3105</v>
      </c>
      <c r="E1059">
        <v>97888</v>
      </c>
      <c r="F1059">
        <f t="shared" si="105"/>
        <v>31.525925925925925</v>
      </c>
      <c r="G1059">
        <f t="shared" si="102"/>
        <v>1430.0159999999998</v>
      </c>
      <c r="H1059">
        <v>955.91666666666663</v>
      </c>
      <c r="I1059" t="s">
        <v>38</v>
      </c>
      <c r="J1059">
        <f t="shared" si="104"/>
        <v>21.074000587889476</v>
      </c>
      <c r="K1059">
        <v>12092.41</v>
      </c>
    </row>
    <row r="1060" spans="1:11" x14ac:dyDescent="0.35">
      <c r="A1060" s="1">
        <v>39142</v>
      </c>
      <c r="B1060" t="s">
        <v>9</v>
      </c>
      <c r="C1060" t="s">
        <v>38</v>
      </c>
      <c r="D1060">
        <v>2116</v>
      </c>
      <c r="E1060">
        <v>73055</v>
      </c>
      <c r="F1060">
        <f t="shared" si="105"/>
        <v>34.525047258979207</v>
      </c>
      <c r="G1060">
        <f t="shared" si="102"/>
        <v>1566.0561436672967</v>
      </c>
      <c r="H1060">
        <v>804.20749999999998</v>
      </c>
      <c r="I1060" t="s">
        <v>38</v>
      </c>
      <c r="J1060">
        <f t="shared" si="104"/>
        <v>17.729442239858905</v>
      </c>
      <c r="K1060">
        <v>12092.41</v>
      </c>
    </row>
    <row r="1061" spans="1:11" x14ac:dyDescent="0.35">
      <c r="A1061" s="1">
        <v>39173</v>
      </c>
      <c r="B1061" t="s">
        <v>9</v>
      </c>
      <c r="C1061" t="s">
        <v>38</v>
      </c>
      <c r="D1061">
        <v>2864</v>
      </c>
      <c r="E1061">
        <v>78380</v>
      </c>
      <c r="F1061">
        <f t="shared" si="105"/>
        <v>27.367318435754189</v>
      </c>
      <c r="G1061">
        <f t="shared" si="102"/>
        <v>1241.3815642458101</v>
      </c>
      <c r="H1061">
        <v>870.83333333333337</v>
      </c>
      <c r="I1061" t="s">
        <v>38</v>
      </c>
      <c r="J1061">
        <f t="shared" si="104"/>
        <v>19.198265726043505</v>
      </c>
      <c r="K1061">
        <v>12092.41</v>
      </c>
    </row>
    <row r="1062" spans="1:11" x14ac:dyDescent="0.35">
      <c r="A1062" s="1">
        <v>39203</v>
      </c>
      <c r="B1062" t="s">
        <v>9</v>
      </c>
      <c r="C1062" t="s">
        <v>38</v>
      </c>
      <c r="D1062">
        <v>1245</v>
      </c>
      <c r="E1062">
        <v>39895</v>
      </c>
      <c r="F1062">
        <f t="shared" si="105"/>
        <v>32.044176706827308</v>
      </c>
      <c r="G1062">
        <f t="shared" si="102"/>
        <v>1453.5238554216867</v>
      </c>
      <c r="H1062">
        <v>656.25</v>
      </c>
      <c r="I1062" t="s">
        <v>38</v>
      </c>
      <c r="J1062">
        <f t="shared" si="104"/>
        <v>14.467592592592593</v>
      </c>
      <c r="K1062">
        <v>12092.41</v>
      </c>
    </row>
    <row r="1063" spans="1:11" x14ac:dyDescent="0.35">
      <c r="A1063" s="1">
        <v>39234</v>
      </c>
      <c r="B1063" t="s">
        <v>9</v>
      </c>
      <c r="C1063" t="s">
        <v>38</v>
      </c>
      <c r="D1063">
        <v>2609</v>
      </c>
      <c r="E1063">
        <v>90295</v>
      </c>
      <c r="F1063">
        <f t="shared" si="105"/>
        <v>34.609045611345344</v>
      </c>
      <c r="G1063">
        <f t="shared" si="102"/>
        <v>1569.8663089306249</v>
      </c>
      <c r="H1063">
        <v>458.35625000000005</v>
      </c>
      <c r="I1063" t="s">
        <v>38</v>
      </c>
      <c r="J1063">
        <f t="shared" si="104"/>
        <v>10.104855599647268</v>
      </c>
      <c r="K1063">
        <v>12092.41</v>
      </c>
    </row>
    <row r="1064" spans="1:11" x14ac:dyDescent="0.35">
      <c r="A1064" s="1">
        <v>39264</v>
      </c>
      <c r="B1064" t="s">
        <v>9</v>
      </c>
      <c r="C1064" t="s">
        <v>38</v>
      </c>
      <c r="D1064">
        <v>2601</v>
      </c>
      <c r="E1064">
        <v>85365</v>
      </c>
      <c r="F1064">
        <f t="shared" si="105"/>
        <v>32.820069204152247</v>
      </c>
      <c r="G1064">
        <f t="shared" si="102"/>
        <v>1488.7183391003459</v>
      </c>
      <c r="H1064">
        <v>528.1875</v>
      </c>
      <c r="I1064" t="s">
        <v>38</v>
      </c>
      <c r="J1064">
        <f t="shared" si="104"/>
        <v>11.644345238095239</v>
      </c>
      <c r="K1064">
        <v>12092.41</v>
      </c>
    </row>
    <row r="1065" spans="1:11" x14ac:dyDescent="0.35">
      <c r="A1065" s="1">
        <v>39295</v>
      </c>
      <c r="B1065" t="s">
        <v>9</v>
      </c>
      <c r="C1065" t="s">
        <v>38</v>
      </c>
      <c r="D1065">
        <v>1637</v>
      </c>
      <c r="E1065">
        <v>56493</v>
      </c>
      <c r="F1065">
        <f t="shared" si="105"/>
        <v>34.510079413561392</v>
      </c>
      <c r="G1065">
        <f t="shared" si="102"/>
        <v>1565.3772021991447</v>
      </c>
      <c r="H1065">
        <v>517.86874999999986</v>
      </c>
      <c r="I1065" t="s">
        <v>38</v>
      </c>
      <c r="J1065">
        <f t="shared" si="104"/>
        <v>11.416859567901232</v>
      </c>
      <c r="K1065">
        <v>12092.41</v>
      </c>
    </row>
    <row r="1066" spans="1:11" x14ac:dyDescent="0.35">
      <c r="A1066" s="1">
        <v>39326</v>
      </c>
      <c r="B1066" t="s">
        <v>9</v>
      </c>
      <c r="C1066" t="s">
        <v>38</v>
      </c>
      <c r="D1066">
        <v>1586</v>
      </c>
      <c r="E1066">
        <v>47180</v>
      </c>
      <c r="F1066">
        <f t="shared" si="105"/>
        <v>29.747793190416143</v>
      </c>
      <c r="G1066">
        <f t="shared" si="102"/>
        <v>1349.3598991172762</v>
      </c>
      <c r="H1066">
        <v>468.75</v>
      </c>
      <c r="I1066" t="s">
        <v>38</v>
      </c>
      <c r="J1066">
        <f t="shared" si="104"/>
        <v>10.333994708994709</v>
      </c>
      <c r="K1066">
        <v>12092.41</v>
      </c>
    </row>
    <row r="1067" spans="1:11" x14ac:dyDescent="0.35">
      <c r="A1067" s="1">
        <v>39356</v>
      </c>
      <c r="B1067" t="s">
        <v>9</v>
      </c>
      <c r="C1067" t="s">
        <v>38</v>
      </c>
      <c r="D1067">
        <v>1934</v>
      </c>
      <c r="E1067">
        <v>57290</v>
      </c>
      <c r="F1067">
        <f t="shared" si="105"/>
        <v>29.622543950361944</v>
      </c>
      <c r="G1067">
        <f t="shared" si="102"/>
        <v>1343.6785935884177</v>
      </c>
      <c r="H1067">
        <v>496.875</v>
      </c>
      <c r="I1067" t="s">
        <v>38</v>
      </c>
      <c r="J1067">
        <f t="shared" si="104"/>
        <v>10.954034391534393</v>
      </c>
      <c r="K1067">
        <v>12092.41</v>
      </c>
    </row>
    <row r="1068" spans="1:11" x14ac:dyDescent="0.35">
      <c r="A1068" s="1">
        <v>39387</v>
      </c>
      <c r="B1068" t="s">
        <v>9</v>
      </c>
      <c r="C1068" t="s">
        <v>38</v>
      </c>
      <c r="D1068">
        <v>1717</v>
      </c>
      <c r="E1068">
        <v>41105</v>
      </c>
      <c r="F1068">
        <f t="shared" si="105"/>
        <v>23.940011648223646</v>
      </c>
      <c r="G1068">
        <f t="shared" si="102"/>
        <v>1085.9189283634246</v>
      </c>
      <c r="H1068">
        <v>1093.75</v>
      </c>
      <c r="I1068" t="s">
        <v>38</v>
      </c>
      <c r="J1068">
        <f t="shared" si="104"/>
        <v>24.112654320987655</v>
      </c>
      <c r="K1068">
        <v>12092.41</v>
      </c>
    </row>
    <row r="1069" spans="1:11" x14ac:dyDescent="0.35">
      <c r="A1069" s="1">
        <v>39417</v>
      </c>
      <c r="B1069" t="s">
        <v>9</v>
      </c>
      <c r="C1069" t="s">
        <v>38</v>
      </c>
      <c r="D1069">
        <v>4417</v>
      </c>
      <c r="E1069">
        <v>150225</v>
      </c>
      <c r="F1069">
        <f t="shared" si="105"/>
        <v>34.010640706361784</v>
      </c>
      <c r="G1069">
        <f t="shared" si="102"/>
        <v>1542.7226624405705</v>
      </c>
      <c r="H1069">
        <v>1022.5</v>
      </c>
      <c r="I1069" t="s">
        <v>38</v>
      </c>
      <c r="J1069">
        <f t="shared" si="104"/>
        <v>22.541887125220459</v>
      </c>
      <c r="K1069">
        <v>12092.41</v>
      </c>
    </row>
    <row r="1070" spans="1:11" x14ac:dyDescent="0.35">
      <c r="A1070" s="1">
        <v>39083</v>
      </c>
      <c r="B1070" t="s">
        <v>10</v>
      </c>
      <c r="C1070" t="s">
        <v>38</v>
      </c>
      <c r="D1070">
        <v>7815</v>
      </c>
      <c r="E1070">
        <v>69292</v>
      </c>
      <c r="F1070">
        <f t="shared" si="105"/>
        <v>8.8665387076135644</v>
      </c>
      <c r="G1070">
        <f t="shared" si="102"/>
        <v>402.18619577735126</v>
      </c>
      <c r="H1070">
        <v>846.70833333333337</v>
      </c>
      <c r="I1070" t="s">
        <v>38</v>
      </c>
      <c r="J1070">
        <f t="shared" si="104"/>
        <v>18.666409465020578</v>
      </c>
      <c r="K1070">
        <v>4803.45</v>
      </c>
    </row>
    <row r="1071" spans="1:11" x14ac:dyDescent="0.35">
      <c r="A1071" s="1">
        <v>39114</v>
      </c>
      <c r="B1071" t="s">
        <v>10</v>
      </c>
      <c r="C1071" t="s">
        <v>38</v>
      </c>
      <c r="D1071">
        <v>9034</v>
      </c>
      <c r="E1071">
        <v>78965</v>
      </c>
      <c r="F1071">
        <f t="shared" si="105"/>
        <v>8.7408678326322775</v>
      </c>
      <c r="G1071">
        <f t="shared" si="102"/>
        <v>396.48576488820009</v>
      </c>
      <c r="H1071">
        <v>890.91666666666663</v>
      </c>
      <c r="I1071" t="s">
        <v>38</v>
      </c>
      <c r="J1071">
        <f t="shared" si="104"/>
        <v>19.64101998824221</v>
      </c>
      <c r="K1071">
        <v>4803.45</v>
      </c>
    </row>
    <row r="1072" spans="1:11" x14ac:dyDescent="0.35">
      <c r="A1072" s="1">
        <v>39142</v>
      </c>
      <c r="B1072" t="s">
        <v>10</v>
      </c>
      <c r="C1072" t="s">
        <v>38</v>
      </c>
      <c r="D1072">
        <v>5539</v>
      </c>
      <c r="E1072">
        <v>44813</v>
      </c>
      <c r="F1072">
        <f t="shared" si="105"/>
        <v>8.0904495396280911</v>
      </c>
      <c r="G1072">
        <f t="shared" si="102"/>
        <v>366.98279111753021</v>
      </c>
      <c r="H1072">
        <v>895.71428571428567</v>
      </c>
      <c r="I1072" t="s">
        <v>38</v>
      </c>
      <c r="J1072">
        <f t="shared" si="104"/>
        <v>19.746787603930461</v>
      </c>
      <c r="K1072">
        <v>4803.45</v>
      </c>
    </row>
    <row r="1073" spans="1:11" x14ac:dyDescent="0.35">
      <c r="A1073" s="1">
        <v>39173</v>
      </c>
      <c r="B1073" t="s">
        <v>10</v>
      </c>
      <c r="C1073" t="s">
        <v>38</v>
      </c>
      <c r="D1073">
        <v>6351</v>
      </c>
      <c r="E1073">
        <v>58903</v>
      </c>
      <c r="F1073">
        <f t="shared" si="105"/>
        <v>9.2746024248149901</v>
      </c>
      <c r="G1073">
        <f t="shared" si="102"/>
        <v>420.69596598960794</v>
      </c>
      <c r="H1073">
        <v>843.125</v>
      </c>
      <c r="I1073" t="s">
        <v>38</v>
      </c>
      <c r="J1073">
        <f t="shared" si="104"/>
        <v>18.587411816578484</v>
      </c>
      <c r="K1073">
        <v>4803.45</v>
      </c>
    </row>
    <row r="1074" spans="1:11" x14ac:dyDescent="0.35">
      <c r="A1074" s="1">
        <v>39203</v>
      </c>
      <c r="B1074" t="s">
        <v>10</v>
      </c>
      <c r="C1074" t="s">
        <v>38</v>
      </c>
      <c r="D1074">
        <v>6553</v>
      </c>
      <c r="E1074">
        <v>47119</v>
      </c>
      <c r="F1074">
        <f t="shared" si="105"/>
        <v>7.1904471234549066</v>
      </c>
      <c r="G1074">
        <f t="shared" si="102"/>
        <v>326.15868151991458</v>
      </c>
      <c r="H1074">
        <v>821</v>
      </c>
      <c r="I1074" t="s">
        <v>38</v>
      </c>
      <c r="J1074">
        <f t="shared" si="104"/>
        <v>18.099647266313934</v>
      </c>
      <c r="K1074">
        <v>4803.45</v>
      </c>
    </row>
    <row r="1075" spans="1:11" x14ac:dyDescent="0.35">
      <c r="A1075" s="1">
        <v>39234</v>
      </c>
      <c r="B1075" t="s">
        <v>10</v>
      </c>
      <c r="C1075" t="s">
        <v>38</v>
      </c>
      <c r="D1075">
        <v>6765</v>
      </c>
      <c r="E1075">
        <v>58980</v>
      </c>
      <c r="F1075">
        <f t="shared" si="105"/>
        <v>8.7184035476718407</v>
      </c>
      <c r="G1075">
        <f t="shared" ref="G1075:G1117" si="106">F1075*45.36</f>
        <v>395.46678492239471</v>
      </c>
      <c r="H1075">
        <v>877.08249999999998</v>
      </c>
      <c r="I1075" t="s">
        <v>38</v>
      </c>
      <c r="J1075">
        <f t="shared" si="104"/>
        <v>19.336033950617285</v>
      </c>
      <c r="K1075">
        <v>4803.45</v>
      </c>
    </row>
    <row r="1076" spans="1:11" x14ac:dyDescent="0.35">
      <c r="A1076" s="1">
        <v>39264</v>
      </c>
      <c r="B1076" t="s">
        <v>10</v>
      </c>
      <c r="C1076" t="s">
        <v>38</v>
      </c>
      <c r="D1076">
        <v>4027</v>
      </c>
      <c r="E1076">
        <v>30422</v>
      </c>
      <c r="F1076">
        <f t="shared" si="105"/>
        <v>7.5545070772287062</v>
      </c>
      <c r="G1076">
        <f t="shared" si="106"/>
        <v>342.67244102309411</v>
      </c>
      <c r="H1076">
        <v>972.33333333333337</v>
      </c>
      <c r="I1076" t="s">
        <v>38</v>
      </c>
      <c r="J1076">
        <f t="shared" si="104"/>
        <v>21.435920047031161</v>
      </c>
      <c r="K1076">
        <v>4803.45</v>
      </c>
    </row>
    <row r="1077" spans="1:11" x14ac:dyDescent="0.35">
      <c r="A1077" s="1">
        <v>39295</v>
      </c>
      <c r="B1077" t="s">
        <v>10</v>
      </c>
      <c r="C1077" t="s">
        <v>38</v>
      </c>
      <c r="D1077">
        <v>4292</v>
      </c>
      <c r="E1077">
        <v>37384</v>
      </c>
      <c r="F1077">
        <f t="shared" si="105"/>
        <v>8.7101584342963658</v>
      </c>
      <c r="G1077">
        <f t="shared" si="106"/>
        <v>395.09278657968315</v>
      </c>
      <c r="H1077">
        <v>865.25</v>
      </c>
      <c r="I1077" t="s">
        <v>38</v>
      </c>
      <c r="J1077">
        <f t="shared" si="104"/>
        <v>19.075176366843035</v>
      </c>
      <c r="K1077">
        <v>4803.45</v>
      </c>
    </row>
    <row r="1078" spans="1:11" x14ac:dyDescent="0.35">
      <c r="A1078" s="1">
        <v>39326</v>
      </c>
      <c r="B1078" t="s">
        <v>10</v>
      </c>
      <c r="C1078" t="s">
        <v>38</v>
      </c>
      <c r="D1078">
        <v>3926</v>
      </c>
      <c r="E1078">
        <v>34009</v>
      </c>
      <c r="F1078">
        <f t="shared" si="105"/>
        <v>8.6625063678043812</v>
      </c>
      <c r="G1078">
        <f t="shared" si="106"/>
        <v>392.93128884360675</v>
      </c>
      <c r="H1078">
        <v>986.93124999999998</v>
      </c>
      <c r="I1078" t="s">
        <v>38</v>
      </c>
      <c r="J1078">
        <f t="shared" si="104"/>
        <v>21.75774360670194</v>
      </c>
      <c r="K1078">
        <v>4803.45</v>
      </c>
    </row>
    <row r="1079" spans="1:11" x14ac:dyDescent="0.35">
      <c r="A1079" s="1">
        <v>39356</v>
      </c>
      <c r="B1079" t="s">
        <v>10</v>
      </c>
      <c r="C1079" t="s">
        <v>38</v>
      </c>
      <c r="D1079">
        <v>3740</v>
      </c>
      <c r="E1079">
        <v>30551</v>
      </c>
      <c r="F1079">
        <f t="shared" si="105"/>
        <v>8.1687165775401063</v>
      </c>
      <c r="G1079">
        <f t="shared" si="106"/>
        <v>370.53298395721924</v>
      </c>
      <c r="H1079">
        <v>987.5</v>
      </c>
      <c r="I1079" t="s">
        <v>38</v>
      </c>
      <c r="J1079">
        <f t="shared" si="104"/>
        <v>21.770282186948855</v>
      </c>
      <c r="K1079">
        <v>4803.45</v>
      </c>
    </row>
    <row r="1080" spans="1:11" x14ac:dyDescent="0.35">
      <c r="A1080" s="1">
        <v>39387</v>
      </c>
      <c r="B1080" t="s">
        <v>10</v>
      </c>
      <c r="C1080" t="s">
        <v>38</v>
      </c>
      <c r="D1080">
        <v>7790</v>
      </c>
      <c r="E1080">
        <v>77206</v>
      </c>
      <c r="F1080">
        <f t="shared" si="105"/>
        <v>9.9109114249037233</v>
      </c>
      <c r="G1080">
        <f t="shared" si="106"/>
        <v>449.55894223363288</v>
      </c>
      <c r="H1080">
        <v>992.27499999999998</v>
      </c>
      <c r="I1080" t="s">
        <v>38</v>
      </c>
      <c r="J1080">
        <f t="shared" si="104"/>
        <v>21.875551146384481</v>
      </c>
      <c r="K1080">
        <v>4803.45</v>
      </c>
    </row>
    <row r="1081" spans="1:11" x14ac:dyDescent="0.35">
      <c r="A1081" s="1">
        <v>39417</v>
      </c>
      <c r="B1081" t="s">
        <v>10</v>
      </c>
      <c r="C1081" t="s">
        <v>38</v>
      </c>
      <c r="D1081">
        <v>9526</v>
      </c>
      <c r="E1081">
        <v>89431</v>
      </c>
      <c r="F1081">
        <f t="shared" si="105"/>
        <v>9.3880957379802652</v>
      </c>
      <c r="G1081">
        <f t="shared" si="106"/>
        <v>425.84402267478481</v>
      </c>
      <c r="H1081">
        <v>1005.7216666666667</v>
      </c>
      <c r="I1081" t="s">
        <v>38</v>
      </c>
      <c r="J1081">
        <f t="shared" si="104"/>
        <v>22.171994415049973</v>
      </c>
      <c r="K1081">
        <v>4803.45</v>
      </c>
    </row>
    <row r="1082" spans="1:11" x14ac:dyDescent="0.35">
      <c r="A1082" s="1">
        <v>39083</v>
      </c>
      <c r="B1082" t="s">
        <v>11</v>
      </c>
      <c r="C1082" t="s">
        <v>38</v>
      </c>
      <c r="D1082">
        <v>24456</v>
      </c>
      <c r="E1082">
        <v>267747</v>
      </c>
      <c r="F1082">
        <f t="shared" si="105"/>
        <v>10.948110893032384</v>
      </c>
      <c r="G1082">
        <f t="shared" si="106"/>
        <v>496.6063101079489</v>
      </c>
      <c r="H1082">
        <v>232.97828571428568</v>
      </c>
      <c r="I1082" t="s">
        <v>38</v>
      </c>
      <c r="J1082">
        <f t="shared" si="104"/>
        <v>5.1362055933484498</v>
      </c>
      <c r="K1082">
        <v>2341.04</v>
      </c>
    </row>
    <row r="1083" spans="1:11" x14ac:dyDescent="0.35">
      <c r="A1083" s="1">
        <v>39114</v>
      </c>
      <c r="B1083" t="s">
        <v>11</v>
      </c>
      <c r="C1083" t="s">
        <v>38</v>
      </c>
      <c r="D1083">
        <v>31169</v>
      </c>
      <c r="E1083">
        <v>331949</v>
      </c>
      <c r="F1083">
        <f t="shared" si="105"/>
        <v>10.649972729314383</v>
      </c>
      <c r="G1083">
        <f t="shared" si="106"/>
        <v>483.08276300170041</v>
      </c>
      <c r="H1083">
        <v>264.50657142857142</v>
      </c>
      <c r="I1083" t="s">
        <v>38</v>
      </c>
      <c r="J1083">
        <f t="shared" si="104"/>
        <v>5.831273620559335</v>
      </c>
      <c r="K1083">
        <v>2341.04</v>
      </c>
    </row>
    <row r="1084" spans="1:11" x14ac:dyDescent="0.35">
      <c r="A1084" s="1">
        <v>39142</v>
      </c>
      <c r="B1084" t="s">
        <v>11</v>
      </c>
      <c r="C1084" t="s">
        <v>38</v>
      </c>
      <c r="D1084">
        <v>23740</v>
      </c>
      <c r="E1084">
        <v>275482</v>
      </c>
      <c r="F1084">
        <f t="shared" si="105"/>
        <v>11.604128053917439</v>
      </c>
      <c r="G1084">
        <f t="shared" si="106"/>
        <v>526.36324852569498</v>
      </c>
      <c r="H1084">
        <v>248.95274999999998</v>
      </c>
      <c r="I1084" t="s">
        <v>38</v>
      </c>
      <c r="J1084">
        <f t="shared" si="104"/>
        <v>5.4883763227513223</v>
      </c>
      <c r="K1084">
        <v>2341.04</v>
      </c>
    </row>
    <row r="1085" spans="1:11" x14ac:dyDescent="0.35">
      <c r="A1085" s="1">
        <v>39173</v>
      </c>
      <c r="B1085" t="s">
        <v>11</v>
      </c>
      <c r="C1085" t="s">
        <v>38</v>
      </c>
      <c r="D1085">
        <v>30182</v>
      </c>
      <c r="E1085">
        <v>298112</v>
      </c>
      <c r="F1085">
        <f t="shared" si="105"/>
        <v>9.8771453184016966</v>
      </c>
      <c r="G1085">
        <f t="shared" si="106"/>
        <v>448.02731164270097</v>
      </c>
      <c r="H1085">
        <v>291.54150000000004</v>
      </c>
      <c r="I1085" t="s">
        <v>38</v>
      </c>
      <c r="J1085">
        <f t="shared" si="104"/>
        <v>6.4272817460317473</v>
      </c>
      <c r="K1085">
        <v>2341.04</v>
      </c>
    </row>
    <row r="1086" spans="1:11" x14ac:dyDescent="0.35">
      <c r="A1086" s="1">
        <v>39203</v>
      </c>
      <c r="B1086" t="s">
        <v>11</v>
      </c>
      <c r="C1086" t="s">
        <v>38</v>
      </c>
      <c r="D1086">
        <v>27444</v>
      </c>
      <c r="E1086">
        <v>269176</v>
      </c>
      <c r="F1086">
        <f t="shared" si="105"/>
        <v>9.8081912257688391</v>
      </c>
      <c r="G1086">
        <f t="shared" si="106"/>
        <v>444.89955400087456</v>
      </c>
      <c r="H1086">
        <v>308.96375</v>
      </c>
      <c r="I1086" t="s">
        <v>38</v>
      </c>
      <c r="J1086">
        <f t="shared" si="104"/>
        <v>6.8113701499118164</v>
      </c>
      <c r="K1086">
        <v>2341.04</v>
      </c>
    </row>
    <row r="1087" spans="1:11" x14ac:dyDescent="0.35">
      <c r="A1087" s="1">
        <v>39234</v>
      </c>
      <c r="B1087" t="s">
        <v>11</v>
      </c>
      <c r="C1087" t="s">
        <v>38</v>
      </c>
      <c r="D1087">
        <v>24820</v>
      </c>
      <c r="E1087">
        <v>250346</v>
      </c>
      <c r="F1087">
        <f t="shared" si="105"/>
        <v>10.086462530217567</v>
      </c>
      <c r="G1087">
        <f t="shared" si="106"/>
        <v>457.5219403706688</v>
      </c>
      <c r="H1087">
        <v>266.24649999999997</v>
      </c>
      <c r="I1087" t="s">
        <v>38</v>
      </c>
      <c r="J1087">
        <f t="shared" ref="J1087:J1117" si="107">H1087/45.36</f>
        <v>5.8696318342151672</v>
      </c>
      <c r="K1087">
        <v>2341.04</v>
      </c>
    </row>
    <row r="1088" spans="1:11" x14ac:dyDescent="0.35">
      <c r="A1088" s="1">
        <v>39264</v>
      </c>
      <c r="B1088" t="s">
        <v>11</v>
      </c>
      <c r="C1088" t="s">
        <v>38</v>
      </c>
      <c r="D1088">
        <v>18065</v>
      </c>
      <c r="E1088">
        <v>200606</v>
      </c>
      <c r="F1088">
        <f t="shared" si="105"/>
        <v>11.104677553279823</v>
      </c>
      <c r="G1088">
        <f t="shared" si="106"/>
        <v>503.70817381677273</v>
      </c>
      <c r="H1088">
        <v>277.46550000000002</v>
      </c>
      <c r="I1088" t="s">
        <v>38</v>
      </c>
      <c r="J1088">
        <f t="shared" si="107"/>
        <v>6.1169642857142863</v>
      </c>
      <c r="K1088">
        <v>2341.04</v>
      </c>
    </row>
    <row r="1089" spans="1:11" x14ac:dyDescent="0.35">
      <c r="A1089" s="1">
        <v>39295</v>
      </c>
      <c r="B1089" t="s">
        <v>11</v>
      </c>
      <c r="C1089" t="s">
        <v>38</v>
      </c>
      <c r="D1089">
        <v>16583</v>
      </c>
      <c r="E1089">
        <v>172023</v>
      </c>
      <c r="F1089">
        <f t="shared" si="105"/>
        <v>10.373454742808901</v>
      </c>
      <c r="G1089">
        <f t="shared" si="106"/>
        <v>470.53990713381177</v>
      </c>
      <c r="H1089">
        <v>278.63441666666665</v>
      </c>
      <c r="I1089" t="s">
        <v>38</v>
      </c>
      <c r="J1089">
        <f t="shared" si="107"/>
        <v>6.142734053497942</v>
      </c>
      <c r="K1089">
        <v>2341.04</v>
      </c>
    </row>
    <row r="1090" spans="1:11" x14ac:dyDescent="0.35">
      <c r="A1090" s="1">
        <v>39326</v>
      </c>
      <c r="B1090" t="s">
        <v>11</v>
      </c>
      <c r="C1090" t="s">
        <v>38</v>
      </c>
      <c r="D1090">
        <v>15472</v>
      </c>
      <c r="E1090">
        <v>171824</v>
      </c>
      <c r="F1090">
        <f t="shared" si="105"/>
        <v>11.105480868665977</v>
      </c>
      <c r="G1090">
        <f t="shared" si="106"/>
        <v>503.7446122026887</v>
      </c>
      <c r="H1090">
        <v>289.86842857142858</v>
      </c>
      <c r="I1090" t="s">
        <v>38</v>
      </c>
      <c r="J1090">
        <f t="shared" si="107"/>
        <v>6.390397455278408</v>
      </c>
      <c r="K1090">
        <v>2341.04</v>
      </c>
    </row>
    <row r="1091" spans="1:11" x14ac:dyDescent="0.35">
      <c r="A1091" s="1">
        <v>39356</v>
      </c>
      <c r="B1091" t="s">
        <v>11</v>
      </c>
      <c r="C1091" t="s">
        <v>38</v>
      </c>
      <c r="D1091">
        <v>17536</v>
      </c>
      <c r="E1091">
        <v>203334</v>
      </c>
      <c r="F1091">
        <f t="shared" si="105"/>
        <v>11.595232664233576</v>
      </c>
      <c r="G1091">
        <f t="shared" si="106"/>
        <v>525.95975364963499</v>
      </c>
      <c r="H1091">
        <v>302.26485714285712</v>
      </c>
      <c r="I1091" t="s">
        <v>38</v>
      </c>
      <c r="J1091">
        <f t="shared" si="107"/>
        <v>6.6636873267825649</v>
      </c>
      <c r="K1091">
        <v>2341.04</v>
      </c>
    </row>
    <row r="1092" spans="1:11" x14ac:dyDescent="0.35">
      <c r="A1092" s="1">
        <v>39387</v>
      </c>
      <c r="B1092" t="s">
        <v>11</v>
      </c>
      <c r="C1092" t="s">
        <v>38</v>
      </c>
      <c r="D1092">
        <v>21619</v>
      </c>
      <c r="E1092">
        <v>186324</v>
      </c>
      <c r="F1092">
        <f t="shared" si="105"/>
        <v>8.6185299967621081</v>
      </c>
      <c r="G1092">
        <f t="shared" si="106"/>
        <v>390.93652065312921</v>
      </c>
      <c r="H1092">
        <v>317.13662500000004</v>
      </c>
      <c r="I1092" t="s">
        <v>38</v>
      </c>
      <c r="J1092">
        <f t="shared" si="107"/>
        <v>6.9915481701940045</v>
      </c>
      <c r="K1092">
        <v>2341.04</v>
      </c>
    </row>
    <row r="1093" spans="1:11" x14ac:dyDescent="0.35">
      <c r="A1093" s="1">
        <v>39417</v>
      </c>
      <c r="B1093" t="s">
        <v>11</v>
      </c>
      <c r="C1093" t="s">
        <v>38</v>
      </c>
      <c r="D1093">
        <v>19122</v>
      </c>
      <c r="E1093">
        <v>205005</v>
      </c>
      <c r="F1093">
        <f t="shared" si="105"/>
        <v>10.720897395669908</v>
      </c>
      <c r="G1093">
        <f t="shared" si="106"/>
        <v>486.29990586758703</v>
      </c>
      <c r="H1093">
        <v>354.45707142857145</v>
      </c>
      <c r="I1093" t="s">
        <v>38</v>
      </c>
      <c r="J1093">
        <f t="shared" si="107"/>
        <v>7.8143093348450501</v>
      </c>
      <c r="K1093">
        <v>2341.04</v>
      </c>
    </row>
    <row r="1094" spans="1:11" x14ac:dyDescent="0.35">
      <c r="A1094" s="1">
        <v>39083</v>
      </c>
      <c r="B1094" t="s">
        <v>12</v>
      </c>
      <c r="C1094" t="s">
        <v>38</v>
      </c>
      <c r="D1094">
        <v>10693</v>
      </c>
      <c r="E1094">
        <v>68116</v>
      </c>
      <c r="F1094">
        <f t="shared" si="105"/>
        <v>6.3701486954082114</v>
      </c>
      <c r="G1094">
        <f t="shared" si="106"/>
        <v>288.94994482371646</v>
      </c>
      <c r="H1094">
        <v>532.375</v>
      </c>
      <c r="I1094" t="s">
        <v>38</v>
      </c>
      <c r="J1094">
        <f t="shared" si="107"/>
        <v>11.73666225749559</v>
      </c>
      <c r="K1094">
        <v>970.18</v>
      </c>
    </row>
    <row r="1095" spans="1:11" x14ac:dyDescent="0.35">
      <c r="A1095" s="1">
        <v>39114</v>
      </c>
      <c r="B1095" t="s">
        <v>12</v>
      </c>
      <c r="C1095" t="s">
        <v>38</v>
      </c>
      <c r="D1095">
        <v>15005</v>
      </c>
      <c r="E1095">
        <v>86112</v>
      </c>
      <c r="F1095">
        <f t="shared" ref="F1095:F1158" si="108">E1095/D1095</f>
        <v>5.7388870376541155</v>
      </c>
      <c r="G1095">
        <f t="shared" si="106"/>
        <v>260.31591602799068</v>
      </c>
      <c r="H1095">
        <v>440.91750000000002</v>
      </c>
      <c r="I1095" t="s">
        <v>38</v>
      </c>
      <c r="J1095">
        <f t="shared" si="107"/>
        <v>9.72040343915344</v>
      </c>
      <c r="K1095">
        <v>970.18</v>
      </c>
    </row>
    <row r="1096" spans="1:11" x14ac:dyDescent="0.35">
      <c r="A1096" s="1">
        <v>39142</v>
      </c>
      <c r="B1096" t="s">
        <v>12</v>
      </c>
      <c r="C1096" t="s">
        <v>38</v>
      </c>
      <c r="D1096">
        <v>14946</v>
      </c>
      <c r="E1096">
        <v>105825</v>
      </c>
      <c r="F1096">
        <f t="shared" si="108"/>
        <v>7.0804897631473303</v>
      </c>
      <c r="G1096">
        <f t="shared" si="106"/>
        <v>321.1710156563629</v>
      </c>
      <c r="H1096">
        <v>514.45833333333337</v>
      </c>
      <c r="I1096" t="s">
        <v>38</v>
      </c>
      <c r="J1096">
        <f t="shared" si="107"/>
        <v>11.341674015285127</v>
      </c>
      <c r="K1096">
        <v>970.18</v>
      </c>
    </row>
    <row r="1097" spans="1:11" x14ac:dyDescent="0.35">
      <c r="A1097" s="1">
        <v>39173</v>
      </c>
      <c r="B1097" t="s">
        <v>12</v>
      </c>
      <c r="C1097" t="s">
        <v>38</v>
      </c>
      <c r="D1097">
        <v>10377</v>
      </c>
      <c r="E1097">
        <v>75263</v>
      </c>
      <c r="F1097">
        <f t="shared" si="108"/>
        <v>7.2528669172207767</v>
      </c>
      <c r="G1097">
        <f t="shared" si="106"/>
        <v>328.99004336513445</v>
      </c>
      <c r="H1097">
        <v>443.75</v>
      </c>
      <c r="I1097" t="s">
        <v>38</v>
      </c>
      <c r="J1097">
        <f t="shared" si="107"/>
        <v>9.7828483245149904</v>
      </c>
      <c r="K1097">
        <v>970.18</v>
      </c>
    </row>
    <row r="1098" spans="1:11" x14ac:dyDescent="0.35">
      <c r="A1098" s="1">
        <v>39203</v>
      </c>
      <c r="B1098" t="s">
        <v>12</v>
      </c>
      <c r="C1098" t="s">
        <v>38</v>
      </c>
      <c r="D1098">
        <v>10834</v>
      </c>
      <c r="E1098">
        <v>80126</v>
      </c>
      <c r="F1098">
        <f t="shared" si="108"/>
        <v>7.3957910282444157</v>
      </c>
      <c r="G1098">
        <f t="shared" si="106"/>
        <v>335.47308104116667</v>
      </c>
      <c r="H1098">
        <v>409.58333333333331</v>
      </c>
      <c r="I1098" t="s">
        <v>38</v>
      </c>
      <c r="J1098">
        <f t="shared" si="107"/>
        <v>9.0296149323927093</v>
      </c>
      <c r="K1098">
        <v>970.18</v>
      </c>
    </row>
    <row r="1099" spans="1:11" x14ac:dyDescent="0.35">
      <c r="A1099" s="1">
        <v>39234</v>
      </c>
      <c r="B1099" t="s">
        <v>12</v>
      </c>
      <c r="C1099" t="s">
        <v>38</v>
      </c>
      <c r="D1099">
        <v>8512</v>
      </c>
      <c r="E1099">
        <v>60070</v>
      </c>
      <c r="F1099">
        <f t="shared" si="108"/>
        <v>7.0570958646616537</v>
      </c>
      <c r="G1099">
        <f t="shared" si="106"/>
        <v>320.10986842105262</v>
      </c>
      <c r="H1099">
        <v>486.94333333333333</v>
      </c>
      <c r="I1099" t="s">
        <v>38</v>
      </c>
      <c r="J1099">
        <f t="shared" si="107"/>
        <v>10.735082304526749</v>
      </c>
      <c r="K1099">
        <v>970.18</v>
      </c>
    </row>
    <row r="1100" spans="1:11" x14ac:dyDescent="0.35">
      <c r="A1100" s="1">
        <v>39264</v>
      </c>
      <c r="B1100" t="s">
        <v>12</v>
      </c>
      <c r="C1100" t="s">
        <v>38</v>
      </c>
      <c r="D1100">
        <v>7197</v>
      </c>
      <c r="E1100">
        <v>50776</v>
      </c>
      <c r="F1100">
        <f t="shared" si="108"/>
        <v>7.05516187300264</v>
      </c>
      <c r="G1100">
        <f t="shared" si="106"/>
        <v>320.02214255939975</v>
      </c>
      <c r="H1100">
        <v>459.416</v>
      </c>
      <c r="I1100" t="s">
        <v>38</v>
      </c>
      <c r="J1100">
        <f t="shared" si="107"/>
        <v>10.128218694885362</v>
      </c>
      <c r="K1100">
        <v>970.18</v>
      </c>
    </row>
    <row r="1101" spans="1:11" x14ac:dyDescent="0.35">
      <c r="A1101" s="1">
        <v>39295</v>
      </c>
      <c r="B1101" t="s">
        <v>12</v>
      </c>
      <c r="C1101" t="s">
        <v>38</v>
      </c>
      <c r="D1101">
        <v>7727</v>
      </c>
      <c r="E1101">
        <v>57475</v>
      </c>
      <c r="F1101">
        <f t="shared" si="108"/>
        <v>7.4382037013071054</v>
      </c>
      <c r="G1101">
        <f t="shared" si="106"/>
        <v>337.39691989129028</v>
      </c>
      <c r="H1101">
        <v>426.375</v>
      </c>
      <c r="I1101" t="s">
        <v>38</v>
      </c>
      <c r="J1101">
        <f t="shared" si="107"/>
        <v>9.399801587301587</v>
      </c>
      <c r="K1101">
        <v>970.18</v>
      </c>
    </row>
    <row r="1102" spans="1:11" x14ac:dyDescent="0.35">
      <c r="A1102" s="1">
        <v>39326</v>
      </c>
      <c r="B1102" t="s">
        <v>12</v>
      </c>
      <c r="C1102" t="s">
        <v>38</v>
      </c>
      <c r="D1102">
        <v>10070</v>
      </c>
      <c r="E1102">
        <v>57309</v>
      </c>
      <c r="F1102">
        <f t="shared" si="108"/>
        <v>5.6910625620655413</v>
      </c>
      <c r="G1102">
        <f t="shared" si="106"/>
        <v>258.14659781529298</v>
      </c>
      <c r="H1102">
        <v>563.11857142857139</v>
      </c>
      <c r="I1102" t="s">
        <v>38</v>
      </c>
      <c r="J1102">
        <f t="shared" si="107"/>
        <v>12.414430587049633</v>
      </c>
      <c r="K1102">
        <v>970.18</v>
      </c>
    </row>
    <row r="1103" spans="1:11" x14ac:dyDescent="0.35">
      <c r="A1103" s="1">
        <v>39356</v>
      </c>
      <c r="B1103" t="s">
        <v>12</v>
      </c>
      <c r="C1103" t="s">
        <v>38</v>
      </c>
      <c r="D1103">
        <v>9103</v>
      </c>
      <c r="E1103">
        <v>58382</v>
      </c>
      <c r="F1103">
        <f t="shared" si="108"/>
        <v>6.413490058222564</v>
      </c>
      <c r="G1103">
        <f t="shared" si="106"/>
        <v>290.91590904097552</v>
      </c>
      <c r="H1103">
        <v>631.66800000000001</v>
      </c>
      <c r="I1103" t="s">
        <v>38</v>
      </c>
      <c r="J1103">
        <f t="shared" si="107"/>
        <v>13.925661375661376</v>
      </c>
      <c r="K1103">
        <v>970.18</v>
      </c>
    </row>
    <row r="1104" spans="1:11" x14ac:dyDescent="0.35">
      <c r="A1104" s="1">
        <v>39387</v>
      </c>
      <c r="B1104" t="s">
        <v>12</v>
      </c>
      <c r="C1104" t="s">
        <v>38</v>
      </c>
      <c r="D1104">
        <v>9585</v>
      </c>
      <c r="E1104">
        <v>50843</v>
      </c>
      <c r="F1104">
        <f t="shared" si="108"/>
        <v>5.3044340114762649</v>
      </c>
      <c r="G1104">
        <f t="shared" si="106"/>
        <v>240.60912676056338</v>
      </c>
      <c r="H1104">
        <v>559.13142857142861</v>
      </c>
      <c r="I1104" t="s">
        <v>38</v>
      </c>
      <c r="J1104">
        <f t="shared" si="107"/>
        <v>12.326530612244898</v>
      </c>
      <c r="K1104">
        <v>970.18</v>
      </c>
    </row>
    <row r="1105" spans="1:11" x14ac:dyDescent="0.35">
      <c r="A1105" s="1">
        <v>39417</v>
      </c>
      <c r="B1105" t="s">
        <v>12</v>
      </c>
      <c r="C1105" t="s">
        <v>38</v>
      </c>
      <c r="D1105">
        <v>9831</v>
      </c>
      <c r="E1105">
        <v>55142</v>
      </c>
      <c r="F1105">
        <f t="shared" si="108"/>
        <v>5.6089919641948933</v>
      </c>
      <c r="G1105">
        <f t="shared" si="106"/>
        <v>254.42387549588037</v>
      </c>
      <c r="H1105">
        <v>674.63400000000001</v>
      </c>
      <c r="I1105" t="s">
        <v>38</v>
      </c>
      <c r="J1105">
        <f t="shared" si="107"/>
        <v>14.872883597883598</v>
      </c>
      <c r="K1105">
        <v>970.18</v>
      </c>
    </row>
    <row r="1106" spans="1:11" x14ac:dyDescent="0.35">
      <c r="A1106" s="1">
        <v>39083</v>
      </c>
      <c r="B1106" t="s">
        <v>13</v>
      </c>
      <c r="C1106" t="s">
        <v>38</v>
      </c>
      <c r="D1106">
        <v>5238</v>
      </c>
      <c r="E1106">
        <v>32397</v>
      </c>
      <c r="F1106">
        <f t="shared" si="108"/>
        <v>6.1849942726231388</v>
      </c>
      <c r="G1106">
        <f t="shared" si="106"/>
        <v>280.55134020618556</v>
      </c>
      <c r="H1106">
        <v>277.26399999999995</v>
      </c>
      <c r="I1106" t="s">
        <v>38</v>
      </c>
      <c r="J1106">
        <f t="shared" si="107"/>
        <v>6.1125220458553784</v>
      </c>
      <c r="K1106">
        <v>5280.51</v>
      </c>
    </row>
    <row r="1107" spans="1:11" x14ac:dyDescent="0.35">
      <c r="A1107" s="1">
        <v>39114</v>
      </c>
      <c r="B1107" t="s">
        <v>13</v>
      </c>
      <c r="C1107" t="s">
        <v>38</v>
      </c>
      <c r="D1107">
        <v>5675</v>
      </c>
      <c r="E1107">
        <v>42306</v>
      </c>
      <c r="F1107">
        <f t="shared" si="108"/>
        <v>7.4548017621145375</v>
      </c>
      <c r="G1107">
        <f t="shared" si="106"/>
        <v>338.14980792951542</v>
      </c>
      <c r="H1107">
        <v>231.55333333333351</v>
      </c>
      <c r="I1107" t="s">
        <v>38</v>
      </c>
      <c r="J1107">
        <f t="shared" si="107"/>
        <v>5.1047912992357478</v>
      </c>
      <c r="K1107">
        <v>5280.51</v>
      </c>
    </row>
    <row r="1108" spans="1:11" x14ac:dyDescent="0.35">
      <c r="A1108" s="1">
        <v>39142</v>
      </c>
      <c r="B1108" t="s">
        <v>13</v>
      </c>
      <c r="C1108" t="s">
        <v>38</v>
      </c>
      <c r="D1108">
        <v>5311</v>
      </c>
      <c r="E1108">
        <v>44666</v>
      </c>
      <c r="F1108">
        <f t="shared" si="108"/>
        <v>8.4100922613443796</v>
      </c>
      <c r="G1108">
        <f t="shared" si="106"/>
        <v>381.48178497458105</v>
      </c>
      <c r="H1108">
        <v>218.13013333333348</v>
      </c>
      <c r="I1108" t="s">
        <v>38</v>
      </c>
      <c r="J1108">
        <f t="shared" si="107"/>
        <v>4.8088653733098212</v>
      </c>
      <c r="K1108">
        <v>5280.51</v>
      </c>
    </row>
    <row r="1109" spans="1:11" x14ac:dyDescent="0.35">
      <c r="A1109" s="1">
        <v>39173</v>
      </c>
      <c r="B1109" t="s">
        <v>13</v>
      </c>
      <c r="C1109" t="s">
        <v>38</v>
      </c>
      <c r="D1109">
        <v>4956</v>
      </c>
      <c r="E1109">
        <v>50737</v>
      </c>
      <c r="F1109">
        <f t="shared" si="108"/>
        <v>10.237489911218725</v>
      </c>
      <c r="G1109">
        <f t="shared" si="106"/>
        <v>464.37254237288136</v>
      </c>
      <c r="H1109">
        <v>241.85546666666687</v>
      </c>
      <c r="I1109" t="s">
        <v>38</v>
      </c>
      <c r="J1109">
        <f t="shared" si="107"/>
        <v>5.331910640799534</v>
      </c>
      <c r="K1109">
        <v>5280.51</v>
      </c>
    </row>
    <row r="1110" spans="1:11" x14ac:dyDescent="0.35">
      <c r="A1110" s="1">
        <v>39203</v>
      </c>
      <c r="B1110" t="s">
        <v>13</v>
      </c>
      <c r="C1110" t="s">
        <v>38</v>
      </c>
      <c r="D1110">
        <v>5378</v>
      </c>
      <c r="E1110">
        <v>37701</v>
      </c>
      <c r="F1110">
        <f t="shared" si="108"/>
        <v>7.0102268501301603</v>
      </c>
      <c r="G1110">
        <f t="shared" si="106"/>
        <v>317.98388992190405</v>
      </c>
      <c r="H1110">
        <v>209.74800000000016</v>
      </c>
      <c r="I1110" t="s">
        <v>38</v>
      </c>
      <c r="J1110">
        <f t="shared" si="107"/>
        <v>4.6240740740740778</v>
      </c>
      <c r="K1110">
        <v>5280.51</v>
      </c>
    </row>
    <row r="1111" spans="1:11" x14ac:dyDescent="0.35">
      <c r="A1111" s="1">
        <v>39234</v>
      </c>
      <c r="B1111" t="s">
        <v>13</v>
      </c>
      <c r="C1111" t="s">
        <v>38</v>
      </c>
      <c r="D1111">
        <v>5572</v>
      </c>
      <c r="E1111">
        <v>41426</v>
      </c>
      <c r="F1111">
        <f t="shared" si="108"/>
        <v>7.4346733668341711</v>
      </c>
      <c r="G1111">
        <f t="shared" si="106"/>
        <v>337.236783919598</v>
      </c>
      <c r="H1111">
        <v>210.19800000000015</v>
      </c>
      <c r="I1111" t="s">
        <v>38</v>
      </c>
      <c r="J1111">
        <f t="shared" si="107"/>
        <v>4.6339947089947122</v>
      </c>
      <c r="K1111">
        <v>5280.51</v>
      </c>
    </row>
    <row r="1112" spans="1:11" x14ac:dyDescent="0.35">
      <c r="A1112" s="1">
        <v>39264</v>
      </c>
      <c r="B1112" t="s">
        <v>13</v>
      </c>
      <c r="C1112" t="s">
        <v>38</v>
      </c>
      <c r="D1112">
        <v>4922</v>
      </c>
      <c r="E1112">
        <v>48343</v>
      </c>
      <c r="F1112">
        <f t="shared" si="108"/>
        <v>9.8218203982121093</v>
      </c>
      <c r="G1112">
        <f t="shared" si="106"/>
        <v>445.51777326290124</v>
      </c>
      <c r="H1112">
        <v>196.60480000000018</v>
      </c>
      <c r="I1112" t="s">
        <v>38</v>
      </c>
      <c r="J1112">
        <f t="shared" si="107"/>
        <v>4.3343209876543254</v>
      </c>
      <c r="K1112">
        <v>5280.51</v>
      </c>
    </row>
    <row r="1113" spans="1:11" x14ac:dyDescent="0.35">
      <c r="A1113" s="1">
        <v>39295</v>
      </c>
      <c r="B1113" t="s">
        <v>13</v>
      </c>
      <c r="C1113" t="s">
        <v>38</v>
      </c>
      <c r="D1113">
        <v>4400</v>
      </c>
      <c r="E1113">
        <v>40317</v>
      </c>
      <c r="F1113">
        <f t="shared" si="108"/>
        <v>9.1629545454545447</v>
      </c>
      <c r="G1113">
        <f t="shared" si="106"/>
        <v>415.63161818181817</v>
      </c>
      <c r="H1113">
        <v>197.02480000000014</v>
      </c>
      <c r="I1113" t="s">
        <v>38</v>
      </c>
      <c r="J1113">
        <f t="shared" si="107"/>
        <v>4.3435802469135831</v>
      </c>
      <c r="K1113">
        <v>5280.51</v>
      </c>
    </row>
    <row r="1114" spans="1:11" x14ac:dyDescent="0.35">
      <c r="A1114" s="1">
        <v>39326</v>
      </c>
      <c r="B1114" t="s">
        <v>13</v>
      </c>
      <c r="C1114" t="s">
        <v>38</v>
      </c>
      <c r="D1114">
        <v>3824</v>
      </c>
      <c r="E1114">
        <v>14060</v>
      </c>
      <c r="F1114">
        <f t="shared" si="108"/>
        <v>3.6767782426778242</v>
      </c>
      <c r="G1114">
        <f t="shared" si="106"/>
        <v>166.77866108786611</v>
      </c>
      <c r="H1114">
        <v>220.9501333333335</v>
      </c>
      <c r="I1114" t="s">
        <v>38</v>
      </c>
      <c r="J1114">
        <f t="shared" si="107"/>
        <v>4.8710346854791338</v>
      </c>
      <c r="K1114">
        <v>5280.51</v>
      </c>
    </row>
    <row r="1115" spans="1:11" x14ac:dyDescent="0.35">
      <c r="A1115" s="1">
        <v>39356</v>
      </c>
      <c r="B1115" t="s">
        <v>13</v>
      </c>
      <c r="C1115" t="s">
        <v>38</v>
      </c>
      <c r="D1115">
        <v>3063</v>
      </c>
      <c r="E1115">
        <v>24404</v>
      </c>
      <c r="F1115">
        <f t="shared" si="108"/>
        <v>7.9673522690173035</v>
      </c>
      <c r="G1115">
        <f t="shared" si="106"/>
        <v>361.39909892262489</v>
      </c>
      <c r="H1115">
        <v>211.99800000000016</v>
      </c>
      <c r="I1115" t="s">
        <v>38</v>
      </c>
      <c r="J1115">
        <f t="shared" si="107"/>
        <v>4.6736772486772526</v>
      </c>
      <c r="K1115">
        <v>5280.51</v>
      </c>
    </row>
    <row r="1116" spans="1:11" x14ac:dyDescent="0.35">
      <c r="A1116" s="1">
        <v>39387</v>
      </c>
      <c r="B1116" t="s">
        <v>13</v>
      </c>
      <c r="C1116" t="s">
        <v>38</v>
      </c>
      <c r="D1116">
        <v>3003</v>
      </c>
      <c r="E1116">
        <v>21385</v>
      </c>
      <c r="F1116">
        <f t="shared" si="108"/>
        <v>7.1212121212121211</v>
      </c>
      <c r="G1116">
        <f t="shared" si="106"/>
        <v>323.0181818181818</v>
      </c>
      <c r="H1116">
        <v>472.10666666666702</v>
      </c>
      <c r="I1116" t="s">
        <v>38</v>
      </c>
      <c r="J1116">
        <f t="shared" si="107"/>
        <v>10.407995296884193</v>
      </c>
      <c r="K1116">
        <v>5280.51</v>
      </c>
    </row>
    <row r="1117" spans="1:11" x14ac:dyDescent="0.35">
      <c r="A1117" s="1">
        <v>39417</v>
      </c>
      <c r="B1117" t="s">
        <v>13</v>
      </c>
      <c r="C1117" t="s">
        <v>38</v>
      </c>
      <c r="D1117">
        <v>3330</v>
      </c>
      <c r="E1117">
        <v>22575</v>
      </c>
      <c r="F1117">
        <f t="shared" si="108"/>
        <v>6.7792792792792795</v>
      </c>
      <c r="G1117">
        <f>F1117*45.36</f>
        <v>307.5081081081081</v>
      </c>
      <c r="H1117">
        <v>473.10666666666702</v>
      </c>
      <c r="I1117" t="s">
        <v>38</v>
      </c>
      <c r="J1117">
        <f t="shared" si="107"/>
        <v>10.430041152263383</v>
      </c>
      <c r="K1117">
        <v>5280.51</v>
      </c>
    </row>
    <row r="1118" spans="1:11" x14ac:dyDescent="0.35">
      <c r="A1118" s="1">
        <v>39083</v>
      </c>
      <c r="B1118" t="s">
        <v>14</v>
      </c>
      <c r="C1118" t="s">
        <v>40</v>
      </c>
      <c r="D1118">
        <v>36381</v>
      </c>
      <c r="E1118">
        <v>27069</v>
      </c>
      <c r="F1118">
        <f t="shared" si="108"/>
        <v>0.74404221984002639</v>
      </c>
      <c r="G1118">
        <f>F1118*562.34</f>
        <v>418.40470190484046</v>
      </c>
      <c r="H1118">
        <v>5708.25</v>
      </c>
      <c r="I1118" t="s">
        <v>40</v>
      </c>
      <c r="J1118">
        <f>(H1118/1000)/0.56234</f>
        <v>10.150887363516734</v>
      </c>
      <c r="K1118">
        <v>10097.26</v>
      </c>
    </row>
    <row r="1119" spans="1:11" x14ac:dyDescent="0.35">
      <c r="A1119" s="1">
        <v>39114</v>
      </c>
      <c r="B1119" t="s">
        <v>14</v>
      </c>
      <c r="C1119" t="s">
        <v>40</v>
      </c>
      <c r="D1119">
        <v>22831</v>
      </c>
      <c r="E1119">
        <v>16243</v>
      </c>
      <c r="F1119">
        <f t="shared" si="108"/>
        <v>0.71144496517892342</v>
      </c>
      <c r="G1119">
        <f t="shared" ref="G1119:G1129" si="109">F1119*562.34</f>
        <v>400.07396171871579</v>
      </c>
      <c r="H1119">
        <v>6462.0825000000004</v>
      </c>
      <c r="I1119" t="s">
        <v>40</v>
      </c>
      <c r="J1119">
        <f t="shared" ref="J1119:J1129" si="110">(H1119/1000)/0.56234</f>
        <v>11.491415335917774</v>
      </c>
      <c r="K1119">
        <v>10097.26</v>
      </c>
    </row>
    <row r="1120" spans="1:11" x14ac:dyDescent="0.35">
      <c r="A1120" s="1">
        <v>39142</v>
      </c>
      <c r="B1120" t="s">
        <v>14</v>
      </c>
      <c r="C1120" t="s">
        <v>40</v>
      </c>
      <c r="D1120">
        <v>7341</v>
      </c>
      <c r="E1120">
        <v>4501</v>
      </c>
      <c r="F1120">
        <f t="shared" si="108"/>
        <v>0.61313172592289877</v>
      </c>
      <c r="G1120">
        <f t="shared" si="109"/>
        <v>344.78849475548293</v>
      </c>
      <c r="H1120">
        <v>7484.375</v>
      </c>
      <c r="I1120" t="s">
        <v>40</v>
      </c>
      <c r="J1120">
        <f t="shared" si="110"/>
        <v>13.309341323754314</v>
      </c>
      <c r="K1120">
        <v>10097.26</v>
      </c>
    </row>
    <row r="1121" spans="1:11" x14ac:dyDescent="0.35">
      <c r="A1121" s="1">
        <v>39173</v>
      </c>
      <c r="B1121" t="s">
        <v>14</v>
      </c>
      <c r="C1121" t="s">
        <v>40</v>
      </c>
      <c r="D1121">
        <v>1707</v>
      </c>
      <c r="E1121">
        <v>797</v>
      </c>
      <c r="F1121">
        <f t="shared" si="108"/>
        <v>0.46690099589923845</v>
      </c>
      <c r="G1121">
        <f t="shared" si="109"/>
        <v>262.55710603397779</v>
      </c>
      <c r="H1121">
        <v>7671.67</v>
      </c>
      <c r="I1121" t="s">
        <v>40</v>
      </c>
      <c r="J1121">
        <f t="shared" si="110"/>
        <v>13.642404950741545</v>
      </c>
      <c r="K1121">
        <v>10097.26</v>
      </c>
    </row>
    <row r="1122" spans="1:11" x14ac:dyDescent="0.35">
      <c r="A1122" s="1">
        <v>39203</v>
      </c>
      <c r="B1122" t="s">
        <v>14</v>
      </c>
      <c r="C1122" t="s">
        <v>40</v>
      </c>
      <c r="D1122">
        <v>547</v>
      </c>
      <c r="E1122">
        <v>332</v>
      </c>
      <c r="F1122">
        <f t="shared" si="108"/>
        <v>0.60694698354661791</v>
      </c>
      <c r="G1122">
        <f t="shared" si="109"/>
        <v>341.31056672760513</v>
      </c>
      <c r="H1122">
        <v>7416.5</v>
      </c>
      <c r="I1122" t="s">
        <v>40</v>
      </c>
      <c r="J1122">
        <f t="shared" si="110"/>
        <v>13.18864032435893</v>
      </c>
      <c r="K1122">
        <v>10097.26</v>
      </c>
    </row>
    <row r="1123" spans="1:11" x14ac:dyDescent="0.35">
      <c r="A1123" s="1">
        <v>39234</v>
      </c>
      <c r="B1123" t="s">
        <v>14</v>
      </c>
      <c r="C1123" t="s">
        <v>40</v>
      </c>
      <c r="D1123">
        <v>1201</v>
      </c>
      <c r="E1123">
        <v>152</v>
      </c>
      <c r="F1123">
        <f t="shared" si="108"/>
        <v>0.12656119900083265</v>
      </c>
      <c r="G1123">
        <f t="shared" si="109"/>
        <v>71.170424646128239</v>
      </c>
      <c r="H1123">
        <v>4016.6666666666665</v>
      </c>
      <c r="I1123" t="s">
        <v>40</v>
      </c>
      <c r="J1123">
        <f t="shared" si="110"/>
        <v>7.1427724626856826</v>
      </c>
      <c r="K1123">
        <v>10097.26</v>
      </c>
    </row>
    <row r="1124" spans="1:11" x14ac:dyDescent="0.35">
      <c r="A1124" s="1">
        <v>39264</v>
      </c>
      <c r="B1124" t="s">
        <v>14</v>
      </c>
      <c r="C1124" t="s">
        <v>40</v>
      </c>
      <c r="D1124">
        <v>5532</v>
      </c>
      <c r="E1124">
        <v>1247</v>
      </c>
      <c r="F1124">
        <f t="shared" si="108"/>
        <v>0.22541576283441794</v>
      </c>
      <c r="G1124">
        <f t="shared" si="109"/>
        <v>126.76030007230659</v>
      </c>
      <c r="H1124">
        <v>5315.625</v>
      </c>
      <c r="I1124" t="s">
        <v>40</v>
      </c>
      <c r="J1124">
        <f t="shared" si="110"/>
        <v>9.4526887648042113</v>
      </c>
      <c r="K1124">
        <v>10097.26</v>
      </c>
    </row>
    <row r="1125" spans="1:11" x14ac:dyDescent="0.35">
      <c r="A1125" s="1">
        <v>39295</v>
      </c>
      <c r="B1125" t="s">
        <v>14</v>
      </c>
      <c r="C1125" t="s">
        <v>40</v>
      </c>
      <c r="D1125">
        <v>27965</v>
      </c>
      <c r="E1125">
        <v>36027</v>
      </c>
      <c r="F1125">
        <f t="shared" si="108"/>
        <v>1.2882889325943143</v>
      </c>
      <c r="G1125">
        <f t="shared" si="109"/>
        <v>724.45639835508678</v>
      </c>
      <c r="H1125">
        <v>3571.75</v>
      </c>
      <c r="I1125" t="s">
        <v>40</v>
      </c>
      <c r="J1125">
        <f t="shared" si="110"/>
        <v>6.3515844506881969</v>
      </c>
      <c r="K1125">
        <v>10097.26</v>
      </c>
    </row>
    <row r="1126" spans="1:11" x14ac:dyDescent="0.35">
      <c r="A1126" s="1">
        <v>39326</v>
      </c>
      <c r="B1126" t="s">
        <v>14</v>
      </c>
      <c r="C1126" t="s">
        <v>40</v>
      </c>
      <c r="D1126">
        <v>58262</v>
      </c>
      <c r="E1126">
        <v>110243</v>
      </c>
      <c r="F1126">
        <f t="shared" si="108"/>
        <v>1.8921938828052589</v>
      </c>
      <c r="G1126">
        <f t="shared" si="109"/>
        <v>1064.0563080567094</v>
      </c>
      <c r="H1126">
        <v>3843.7857142857142</v>
      </c>
      <c r="I1126" t="s">
        <v>40</v>
      </c>
      <c r="J1126">
        <f t="shared" si="110"/>
        <v>6.8353411001986597</v>
      </c>
      <c r="K1126">
        <v>10097.26</v>
      </c>
    </row>
    <row r="1127" spans="1:11" x14ac:dyDescent="0.35">
      <c r="A1127" s="1">
        <v>39356</v>
      </c>
      <c r="B1127" t="s">
        <v>14</v>
      </c>
      <c r="C1127" t="s">
        <v>40</v>
      </c>
      <c r="D1127">
        <v>61716</v>
      </c>
      <c r="E1127">
        <v>98380</v>
      </c>
      <c r="F1127">
        <f t="shared" si="108"/>
        <v>1.5940760904789681</v>
      </c>
      <c r="G1127">
        <f t="shared" si="109"/>
        <v>896.41274871994301</v>
      </c>
      <c r="H1127">
        <v>3774.16</v>
      </c>
      <c r="I1127" t="s">
        <v>40</v>
      </c>
      <c r="J1127">
        <f t="shared" si="110"/>
        <v>6.7115268342995344</v>
      </c>
      <c r="K1127">
        <v>10097.26</v>
      </c>
    </row>
    <row r="1128" spans="1:11" x14ac:dyDescent="0.35">
      <c r="A1128" s="1">
        <v>39387</v>
      </c>
      <c r="B1128" t="s">
        <v>14</v>
      </c>
      <c r="C1128" t="s">
        <v>40</v>
      </c>
      <c r="D1128">
        <v>58059</v>
      </c>
      <c r="E1128">
        <v>64984</v>
      </c>
      <c r="F1128">
        <f t="shared" si="108"/>
        <v>1.1192752200347922</v>
      </c>
      <c r="G1128">
        <f t="shared" si="109"/>
        <v>629.41322723436508</v>
      </c>
      <c r="H1128">
        <v>5225.3928571428569</v>
      </c>
      <c r="I1128" t="s">
        <v>40</v>
      </c>
      <c r="J1128">
        <f t="shared" si="110"/>
        <v>9.2922304249081638</v>
      </c>
      <c r="K1128">
        <v>10097.26</v>
      </c>
    </row>
    <row r="1129" spans="1:11" x14ac:dyDescent="0.35">
      <c r="A1129" s="1">
        <v>39417</v>
      </c>
      <c r="B1129" t="s">
        <v>14</v>
      </c>
      <c r="C1129" t="s">
        <v>40</v>
      </c>
      <c r="D1129">
        <v>50775</v>
      </c>
      <c r="E1129">
        <v>44499</v>
      </c>
      <c r="F1129">
        <f t="shared" si="108"/>
        <v>0.87639586410635151</v>
      </c>
      <c r="G1129">
        <f t="shared" si="109"/>
        <v>492.83245022156575</v>
      </c>
      <c r="H1129">
        <v>6762.9</v>
      </c>
      <c r="I1129" t="s">
        <v>40</v>
      </c>
      <c r="J1129">
        <f t="shared" si="110"/>
        <v>12.026354162961908</v>
      </c>
      <c r="K1129">
        <v>10097.26</v>
      </c>
    </row>
    <row r="1130" spans="1:11" x14ac:dyDescent="0.35">
      <c r="A1130" s="1">
        <v>39083</v>
      </c>
      <c r="B1130" t="s">
        <v>15</v>
      </c>
      <c r="C1130" t="s">
        <v>41</v>
      </c>
      <c r="D1130">
        <v>312015</v>
      </c>
      <c r="E1130">
        <v>1842678</v>
      </c>
      <c r="F1130">
        <f t="shared" si="108"/>
        <v>5.9057353011874429</v>
      </c>
      <c r="G1130">
        <f>F1130*27.21</f>
        <v>160.69505754531033</v>
      </c>
      <c r="H1130">
        <v>68.175714285714292</v>
      </c>
      <c r="I1130" t="s">
        <v>58</v>
      </c>
      <c r="J1130">
        <f>H1130/27.21</f>
        <v>2.5055389300152258</v>
      </c>
      <c r="K1130">
        <f>3506.36+4797</f>
        <v>8303.36</v>
      </c>
    </row>
    <row r="1131" spans="1:11" x14ac:dyDescent="0.35">
      <c r="A1131" s="1">
        <v>39114</v>
      </c>
      <c r="B1131" t="s">
        <v>15</v>
      </c>
      <c r="C1131" t="s">
        <v>41</v>
      </c>
      <c r="D1131">
        <v>311172</v>
      </c>
      <c r="E1131">
        <v>1656375</v>
      </c>
      <c r="F1131">
        <f t="shared" si="108"/>
        <v>5.3230207088041341</v>
      </c>
      <c r="G1131">
        <f t="shared" ref="G1131:G1141" si="111">F1131*27.21</f>
        <v>144.83939348656048</v>
      </c>
      <c r="H1131">
        <v>67.562857142857141</v>
      </c>
      <c r="I1131" t="s">
        <v>58</v>
      </c>
      <c r="J1131">
        <f t="shared" ref="J1131:J1141" si="112">H1131/27.21</f>
        <v>2.4830156980101852</v>
      </c>
      <c r="K1131">
        <f t="shared" ref="K1131:K1141" si="113">3506.36+4797</f>
        <v>8303.36</v>
      </c>
    </row>
    <row r="1132" spans="1:11" x14ac:dyDescent="0.35">
      <c r="A1132" s="1">
        <v>39142</v>
      </c>
      <c r="B1132" t="s">
        <v>15</v>
      </c>
      <c r="C1132" t="s">
        <v>41</v>
      </c>
      <c r="D1132">
        <v>308758</v>
      </c>
      <c r="E1132">
        <v>1732070</v>
      </c>
      <c r="F1132">
        <f t="shared" si="108"/>
        <v>5.6097979647490916</v>
      </c>
      <c r="G1132">
        <f t="shared" si="111"/>
        <v>152.6426026208228</v>
      </c>
      <c r="H1132">
        <v>83.227499999999992</v>
      </c>
      <c r="I1132" t="s">
        <v>58</v>
      </c>
      <c r="J1132">
        <f t="shared" si="112"/>
        <v>3.0587100330760744</v>
      </c>
      <c r="K1132">
        <f t="shared" si="113"/>
        <v>8303.36</v>
      </c>
    </row>
    <row r="1133" spans="1:11" x14ac:dyDescent="0.35">
      <c r="A1133" s="1">
        <v>39173</v>
      </c>
      <c r="B1133" t="s">
        <v>15</v>
      </c>
      <c r="C1133" t="s">
        <v>41</v>
      </c>
      <c r="D1133">
        <v>312419</v>
      </c>
      <c r="E1133">
        <v>1751527</v>
      </c>
      <c r="F1133">
        <f t="shared" si="108"/>
        <v>5.6063395632147852</v>
      </c>
      <c r="G1133">
        <f t="shared" si="111"/>
        <v>152.5484995150743</v>
      </c>
      <c r="H1133">
        <v>68.975999999999999</v>
      </c>
      <c r="I1133" t="s">
        <v>58</v>
      </c>
      <c r="J1133">
        <f t="shared" si="112"/>
        <v>2.5349503858875413</v>
      </c>
      <c r="K1133">
        <f t="shared" si="113"/>
        <v>8303.36</v>
      </c>
    </row>
    <row r="1134" spans="1:11" x14ac:dyDescent="0.35">
      <c r="A1134" s="1">
        <v>39203</v>
      </c>
      <c r="B1134" t="s">
        <v>15</v>
      </c>
      <c r="C1134" t="s">
        <v>41</v>
      </c>
      <c r="D1134">
        <v>281651</v>
      </c>
      <c r="E1134">
        <v>1652881</v>
      </c>
      <c r="F1134">
        <f t="shared" si="108"/>
        <v>5.8685429840476333</v>
      </c>
      <c r="G1134">
        <f t="shared" si="111"/>
        <v>159.68305459593611</v>
      </c>
      <c r="H1134">
        <v>66.034999999999997</v>
      </c>
      <c r="I1134" t="s">
        <v>58</v>
      </c>
      <c r="J1134">
        <f t="shared" si="112"/>
        <v>2.4268651231165013</v>
      </c>
      <c r="K1134">
        <f t="shared" si="113"/>
        <v>8303.36</v>
      </c>
    </row>
    <row r="1135" spans="1:11" x14ac:dyDescent="0.35">
      <c r="A1135" s="1">
        <v>39234</v>
      </c>
      <c r="B1135" t="s">
        <v>15</v>
      </c>
      <c r="C1135" t="s">
        <v>41</v>
      </c>
      <c r="D1135">
        <v>310045</v>
      </c>
      <c r="E1135">
        <v>1749681</v>
      </c>
      <c r="F1135">
        <f t="shared" si="108"/>
        <v>5.6433130674579495</v>
      </c>
      <c r="G1135">
        <f t="shared" si="111"/>
        <v>153.55454856553081</v>
      </c>
      <c r="H1135">
        <v>70.486666666666665</v>
      </c>
      <c r="I1135" t="s">
        <v>58</v>
      </c>
      <c r="J1135">
        <f t="shared" si="112"/>
        <v>2.5904691902486827</v>
      </c>
      <c r="K1135">
        <f t="shared" si="113"/>
        <v>8303.36</v>
      </c>
    </row>
    <row r="1136" spans="1:11" x14ac:dyDescent="0.35">
      <c r="A1136" s="1">
        <v>39264</v>
      </c>
      <c r="B1136" t="s">
        <v>15</v>
      </c>
      <c r="C1136" t="s">
        <v>41</v>
      </c>
      <c r="D1136">
        <v>309732</v>
      </c>
      <c r="E1136">
        <v>1651320</v>
      </c>
      <c r="F1136">
        <f t="shared" si="108"/>
        <v>5.3314478323195535</v>
      </c>
      <c r="G1136">
        <f t="shared" si="111"/>
        <v>145.06869551741505</v>
      </c>
      <c r="H1136">
        <v>66.528333333333336</v>
      </c>
      <c r="I1136" t="s">
        <v>58</v>
      </c>
      <c r="J1136">
        <f t="shared" si="112"/>
        <v>2.4449957123606518</v>
      </c>
      <c r="K1136">
        <f t="shared" si="113"/>
        <v>8303.36</v>
      </c>
    </row>
    <row r="1137" spans="1:11" x14ac:dyDescent="0.35">
      <c r="A1137" s="1">
        <v>39295</v>
      </c>
      <c r="B1137" t="s">
        <v>15</v>
      </c>
      <c r="C1137" t="s">
        <v>41</v>
      </c>
      <c r="D1137">
        <v>312752</v>
      </c>
      <c r="E1137">
        <v>2061238</v>
      </c>
      <c r="F1137">
        <f t="shared" si="108"/>
        <v>6.590646902337955</v>
      </c>
      <c r="G1137">
        <f t="shared" si="111"/>
        <v>179.33150221261576</v>
      </c>
      <c r="H1137">
        <v>73.666666666666671</v>
      </c>
      <c r="I1137" t="s">
        <v>58</v>
      </c>
      <c r="J1137">
        <f t="shared" si="112"/>
        <v>2.707337988484626</v>
      </c>
      <c r="K1137">
        <f t="shared" si="113"/>
        <v>8303.36</v>
      </c>
    </row>
    <row r="1138" spans="1:11" x14ac:dyDescent="0.35">
      <c r="A1138" s="1">
        <v>39326</v>
      </c>
      <c r="B1138" t="s">
        <v>15</v>
      </c>
      <c r="C1138" t="s">
        <v>41</v>
      </c>
      <c r="D1138">
        <v>320185</v>
      </c>
      <c r="E1138">
        <v>1791044</v>
      </c>
      <c r="F1138">
        <f t="shared" si="108"/>
        <v>5.5937785967487548</v>
      </c>
      <c r="G1138">
        <f t="shared" si="111"/>
        <v>152.20671561753363</v>
      </c>
      <c r="H1138">
        <v>75.884999999999991</v>
      </c>
      <c r="I1138" t="s">
        <v>58</v>
      </c>
      <c r="J1138">
        <f t="shared" si="112"/>
        <v>2.7888643880926125</v>
      </c>
      <c r="K1138">
        <f t="shared" si="113"/>
        <v>8303.36</v>
      </c>
    </row>
    <row r="1139" spans="1:11" x14ac:dyDescent="0.35">
      <c r="A1139" s="1">
        <v>39356</v>
      </c>
      <c r="B1139" t="s">
        <v>15</v>
      </c>
      <c r="C1139" t="s">
        <v>41</v>
      </c>
      <c r="D1139">
        <v>335640</v>
      </c>
      <c r="E1139">
        <v>2088188</v>
      </c>
      <c r="F1139">
        <f t="shared" si="108"/>
        <v>6.2215111428911927</v>
      </c>
      <c r="G1139">
        <f t="shared" si="111"/>
        <v>169.28731819806936</v>
      </c>
      <c r="H1139">
        <v>72.762857142857143</v>
      </c>
      <c r="I1139" t="s">
        <v>58</v>
      </c>
      <c r="J1139">
        <f t="shared" si="112"/>
        <v>2.6741219089620412</v>
      </c>
      <c r="K1139">
        <f t="shared" si="113"/>
        <v>8303.36</v>
      </c>
    </row>
    <row r="1140" spans="1:11" x14ac:dyDescent="0.35">
      <c r="A1140" s="1">
        <v>39387</v>
      </c>
      <c r="B1140" t="s">
        <v>15</v>
      </c>
      <c r="C1140" t="s">
        <v>41</v>
      </c>
      <c r="D1140">
        <v>314311</v>
      </c>
      <c r="E1140">
        <v>1663394</v>
      </c>
      <c r="F1140">
        <f t="shared" si="108"/>
        <v>5.292191491866336</v>
      </c>
      <c r="G1140">
        <f t="shared" si="111"/>
        <v>144.00053049368302</v>
      </c>
      <c r="H1140">
        <v>80.239999999999995</v>
      </c>
      <c r="I1140" t="s">
        <v>58</v>
      </c>
      <c r="J1140">
        <f t="shared" si="112"/>
        <v>2.9489158397647919</v>
      </c>
      <c r="K1140">
        <f t="shared" si="113"/>
        <v>8303.36</v>
      </c>
    </row>
    <row r="1141" spans="1:11" x14ac:dyDescent="0.35">
      <c r="A1141" s="1">
        <v>39417</v>
      </c>
      <c r="B1141" t="s">
        <v>15</v>
      </c>
      <c r="C1141" t="s">
        <v>41</v>
      </c>
      <c r="D1141">
        <v>292710</v>
      </c>
      <c r="E1141">
        <v>1519316</v>
      </c>
      <c r="F1141">
        <f t="shared" si="108"/>
        <v>5.190516210583854</v>
      </c>
      <c r="G1141">
        <f t="shared" si="111"/>
        <v>141.23394608998666</v>
      </c>
      <c r="H1141">
        <v>109.55999999999999</v>
      </c>
      <c r="I1141" t="s">
        <v>58</v>
      </c>
      <c r="J1141">
        <f t="shared" si="112"/>
        <v>4.0264608599779486</v>
      </c>
      <c r="K1141">
        <f t="shared" si="113"/>
        <v>8303.36</v>
      </c>
    </row>
    <row r="1142" spans="1:11" x14ac:dyDescent="0.35">
      <c r="A1142" s="1">
        <v>39083</v>
      </c>
      <c r="B1142" t="s">
        <v>18</v>
      </c>
      <c r="C1142" t="s">
        <v>56</v>
      </c>
      <c r="D1142">
        <v>743353</v>
      </c>
      <c r="E1142">
        <v>135689</v>
      </c>
      <c r="F1142">
        <f t="shared" si="108"/>
        <v>0.18253642616630322</v>
      </c>
      <c r="G1142">
        <f>F1142*408.15</f>
        <v>74.502242339776657</v>
      </c>
      <c r="H1142">
        <v>2993.1416666666664</v>
      </c>
      <c r="I1142" t="s">
        <v>40</v>
      </c>
      <c r="J1142">
        <f>(H1142/1000)/0.40815</f>
        <v>7.3334354199844816</v>
      </c>
      <c r="K1142">
        <f>3306.23+7861.66</f>
        <v>11167.89</v>
      </c>
    </row>
    <row r="1143" spans="1:11" x14ac:dyDescent="0.35">
      <c r="A1143" s="1">
        <v>39114</v>
      </c>
      <c r="B1143" t="s">
        <v>18</v>
      </c>
      <c r="C1143" t="s">
        <v>56</v>
      </c>
      <c r="D1143">
        <v>779855</v>
      </c>
      <c r="E1143">
        <v>149654</v>
      </c>
      <c r="F1143">
        <f t="shared" si="108"/>
        <v>0.19189977624045496</v>
      </c>
      <c r="G1143">
        <f t="shared" ref="G1143:G1153" si="114">F1143*408.15</f>
        <v>78.323893672541686</v>
      </c>
      <c r="H1143">
        <v>3283.3728571428574</v>
      </c>
      <c r="I1143" t="s">
        <v>40</v>
      </c>
      <c r="J1143">
        <f t="shared" ref="J1143:J1153" si="115">(H1143/1000)/0.40815</f>
        <v>8.0445249470607809</v>
      </c>
      <c r="K1143">
        <f t="shared" ref="K1143:K1153" si="116">3306.23+7861.66</f>
        <v>11167.89</v>
      </c>
    </row>
    <row r="1144" spans="1:11" x14ac:dyDescent="0.35">
      <c r="A1144" s="1">
        <v>39142</v>
      </c>
      <c r="B1144" t="s">
        <v>18</v>
      </c>
      <c r="C1144" t="s">
        <v>56</v>
      </c>
      <c r="D1144">
        <v>776731</v>
      </c>
      <c r="E1144">
        <v>135114</v>
      </c>
      <c r="F1144">
        <f t="shared" si="108"/>
        <v>0.17395211469607882</v>
      </c>
      <c r="G1144">
        <f t="shared" si="114"/>
        <v>70.998555613204573</v>
      </c>
      <c r="H1144">
        <v>2745.0137500000001</v>
      </c>
      <c r="I1144" t="s">
        <v>40</v>
      </c>
      <c r="J1144">
        <f t="shared" si="115"/>
        <v>6.7255022663236552</v>
      </c>
      <c r="K1144">
        <f t="shared" si="116"/>
        <v>11167.89</v>
      </c>
    </row>
    <row r="1145" spans="1:11" x14ac:dyDescent="0.35">
      <c r="A1145" s="1">
        <v>39173</v>
      </c>
      <c r="B1145" t="s">
        <v>18</v>
      </c>
      <c r="C1145" t="s">
        <v>56</v>
      </c>
      <c r="D1145">
        <v>794247</v>
      </c>
      <c r="E1145">
        <v>185237</v>
      </c>
      <c r="F1145">
        <f t="shared" si="108"/>
        <v>0.23322341790400217</v>
      </c>
      <c r="G1145">
        <f t="shared" si="114"/>
        <v>95.190138017518478</v>
      </c>
      <c r="H1145">
        <v>2442.4260000000004</v>
      </c>
      <c r="I1145" t="s">
        <v>40</v>
      </c>
      <c r="J1145">
        <f t="shared" si="115"/>
        <v>5.9841381844909964</v>
      </c>
      <c r="K1145">
        <f t="shared" si="116"/>
        <v>11167.89</v>
      </c>
    </row>
    <row r="1146" spans="1:11" x14ac:dyDescent="0.35">
      <c r="A1146" s="1">
        <v>39203</v>
      </c>
      <c r="B1146" t="s">
        <v>18</v>
      </c>
      <c r="C1146" t="s">
        <v>56</v>
      </c>
      <c r="D1146">
        <v>794261</v>
      </c>
      <c r="E1146">
        <v>170302</v>
      </c>
      <c r="F1146">
        <f t="shared" si="108"/>
        <v>0.21441566437229073</v>
      </c>
      <c r="G1146">
        <f t="shared" si="114"/>
        <v>87.513753413550461</v>
      </c>
      <c r="H1146">
        <v>2406.3849999999998</v>
      </c>
      <c r="I1146" t="s">
        <v>40</v>
      </c>
      <c r="J1146">
        <f t="shared" si="115"/>
        <v>5.8958348646331</v>
      </c>
      <c r="K1146">
        <f t="shared" si="116"/>
        <v>11167.89</v>
      </c>
    </row>
    <row r="1147" spans="1:11" x14ac:dyDescent="0.35">
      <c r="A1147" s="1">
        <v>39234</v>
      </c>
      <c r="B1147" t="s">
        <v>18</v>
      </c>
      <c r="C1147" t="s">
        <v>56</v>
      </c>
      <c r="D1147">
        <v>792540</v>
      </c>
      <c r="E1147">
        <v>175213</v>
      </c>
      <c r="F1147">
        <f t="shared" si="108"/>
        <v>0.22107780048956518</v>
      </c>
      <c r="G1147">
        <f t="shared" si="114"/>
        <v>90.232904269816032</v>
      </c>
      <c r="H1147">
        <v>2111.5933333333332</v>
      </c>
      <c r="I1147" t="s">
        <v>40</v>
      </c>
      <c r="J1147">
        <f t="shared" si="115"/>
        <v>5.1735718077504185</v>
      </c>
      <c r="K1147">
        <f t="shared" si="116"/>
        <v>11167.89</v>
      </c>
    </row>
    <row r="1148" spans="1:11" x14ac:dyDescent="0.35">
      <c r="A1148" s="1">
        <v>39264</v>
      </c>
      <c r="B1148" t="s">
        <v>18</v>
      </c>
      <c r="C1148" t="s">
        <v>56</v>
      </c>
      <c r="D1148">
        <v>787251</v>
      </c>
      <c r="E1148">
        <v>181121</v>
      </c>
      <c r="F1148">
        <f t="shared" si="108"/>
        <v>0.23006766583973853</v>
      </c>
      <c r="G1148">
        <f t="shared" si="114"/>
        <v>93.90211781248928</v>
      </c>
      <c r="H1148">
        <v>2124.3883333333333</v>
      </c>
      <c r="I1148" t="s">
        <v>40</v>
      </c>
      <c r="J1148">
        <f t="shared" si="115"/>
        <v>5.2049205765854047</v>
      </c>
      <c r="K1148">
        <f t="shared" si="116"/>
        <v>11167.89</v>
      </c>
    </row>
    <row r="1149" spans="1:11" x14ac:dyDescent="0.35">
      <c r="A1149" s="1">
        <v>39295</v>
      </c>
      <c r="B1149" t="s">
        <v>18</v>
      </c>
      <c r="C1149" t="s">
        <v>56</v>
      </c>
      <c r="D1149">
        <v>777106</v>
      </c>
      <c r="E1149">
        <v>196171</v>
      </c>
      <c r="F1149">
        <f t="shared" si="108"/>
        <v>0.2524378913558768</v>
      </c>
      <c r="G1149">
        <f t="shared" si="114"/>
        <v>103.0325253569011</v>
      </c>
      <c r="H1149">
        <v>2402.0555555555557</v>
      </c>
      <c r="I1149" t="s">
        <v>40</v>
      </c>
      <c r="J1149">
        <f t="shared" si="115"/>
        <v>5.8852273810009939</v>
      </c>
      <c r="K1149">
        <f t="shared" si="116"/>
        <v>11167.89</v>
      </c>
    </row>
    <row r="1150" spans="1:11" x14ac:dyDescent="0.35">
      <c r="A1150" s="1">
        <v>39326</v>
      </c>
      <c r="B1150" t="s">
        <v>18</v>
      </c>
      <c r="C1150" t="s">
        <v>56</v>
      </c>
      <c r="D1150">
        <v>677779</v>
      </c>
      <c r="E1150">
        <v>199437</v>
      </c>
      <c r="F1150">
        <f t="shared" si="108"/>
        <v>0.29425078085924761</v>
      </c>
      <c r="G1150">
        <f t="shared" si="114"/>
        <v>120.0984562077019</v>
      </c>
      <c r="H1150">
        <v>2908.96875</v>
      </c>
      <c r="I1150" t="s">
        <v>40</v>
      </c>
      <c r="J1150">
        <f t="shared" si="115"/>
        <v>7.1272050716648288</v>
      </c>
      <c r="K1150">
        <f t="shared" si="116"/>
        <v>11167.89</v>
      </c>
    </row>
    <row r="1151" spans="1:11" x14ac:dyDescent="0.35">
      <c r="A1151" s="1">
        <v>39356</v>
      </c>
      <c r="B1151" t="s">
        <v>18</v>
      </c>
      <c r="C1151" t="s">
        <v>56</v>
      </c>
      <c r="D1151">
        <v>787962</v>
      </c>
      <c r="E1151">
        <v>165083</v>
      </c>
      <c r="F1151">
        <f t="shared" si="108"/>
        <v>0.20950629598889287</v>
      </c>
      <c r="G1151">
        <f t="shared" si="114"/>
        <v>85.509994707866625</v>
      </c>
      <c r="H1151">
        <v>2721.3571428571427</v>
      </c>
      <c r="I1151" t="s">
        <v>40</v>
      </c>
      <c r="J1151">
        <f t="shared" si="115"/>
        <v>6.6675416951050908</v>
      </c>
      <c r="K1151">
        <f t="shared" si="116"/>
        <v>11167.89</v>
      </c>
    </row>
    <row r="1152" spans="1:11" x14ac:dyDescent="0.35">
      <c r="A1152" s="1">
        <v>39387</v>
      </c>
      <c r="B1152" t="s">
        <v>18</v>
      </c>
      <c r="C1152" t="s">
        <v>56</v>
      </c>
      <c r="D1152">
        <v>639016</v>
      </c>
      <c r="E1152">
        <v>108231</v>
      </c>
      <c r="F1152">
        <f t="shared" si="108"/>
        <v>0.16937134594438949</v>
      </c>
      <c r="G1152">
        <f t="shared" si="114"/>
        <v>69.128914847202566</v>
      </c>
      <c r="H1152">
        <v>3591.375</v>
      </c>
      <c r="I1152" t="s">
        <v>40</v>
      </c>
      <c r="J1152">
        <f t="shared" si="115"/>
        <v>8.799154722528483</v>
      </c>
      <c r="K1152">
        <f t="shared" si="116"/>
        <v>11167.89</v>
      </c>
    </row>
    <row r="1153" spans="1:11" x14ac:dyDescent="0.35">
      <c r="A1153" s="1">
        <v>39417</v>
      </c>
      <c r="B1153" t="s">
        <v>18</v>
      </c>
      <c r="C1153" t="s">
        <v>56</v>
      </c>
      <c r="D1153">
        <v>583764</v>
      </c>
      <c r="E1153">
        <v>84357</v>
      </c>
      <c r="F1153">
        <f t="shared" si="108"/>
        <v>0.14450531379118958</v>
      </c>
      <c r="G1153">
        <f t="shared" si="114"/>
        <v>58.979843823874027</v>
      </c>
      <c r="H1153">
        <v>4499.0714285714284</v>
      </c>
      <c r="I1153" t="s">
        <v>40</v>
      </c>
      <c r="J1153">
        <f t="shared" si="115"/>
        <v>11.023083250205632</v>
      </c>
      <c r="K1153">
        <f t="shared" si="116"/>
        <v>11167.89</v>
      </c>
    </row>
    <row r="1154" spans="1:11" x14ac:dyDescent="0.35">
      <c r="A1154" s="1">
        <v>39448</v>
      </c>
      <c r="B1154" t="s">
        <v>2</v>
      </c>
      <c r="C1154" t="s">
        <v>38</v>
      </c>
      <c r="D1154">
        <v>47655</v>
      </c>
      <c r="E1154">
        <v>145489</v>
      </c>
      <c r="F1154">
        <f t="shared" si="108"/>
        <v>3.0529640121708113</v>
      </c>
      <c r="G1154">
        <f>F1154*45.36</f>
        <v>138.48244759206798</v>
      </c>
      <c r="H1154">
        <v>1161.5</v>
      </c>
      <c r="I1154" t="s">
        <v>59</v>
      </c>
      <c r="J1154">
        <f>H1154/110</f>
        <v>10.559090909090909</v>
      </c>
      <c r="K1154" s="3">
        <v>6402.1671715265966</v>
      </c>
    </row>
    <row r="1155" spans="1:11" x14ac:dyDescent="0.35">
      <c r="A1155" s="1">
        <v>39479</v>
      </c>
      <c r="B1155" t="s">
        <v>2</v>
      </c>
      <c r="C1155" t="s">
        <v>38</v>
      </c>
      <c r="D1155">
        <v>16988</v>
      </c>
      <c r="E1155">
        <v>44861</v>
      </c>
      <c r="F1155">
        <f t="shared" si="108"/>
        <v>2.6407464092300446</v>
      </c>
      <c r="G1155">
        <f t="shared" ref="G1155:G1218" si="117">F1155*45.36</f>
        <v>119.78425712267482</v>
      </c>
      <c r="H1155">
        <v>1132.25</v>
      </c>
      <c r="I1155" t="s">
        <v>59</v>
      </c>
      <c r="J1155">
        <f t="shared" ref="J1155:J1165" si="118">H1155/110</f>
        <v>10.293181818181818</v>
      </c>
      <c r="K1155" s="3">
        <v>6402.1671715265966</v>
      </c>
    </row>
    <row r="1156" spans="1:11" x14ac:dyDescent="0.35">
      <c r="A1156" s="1">
        <v>39508</v>
      </c>
      <c r="B1156" t="s">
        <v>2</v>
      </c>
      <c r="C1156" t="s">
        <v>38</v>
      </c>
      <c r="D1156">
        <v>5770</v>
      </c>
      <c r="E1156">
        <v>28134</v>
      </c>
      <c r="F1156">
        <f t="shared" si="108"/>
        <v>4.8759098786828421</v>
      </c>
      <c r="G1156">
        <f t="shared" si="117"/>
        <v>221.1712720970537</v>
      </c>
      <c r="H1156">
        <v>1102</v>
      </c>
      <c r="I1156" t="s">
        <v>59</v>
      </c>
      <c r="J1156">
        <f t="shared" si="118"/>
        <v>10.018181818181818</v>
      </c>
      <c r="K1156" s="3">
        <v>6402.1671715265966</v>
      </c>
    </row>
    <row r="1157" spans="1:11" x14ac:dyDescent="0.35">
      <c r="A1157" s="1">
        <v>39539</v>
      </c>
      <c r="B1157" t="s">
        <v>2</v>
      </c>
      <c r="C1157" t="s">
        <v>38</v>
      </c>
      <c r="D1157">
        <v>193612</v>
      </c>
      <c r="E1157">
        <v>1054130</v>
      </c>
      <c r="F1157">
        <f t="shared" si="108"/>
        <v>5.4445488915976279</v>
      </c>
      <c r="G1157">
        <f t="shared" si="117"/>
        <v>246.96473772286839</v>
      </c>
      <c r="H1157">
        <v>1160.7103999999999</v>
      </c>
      <c r="I1157" t="s">
        <v>59</v>
      </c>
      <c r="J1157">
        <f t="shared" si="118"/>
        <v>10.551912727272727</v>
      </c>
      <c r="K1157" s="3">
        <v>6402.1671715265966</v>
      </c>
    </row>
    <row r="1158" spans="1:11" x14ac:dyDescent="0.35">
      <c r="A1158" s="1">
        <v>39569</v>
      </c>
      <c r="B1158" t="s">
        <v>2</v>
      </c>
      <c r="C1158" t="s">
        <v>38</v>
      </c>
      <c r="D1158">
        <v>438526</v>
      </c>
      <c r="E1158">
        <v>2169959</v>
      </c>
      <c r="F1158">
        <f t="shared" si="108"/>
        <v>4.9483018110670747</v>
      </c>
      <c r="G1158">
        <f t="shared" si="117"/>
        <v>224.45497015000251</v>
      </c>
      <c r="H1158">
        <v>1120</v>
      </c>
      <c r="I1158" t="s">
        <v>59</v>
      </c>
      <c r="J1158">
        <f t="shared" si="118"/>
        <v>10.181818181818182</v>
      </c>
      <c r="K1158" s="3">
        <v>6402.1671715265966</v>
      </c>
    </row>
    <row r="1159" spans="1:11" x14ac:dyDescent="0.35">
      <c r="A1159" s="1">
        <v>39600</v>
      </c>
      <c r="B1159" t="s">
        <v>2</v>
      </c>
      <c r="C1159" t="s">
        <v>38</v>
      </c>
      <c r="D1159">
        <v>324591</v>
      </c>
      <c r="E1159">
        <v>1747622</v>
      </c>
      <c r="F1159">
        <f t="shared" ref="F1159:F1222" si="119">E1159/D1159</f>
        <v>5.3840741117282978</v>
      </c>
      <c r="G1159">
        <f t="shared" si="117"/>
        <v>244.22160170799557</v>
      </c>
      <c r="H1159">
        <v>1170.0840000000001</v>
      </c>
      <c r="I1159" t="s">
        <v>59</v>
      </c>
      <c r="J1159">
        <f t="shared" si="118"/>
        <v>10.637127272727273</v>
      </c>
      <c r="K1159" s="3">
        <v>6402.1671715265966</v>
      </c>
    </row>
    <row r="1160" spans="1:11" x14ac:dyDescent="0.35">
      <c r="A1160" s="1">
        <v>39630</v>
      </c>
      <c r="B1160" t="s">
        <v>2</v>
      </c>
      <c r="C1160" t="s">
        <v>38</v>
      </c>
      <c r="D1160">
        <v>204471</v>
      </c>
      <c r="E1160">
        <v>1159887</v>
      </c>
      <c r="F1160">
        <f t="shared" si="119"/>
        <v>5.6726235016212572</v>
      </c>
      <c r="G1160">
        <f t="shared" si="117"/>
        <v>257.31020203354024</v>
      </c>
      <c r="H1160">
        <v>1273.05376</v>
      </c>
      <c r="I1160" t="s">
        <v>59</v>
      </c>
      <c r="J1160">
        <f t="shared" si="118"/>
        <v>11.573216</v>
      </c>
      <c r="K1160" s="3">
        <v>6402.1671715265966</v>
      </c>
    </row>
    <row r="1161" spans="1:11" x14ac:dyDescent="0.35">
      <c r="A1161" s="1">
        <v>39661</v>
      </c>
      <c r="B1161" t="s">
        <v>2</v>
      </c>
      <c r="C1161" t="s">
        <v>38</v>
      </c>
      <c r="D1161">
        <v>84496</v>
      </c>
      <c r="E1161">
        <v>362797</v>
      </c>
      <c r="F1161">
        <f t="shared" si="119"/>
        <v>4.2936588714258663</v>
      </c>
      <c r="G1161">
        <f t="shared" si="117"/>
        <v>194.76036640787729</v>
      </c>
      <c r="H1161">
        <v>1317.0288</v>
      </c>
      <c r="I1161" t="s">
        <v>59</v>
      </c>
      <c r="J1161">
        <f t="shared" si="118"/>
        <v>11.972989090909092</v>
      </c>
      <c r="K1161" s="3">
        <v>6402.1671715265966</v>
      </c>
    </row>
    <row r="1162" spans="1:11" x14ac:dyDescent="0.35">
      <c r="A1162" s="1">
        <v>39692</v>
      </c>
      <c r="B1162" t="s">
        <v>2</v>
      </c>
      <c r="C1162" t="s">
        <v>38</v>
      </c>
      <c r="D1162">
        <v>153957</v>
      </c>
      <c r="E1162">
        <v>550703</v>
      </c>
      <c r="F1162">
        <f t="shared" si="119"/>
        <v>3.5769922770643752</v>
      </c>
      <c r="G1162">
        <f t="shared" si="117"/>
        <v>162.25236968764005</v>
      </c>
      <c r="H1162">
        <v>1406.56</v>
      </c>
      <c r="I1162" t="s">
        <v>59</v>
      </c>
      <c r="J1162">
        <f t="shared" si="118"/>
        <v>12.78690909090909</v>
      </c>
      <c r="K1162" s="3">
        <v>6402.1671715265966</v>
      </c>
    </row>
    <row r="1163" spans="1:11" x14ac:dyDescent="0.35">
      <c r="A1163" s="1">
        <v>39722</v>
      </c>
      <c r="B1163" t="s">
        <v>2</v>
      </c>
      <c r="C1163" t="s">
        <v>38</v>
      </c>
      <c r="D1163">
        <v>532684</v>
      </c>
      <c r="E1163">
        <v>1990772</v>
      </c>
      <c r="F1163">
        <f t="shared" si="119"/>
        <v>3.7372475989517238</v>
      </c>
      <c r="G1163">
        <f t="shared" si="117"/>
        <v>169.5215510884502</v>
      </c>
      <c r="H1163">
        <v>1368.8262399999999</v>
      </c>
      <c r="I1163" t="s">
        <v>59</v>
      </c>
      <c r="J1163">
        <f t="shared" si="118"/>
        <v>12.443874909090908</v>
      </c>
      <c r="K1163" s="3">
        <v>6402.1671715265966</v>
      </c>
    </row>
    <row r="1164" spans="1:11" x14ac:dyDescent="0.35">
      <c r="A1164" s="1">
        <v>39753</v>
      </c>
      <c r="B1164" t="s">
        <v>2</v>
      </c>
      <c r="C1164" t="s">
        <v>38</v>
      </c>
      <c r="D1164">
        <v>478083</v>
      </c>
      <c r="E1164">
        <v>1594435</v>
      </c>
      <c r="F1164">
        <f t="shared" si="119"/>
        <v>3.3350589751151998</v>
      </c>
      <c r="G1164">
        <f t="shared" si="117"/>
        <v>151.27827511122547</v>
      </c>
      <c r="H1164">
        <v>1366.8340000000001</v>
      </c>
      <c r="I1164" t="s">
        <v>59</v>
      </c>
      <c r="J1164">
        <f t="shared" si="118"/>
        <v>12.425763636363637</v>
      </c>
      <c r="K1164" s="3">
        <v>6402.1671715265966</v>
      </c>
    </row>
    <row r="1165" spans="1:11" x14ac:dyDescent="0.35">
      <c r="A1165" s="1">
        <v>39783</v>
      </c>
      <c r="B1165" t="s">
        <v>2</v>
      </c>
      <c r="C1165" t="s">
        <v>38</v>
      </c>
      <c r="D1165">
        <v>83640</v>
      </c>
      <c r="E1165">
        <v>307201</v>
      </c>
      <c r="F1165">
        <f t="shared" si="119"/>
        <v>3.6728957436633189</v>
      </c>
      <c r="G1165">
        <f t="shared" si="117"/>
        <v>166.60255093256814</v>
      </c>
      <c r="H1165">
        <v>1350.5</v>
      </c>
      <c r="I1165" t="s">
        <v>59</v>
      </c>
      <c r="J1165">
        <f t="shared" si="118"/>
        <v>12.277272727272727</v>
      </c>
      <c r="K1165" s="3">
        <v>6402.1671715265966</v>
      </c>
    </row>
    <row r="1166" spans="1:11" x14ac:dyDescent="0.35">
      <c r="A1166" s="1">
        <v>39448</v>
      </c>
      <c r="B1166" t="s">
        <v>5</v>
      </c>
      <c r="C1166" t="s">
        <v>38</v>
      </c>
      <c r="D1166">
        <v>31802</v>
      </c>
      <c r="E1166">
        <v>42577</v>
      </c>
      <c r="F1166">
        <f t="shared" si="119"/>
        <v>1.3388151688573047</v>
      </c>
      <c r="G1166">
        <f t="shared" si="117"/>
        <v>60.728656059367339</v>
      </c>
      <c r="H1166">
        <v>495.90037142857142</v>
      </c>
      <c r="I1166" t="s">
        <v>38</v>
      </c>
      <c r="J1166">
        <f>H1166/45.36</f>
        <v>10.932547871000251</v>
      </c>
      <c r="K1166" s="3">
        <v>1490.9040199825201</v>
      </c>
    </row>
    <row r="1167" spans="1:11" x14ac:dyDescent="0.35">
      <c r="A1167" s="1">
        <v>39479</v>
      </c>
      <c r="B1167" t="s">
        <v>5</v>
      </c>
      <c r="C1167" t="s">
        <v>38</v>
      </c>
      <c r="D1167">
        <v>17597</v>
      </c>
      <c r="E1167">
        <v>29949</v>
      </c>
      <c r="F1167">
        <f t="shared" si="119"/>
        <v>1.701937830311985</v>
      </c>
      <c r="G1167">
        <f t="shared" si="117"/>
        <v>77.199899982951635</v>
      </c>
      <c r="H1167">
        <v>498.54111428571429</v>
      </c>
      <c r="I1167" t="s">
        <v>38</v>
      </c>
      <c r="J1167">
        <f t="shared" ref="J1167:J1230" si="120">H1167/45.36</f>
        <v>10.99076530612245</v>
      </c>
      <c r="K1167" s="3">
        <v>1490.9040199825201</v>
      </c>
    </row>
    <row r="1168" spans="1:11" x14ac:dyDescent="0.35">
      <c r="A1168" s="1">
        <v>39508</v>
      </c>
      <c r="B1168" t="s">
        <v>5</v>
      </c>
      <c r="C1168" t="s">
        <v>38</v>
      </c>
      <c r="D1168">
        <v>15880</v>
      </c>
      <c r="E1168">
        <v>37608</v>
      </c>
      <c r="F1168">
        <f t="shared" si="119"/>
        <v>2.3682619647355163</v>
      </c>
      <c r="G1168">
        <f t="shared" si="117"/>
        <v>107.42436272040302</v>
      </c>
      <c r="H1168">
        <v>400.03028342857141</v>
      </c>
      <c r="I1168" t="s">
        <v>38</v>
      </c>
      <c r="J1168">
        <f t="shared" si="120"/>
        <v>8.8190097757621562</v>
      </c>
      <c r="K1168" s="3">
        <v>1490.9040199825201</v>
      </c>
    </row>
    <row r="1169" spans="1:11" x14ac:dyDescent="0.35">
      <c r="A1169" s="1">
        <v>39539</v>
      </c>
      <c r="B1169" t="s">
        <v>5</v>
      </c>
      <c r="C1169" t="s">
        <v>38</v>
      </c>
      <c r="D1169">
        <v>21177</v>
      </c>
      <c r="E1169">
        <v>43706</v>
      </c>
      <c r="F1169">
        <f t="shared" si="119"/>
        <v>2.063842848373235</v>
      </c>
      <c r="G1169">
        <f t="shared" si="117"/>
        <v>93.615911602209934</v>
      </c>
      <c r="H1169">
        <v>591.62400000000002</v>
      </c>
      <c r="I1169" t="s">
        <v>38</v>
      </c>
      <c r="J1169">
        <f t="shared" si="120"/>
        <v>13.042857142857143</v>
      </c>
      <c r="K1169" s="3">
        <v>1490.9040199825201</v>
      </c>
    </row>
    <row r="1170" spans="1:11" x14ac:dyDescent="0.35">
      <c r="A1170" s="1">
        <v>39569</v>
      </c>
      <c r="B1170" t="s">
        <v>5</v>
      </c>
      <c r="C1170" t="s">
        <v>38</v>
      </c>
      <c r="D1170">
        <v>16685</v>
      </c>
      <c r="E1170">
        <v>32648</v>
      </c>
      <c r="F1170">
        <f t="shared" si="119"/>
        <v>1.9567275996403957</v>
      </c>
      <c r="G1170">
        <f t="shared" si="117"/>
        <v>88.757163919688352</v>
      </c>
      <c r="H1170">
        <v>812.84666666666669</v>
      </c>
      <c r="I1170" t="s">
        <v>38</v>
      </c>
      <c r="J1170">
        <f t="shared" si="120"/>
        <v>17.919900058788947</v>
      </c>
      <c r="K1170" s="3">
        <v>1490.9040199825201</v>
      </c>
    </row>
    <row r="1171" spans="1:11" x14ac:dyDescent="0.35">
      <c r="A1171" s="1">
        <v>39600</v>
      </c>
      <c r="B1171" t="s">
        <v>5</v>
      </c>
      <c r="C1171" t="s">
        <v>38</v>
      </c>
      <c r="D1171">
        <v>15505</v>
      </c>
      <c r="E1171">
        <v>29055</v>
      </c>
      <c r="F1171">
        <f t="shared" si="119"/>
        <v>1.873911641405998</v>
      </c>
      <c r="G1171">
        <f t="shared" si="117"/>
        <v>85.000632054176066</v>
      </c>
      <c r="H1171">
        <v>925.25400000000013</v>
      </c>
      <c r="I1171" t="s">
        <v>38</v>
      </c>
      <c r="J1171">
        <f t="shared" si="120"/>
        <v>20.398015873015876</v>
      </c>
      <c r="K1171" s="3">
        <v>1490.9040199825201</v>
      </c>
    </row>
    <row r="1172" spans="1:11" x14ac:dyDescent="0.35">
      <c r="A1172" s="1">
        <v>39630</v>
      </c>
      <c r="B1172" t="s">
        <v>5</v>
      </c>
      <c r="C1172" t="s">
        <v>38</v>
      </c>
      <c r="D1172">
        <v>20816</v>
      </c>
      <c r="E1172">
        <v>62877</v>
      </c>
      <c r="F1172">
        <f t="shared" si="119"/>
        <v>3.0206091468101461</v>
      </c>
      <c r="G1172">
        <f t="shared" si="117"/>
        <v>137.01483089930824</v>
      </c>
      <c r="H1172">
        <v>880.96999999999991</v>
      </c>
      <c r="I1172" t="s">
        <v>38</v>
      </c>
      <c r="J1172">
        <f t="shared" si="120"/>
        <v>19.42173721340388</v>
      </c>
      <c r="K1172" s="3">
        <v>1490.9040199825201</v>
      </c>
    </row>
    <row r="1173" spans="1:11" x14ac:dyDescent="0.35">
      <c r="A1173" s="1">
        <v>39661</v>
      </c>
      <c r="B1173" t="s">
        <v>5</v>
      </c>
      <c r="C1173" t="s">
        <v>38</v>
      </c>
      <c r="D1173">
        <v>42049</v>
      </c>
      <c r="E1173">
        <v>80507</v>
      </c>
      <c r="F1173">
        <f t="shared" si="119"/>
        <v>1.9145996337606126</v>
      </c>
      <c r="G1173">
        <f t="shared" si="117"/>
        <v>86.846239387381388</v>
      </c>
      <c r="H1173">
        <v>836.58199999999999</v>
      </c>
      <c r="I1173" t="s">
        <v>38</v>
      </c>
      <c r="J1173">
        <f t="shared" si="120"/>
        <v>18.443165784832452</v>
      </c>
      <c r="K1173" s="3">
        <v>1490.9040199825201</v>
      </c>
    </row>
    <row r="1174" spans="1:11" x14ac:dyDescent="0.35">
      <c r="A1174" s="1">
        <v>39692</v>
      </c>
      <c r="B1174" t="s">
        <v>5</v>
      </c>
      <c r="C1174" t="s">
        <v>38</v>
      </c>
      <c r="D1174">
        <v>40595</v>
      </c>
      <c r="E1174">
        <v>76546</v>
      </c>
      <c r="F1174">
        <f t="shared" si="119"/>
        <v>1.8856016750831384</v>
      </c>
      <c r="G1174">
        <f t="shared" si="117"/>
        <v>85.530891981771148</v>
      </c>
      <c r="H1174">
        <v>598.16071428571422</v>
      </c>
      <c r="I1174" t="s">
        <v>38</v>
      </c>
      <c r="J1174">
        <f t="shared" si="120"/>
        <v>13.186964600655076</v>
      </c>
      <c r="K1174" s="3">
        <v>1490.9040199825201</v>
      </c>
    </row>
    <row r="1175" spans="1:11" x14ac:dyDescent="0.35">
      <c r="A1175" s="1">
        <v>39722</v>
      </c>
      <c r="B1175" t="s">
        <v>5</v>
      </c>
      <c r="C1175" t="s">
        <v>38</v>
      </c>
      <c r="D1175">
        <v>34978</v>
      </c>
      <c r="E1175">
        <v>88930</v>
      </c>
      <c r="F1175">
        <f t="shared" si="119"/>
        <v>2.5424552575904853</v>
      </c>
      <c r="G1175">
        <f t="shared" si="117"/>
        <v>115.32577048430441</v>
      </c>
      <c r="H1175">
        <v>589.56050000000005</v>
      </c>
      <c r="I1175" t="s">
        <v>38</v>
      </c>
      <c r="J1175">
        <f t="shared" si="120"/>
        <v>12.997365520282187</v>
      </c>
      <c r="K1175" s="3">
        <v>1490.9040199825201</v>
      </c>
    </row>
    <row r="1176" spans="1:11" x14ac:dyDescent="0.35">
      <c r="A1176" s="1">
        <v>39753</v>
      </c>
      <c r="B1176" t="s">
        <v>5</v>
      </c>
      <c r="C1176" t="s">
        <v>38</v>
      </c>
      <c r="D1176">
        <v>21750</v>
      </c>
      <c r="E1176">
        <v>44997</v>
      </c>
      <c r="F1176">
        <f t="shared" si="119"/>
        <v>2.0688275862068966</v>
      </c>
      <c r="G1176">
        <f t="shared" si="117"/>
        <v>93.842019310344824</v>
      </c>
      <c r="H1176">
        <v>594.99</v>
      </c>
      <c r="I1176" t="s">
        <v>38</v>
      </c>
      <c r="J1176">
        <f t="shared" si="120"/>
        <v>13.117063492063492</v>
      </c>
      <c r="K1176" s="3">
        <v>1490.9040199825201</v>
      </c>
    </row>
    <row r="1177" spans="1:11" x14ac:dyDescent="0.35">
      <c r="A1177" s="1">
        <v>39783</v>
      </c>
      <c r="B1177" t="s">
        <v>5</v>
      </c>
      <c r="C1177" t="s">
        <v>38</v>
      </c>
      <c r="D1177">
        <v>22467</v>
      </c>
      <c r="E1177">
        <v>37670</v>
      </c>
      <c r="F1177">
        <f t="shared" si="119"/>
        <v>1.6766813548760404</v>
      </c>
      <c r="G1177">
        <f t="shared" si="117"/>
        <v>76.05426625717719</v>
      </c>
      <c r="H1177">
        <v>575.04</v>
      </c>
      <c r="I1177" t="s">
        <v>38</v>
      </c>
      <c r="J1177">
        <f t="shared" si="120"/>
        <v>12.677248677248677</v>
      </c>
      <c r="K1177" s="3">
        <v>1490.9040199825201</v>
      </c>
    </row>
    <row r="1178" spans="1:11" x14ac:dyDescent="0.35">
      <c r="A1178" s="1">
        <v>39448</v>
      </c>
      <c r="B1178" t="s">
        <v>7</v>
      </c>
      <c r="C1178" t="s">
        <v>38</v>
      </c>
      <c r="D1178">
        <v>3507</v>
      </c>
      <c r="E1178">
        <v>26961</v>
      </c>
      <c r="F1178">
        <f t="shared" si="119"/>
        <v>7.6877673224978613</v>
      </c>
      <c r="G1178">
        <f t="shared" si="117"/>
        <v>348.71712574850301</v>
      </c>
      <c r="H1178">
        <v>586.54999999999995</v>
      </c>
      <c r="I1178" t="s">
        <v>38</v>
      </c>
      <c r="J1178">
        <f t="shared" si="120"/>
        <v>12.930996472663139</v>
      </c>
      <c r="K1178" s="3">
        <v>3935.0401959000001</v>
      </c>
    </row>
    <row r="1179" spans="1:11" x14ac:dyDescent="0.35">
      <c r="A1179" s="1">
        <v>39479</v>
      </c>
      <c r="B1179" t="s">
        <v>7</v>
      </c>
      <c r="C1179" t="s">
        <v>38</v>
      </c>
      <c r="D1179">
        <v>4016</v>
      </c>
      <c r="E1179">
        <v>35581</v>
      </c>
      <c r="F1179">
        <f t="shared" si="119"/>
        <v>8.8598107569721112</v>
      </c>
      <c r="G1179">
        <f t="shared" si="117"/>
        <v>401.88101593625498</v>
      </c>
      <c r="H1179">
        <v>771.9766666666668</v>
      </c>
      <c r="I1179" t="s">
        <v>38</v>
      </c>
      <c r="J1179">
        <f t="shared" si="120"/>
        <v>17.018885949441508</v>
      </c>
      <c r="K1179" s="3">
        <v>3935.0401959000001</v>
      </c>
    </row>
    <row r="1180" spans="1:11" x14ac:dyDescent="0.35">
      <c r="A1180" s="1">
        <v>39508</v>
      </c>
      <c r="B1180" t="s">
        <v>7</v>
      </c>
      <c r="C1180" t="s">
        <v>38</v>
      </c>
      <c r="D1180">
        <v>6627</v>
      </c>
      <c r="E1180">
        <v>57711</v>
      </c>
      <c r="F1180">
        <f t="shared" si="119"/>
        <v>8.7084653689452249</v>
      </c>
      <c r="G1180">
        <f t="shared" si="117"/>
        <v>395.01598913535543</v>
      </c>
      <c r="H1180">
        <v>989</v>
      </c>
      <c r="I1180" t="s">
        <v>38</v>
      </c>
      <c r="J1180">
        <f t="shared" si="120"/>
        <v>21.803350970017636</v>
      </c>
      <c r="K1180" s="3">
        <v>3935.0401959000001</v>
      </c>
    </row>
    <row r="1181" spans="1:11" x14ac:dyDescent="0.35">
      <c r="A1181" s="1">
        <v>39539</v>
      </c>
      <c r="B1181" t="s">
        <v>7</v>
      </c>
      <c r="C1181" t="s">
        <v>38</v>
      </c>
      <c r="D1181">
        <v>8413</v>
      </c>
      <c r="E1181">
        <v>59768</v>
      </c>
      <c r="F1181">
        <f t="shared" si="119"/>
        <v>7.1042434327825985</v>
      </c>
      <c r="G1181">
        <f t="shared" si="117"/>
        <v>322.24848211101869</v>
      </c>
      <c r="H1181">
        <v>833.55499999999995</v>
      </c>
      <c r="I1181" t="s">
        <v>38</v>
      </c>
      <c r="J1181">
        <f t="shared" si="120"/>
        <v>18.376432980599645</v>
      </c>
      <c r="K1181" s="3">
        <v>3935.0401959000001</v>
      </c>
    </row>
    <row r="1182" spans="1:11" x14ac:dyDescent="0.35">
      <c r="A1182" s="1">
        <v>39569</v>
      </c>
      <c r="B1182" t="s">
        <v>7</v>
      </c>
      <c r="C1182" t="s">
        <v>38</v>
      </c>
      <c r="D1182">
        <v>6905</v>
      </c>
      <c r="E1182">
        <v>76423</v>
      </c>
      <c r="F1182">
        <f t="shared" si="119"/>
        <v>11.06777697320782</v>
      </c>
      <c r="G1182">
        <f t="shared" si="117"/>
        <v>502.03436350470673</v>
      </c>
      <c r="H1182">
        <v>664.24</v>
      </c>
      <c r="I1182" t="s">
        <v>38</v>
      </c>
      <c r="J1182">
        <f t="shared" si="120"/>
        <v>14.64373897707231</v>
      </c>
      <c r="K1182" s="3">
        <v>3935.0401959000001</v>
      </c>
    </row>
    <row r="1183" spans="1:11" x14ac:dyDescent="0.35">
      <c r="A1183" s="1">
        <v>39600</v>
      </c>
      <c r="B1183" t="s">
        <v>7</v>
      </c>
      <c r="C1183" t="s">
        <v>38</v>
      </c>
      <c r="D1183">
        <v>7541</v>
      </c>
      <c r="E1183">
        <v>81450</v>
      </c>
      <c r="F1183">
        <f t="shared" si="119"/>
        <v>10.800954780533086</v>
      </c>
      <c r="G1183">
        <f t="shared" si="117"/>
        <v>489.93130884498078</v>
      </c>
      <c r="H1183">
        <v>358.54061750000005</v>
      </c>
      <c r="I1183" t="s">
        <v>38</v>
      </c>
      <c r="J1183">
        <f t="shared" si="120"/>
        <v>7.9043346009700191</v>
      </c>
      <c r="K1183" s="3">
        <v>3935.0401959000001</v>
      </c>
    </row>
    <row r="1184" spans="1:11" x14ac:dyDescent="0.35">
      <c r="A1184" s="1">
        <v>39630</v>
      </c>
      <c r="B1184" t="s">
        <v>7</v>
      </c>
      <c r="C1184" t="s">
        <v>38</v>
      </c>
      <c r="D1184">
        <v>6022</v>
      </c>
      <c r="E1184">
        <v>56692</v>
      </c>
      <c r="F1184">
        <f t="shared" si="119"/>
        <v>9.4141481235469939</v>
      </c>
      <c r="G1184">
        <f t="shared" si="117"/>
        <v>427.02575888409166</v>
      </c>
      <c r="H1184">
        <v>393.33867300000003</v>
      </c>
      <c r="I1184" t="s">
        <v>38</v>
      </c>
      <c r="J1184">
        <f t="shared" si="120"/>
        <v>8.6714875000000013</v>
      </c>
      <c r="K1184" s="3">
        <v>3935.0401959000001</v>
      </c>
    </row>
    <row r="1185" spans="1:11" x14ac:dyDescent="0.35">
      <c r="A1185" s="1">
        <v>39661</v>
      </c>
      <c r="B1185" t="s">
        <v>7</v>
      </c>
      <c r="C1185" t="s">
        <v>38</v>
      </c>
      <c r="D1185">
        <v>7918</v>
      </c>
      <c r="E1185">
        <v>88589</v>
      </c>
      <c r="F1185">
        <f t="shared" si="119"/>
        <v>11.188305127557465</v>
      </c>
      <c r="G1185">
        <f t="shared" si="117"/>
        <v>507.50152058600662</v>
      </c>
      <c r="H1185">
        <v>298.90250000000003</v>
      </c>
      <c r="I1185" t="s">
        <v>38</v>
      </c>
      <c r="J1185">
        <f t="shared" si="120"/>
        <v>6.589561287477955</v>
      </c>
      <c r="K1185" s="3">
        <v>3935.0401959000001</v>
      </c>
    </row>
    <row r="1186" spans="1:11" x14ac:dyDescent="0.35">
      <c r="A1186" s="1">
        <v>39692</v>
      </c>
      <c r="B1186" t="s">
        <v>7</v>
      </c>
      <c r="C1186" t="s">
        <v>38</v>
      </c>
      <c r="D1186">
        <v>7672</v>
      </c>
      <c r="E1186">
        <v>81165</v>
      </c>
      <c r="F1186">
        <f t="shared" si="119"/>
        <v>10.579379562043796</v>
      </c>
      <c r="G1186">
        <f t="shared" si="117"/>
        <v>479.88065693430656</v>
      </c>
      <c r="H1186">
        <v>277.96491666666668</v>
      </c>
      <c r="I1186" t="s">
        <v>38</v>
      </c>
      <c r="J1186">
        <f t="shared" si="120"/>
        <v>6.1279743533215756</v>
      </c>
      <c r="K1186" s="3">
        <v>3935.0401959000001</v>
      </c>
    </row>
    <row r="1187" spans="1:11" x14ac:dyDescent="0.35">
      <c r="A1187" s="1">
        <v>39722</v>
      </c>
      <c r="B1187" t="s">
        <v>7</v>
      </c>
      <c r="C1187" t="s">
        <v>38</v>
      </c>
      <c r="D1187">
        <v>9197</v>
      </c>
      <c r="E1187">
        <v>100572</v>
      </c>
      <c r="F1187">
        <f t="shared" si="119"/>
        <v>10.935304990757857</v>
      </c>
      <c r="G1187">
        <f t="shared" si="117"/>
        <v>496.02543438077635</v>
      </c>
      <c r="H1187">
        <v>267.46199999999999</v>
      </c>
      <c r="I1187" t="s">
        <v>38</v>
      </c>
      <c r="J1187">
        <f t="shared" si="120"/>
        <v>5.8964285714285714</v>
      </c>
      <c r="K1187" s="3">
        <v>3935.0401959000001</v>
      </c>
    </row>
    <row r="1188" spans="1:11" x14ac:dyDescent="0.35">
      <c r="A1188" s="1">
        <v>39753</v>
      </c>
      <c r="B1188" t="s">
        <v>7</v>
      </c>
      <c r="C1188" t="s">
        <v>38</v>
      </c>
      <c r="D1188">
        <v>8999</v>
      </c>
      <c r="E1188">
        <v>78093</v>
      </c>
      <c r="F1188">
        <f t="shared" si="119"/>
        <v>8.6779642182464727</v>
      </c>
      <c r="G1188">
        <f t="shared" si="117"/>
        <v>393.63245693966002</v>
      </c>
      <c r="H1188">
        <v>209.30799999999999</v>
      </c>
      <c r="I1188" t="s">
        <v>38</v>
      </c>
      <c r="J1188">
        <f t="shared" si="120"/>
        <v>4.6143738977072308</v>
      </c>
      <c r="K1188" s="3">
        <v>3935.0401959000001</v>
      </c>
    </row>
    <row r="1189" spans="1:11" x14ac:dyDescent="0.35">
      <c r="A1189" s="1">
        <v>39783</v>
      </c>
      <c r="B1189" t="s">
        <v>7</v>
      </c>
      <c r="C1189" t="s">
        <v>38</v>
      </c>
      <c r="D1189">
        <v>8838</v>
      </c>
      <c r="E1189">
        <v>100581</v>
      </c>
      <c r="F1189">
        <f t="shared" si="119"/>
        <v>11.38051595383571</v>
      </c>
      <c r="G1189">
        <f t="shared" si="117"/>
        <v>516.22020366598781</v>
      </c>
      <c r="H1189">
        <v>211.78678400000001</v>
      </c>
      <c r="I1189" t="s">
        <v>38</v>
      </c>
      <c r="J1189">
        <f t="shared" si="120"/>
        <v>4.6690208112874787</v>
      </c>
      <c r="K1189" s="3">
        <v>3935.0401959000001</v>
      </c>
    </row>
    <row r="1190" spans="1:11" x14ac:dyDescent="0.35">
      <c r="A1190" s="1">
        <v>39448</v>
      </c>
      <c r="B1190" t="s">
        <v>8</v>
      </c>
      <c r="C1190" t="s">
        <v>38</v>
      </c>
      <c r="D1190">
        <v>6343</v>
      </c>
      <c r="E1190">
        <v>60598</v>
      </c>
      <c r="F1190">
        <f t="shared" si="119"/>
        <v>9.5535235692889806</v>
      </c>
      <c r="G1190">
        <f t="shared" si="117"/>
        <v>433.34782910294814</v>
      </c>
      <c r="H1190">
        <v>934.01333333333332</v>
      </c>
      <c r="I1190" t="s">
        <v>38</v>
      </c>
      <c r="J1190">
        <f t="shared" si="120"/>
        <v>20.591122868900648</v>
      </c>
      <c r="K1190">
        <v>6901.0735717535999</v>
      </c>
    </row>
    <row r="1191" spans="1:11" x14ac:dyDescent="0.35">
      <c r="A1191" s="1">
        <v>39479</v>
      </c>
      <c r="B1191" t="s">
        <v>8</v>
      </c>
      <c r="C1191" t="s">
        <v>38</v>
      </c>
      <c r="D1191">
        <v>9040</v>
      </c>
      <c r="E1191">
        <v>88296</v>
      </c>
      <c r="F1191">
        <f t="shared" si="119"/>
        <v>9.767256637168142</v>
      </c>
      <c r="G1191">
        <f t="shared" si="117"/>
        <v>443.04276106194692</v>
      </c>
      <c r="H1191">
        <v>907.9</v>
      </c>
      <c r="I1191" t="s">
        <v>38</v>
      </c>
      <c r="J1191">
        <f t="shared" si="120"/>
        <v>20.01543209876543</v>
      </c>
      <c r="K1191">
        <v>6901.0735717535999</v>
      </c>
    </row>
    <row r="1192" spans="1:11" x14ac:dyDescent="0.35">
      <c r="A1192" s="1">
        <v>39508</v>
      </c>
      <c r="B1192" t="s">
        <v>8</v>
      </c>
      <c r="C1192" t="s">
        <v>38</v>
      </c>
      <c r="D1192">
        <v>11955</v>
      </c>
      <c r="E1192">
        <v>115159</v>
      </c>
      <c r="F1192">
        <f t="shared" si="119"/>
        <v>9.6327059807611874</v>
      </c>
      <c r="G1192">
        <f t="shared" si="117"/>
        <v>436.93954328732747</v>
      </c>
      <c r="H1192">
        <v>986.21249999999998</v>
      </c>
      <c r="I1192" t="s">
        <v>38</v>
      </c>
      <c r="J1192">
        <f t="shared" si="120"/>
        <v>21.741898148148149</v>
      </c>
      <c r="K1192">
        <v>6901.0735717535999</v>
      </c>
    </row>
    <row r="1193" spans="1:11" x14ac:dyDescent="0.35">
      <c r="A1193" s="1">
        <v>39539</v>
      </c>
      <c r="B1193" t="s">
        <v>8</v>
      </c>
      <c r="C1193" t="s">
        <v>38</v>
      </c>
      <c r="D1193">
        <v>6511</v>
      </c>
      <c r="E1193">
        <v>64446</v>
      </c>
      <c r="F1193">
        <f t="shared" si="119"/>
        <v>9.8980187375211184</v>
      </c>
      <c r="G1193">
        <f t="shared" si="117"/>
        <v>448.9741299339579</v>
      </c>
      <c r="H1193">
        <v>972.4</v>
      </c>
      <c r="I1193" t="s">
        <v>38</v>
      </c>
      <c r="J1193">
        <f t="shared" si="120"/>
        <v>21.437389770723104</v>
      </c>
      <c r="K1193">
        <v>6901.0735717535999</v>
      </c>
    </row>
    <row r="1194" spans="1:11" x14ac:dyDescent="0.35">
      <c r="A1194" s="1">
        <v>39569</v>
      </c>
      <c r="B1194" t="s">
        <v>8</v>
      </c>
      <c r="C1194" t="s">
        <v>38</v>
      </c>
      <c r="D1194">
        <v>4947</v>
      </c>
      <c r="E1194">
        <v>48128</v>
      </c>
      <c r="F1194">
        <f t="shared" si="119"/>
        <v>9.7287244794825138</v>
      </c>
      <c r="G1194">
        <f t="shared" si="117"/>
        <v>441.29494238932682</v>
      </c>
      <c r="H1194">
        <v>890.5</v>
      </c>
      <c r="I1194" t="s">
        <v>38</v>
      </c>
      <c r="J1194">
        <f t="shared" si="120"/>
        <v>19.631834215167547</v>
      </c>
      <c r="K1194">
        <v>6901.0735717535999</v>
      </c>
    </row>
    <row r="1195" spans="1:11" x14ac:dyDescent="0.35">
      <c r="A1195" s="1">
        <v>39600</v>
      </c>
      <c r="B1195" t="s">
        <v>8</v>
      </c>
      <c r="C1195" t="s">
        <v>38</v>
      </c>
      <c r="D1195">
        <v>2605</v>
      </c>
      <c r="E1195">
        <v>25618</v>
      </c>
      <c r="F1195">
        <f t="shared" si="119"/>
        <v>9.8341650671785033</v>
      </c>
      <c r="G1195">
        <f t="shared" si="117"/>
        <v>446.07772744721689</v>
      </c>
      <c r="H1195">
        <v>1075</v>
      </c>
      <c r="I1195" t="s">
        <v>38</v>
      </c>
      <c r="J1195">
        <f t="shared" si="120"/>
        <v>23.699294532627867</v>
      </c>
      <c r="K1195">
        <v>6901.0735717535999</v>
      </c>
    </row>
    <row r="1196" spans="1:11" x14ac:dyDescent="0.35">
      <c r="A1196" s="1">
        <v>39630</v>
      </c>
      <c r="B1196" t="s">
        <v>8</v>
      </c>
      <c r="C1196" t="s">
        <v>38</v>
      </c>
      <c r="D1196">
        <v>3565</v>
      </c>
      <c r="E1196">
        <v>28552</v>
      </c>
      <c r="F1196">
        <f t="shared" si="119"/>
        <v>8.0089761570827491</v>
      </c>
      <c r="G1196">
        <f t="shared" si="117"/>
        <v>363.28715848527349</v>
      </c>
      <c r="H1196">
        <v>1260</v>
      </c>
      <c r="I1196" t="s">
        <v>38</v>
      </c>
      <c r="J1196">
        <f t="shared" si="120"/>
        <v>27.777777777777779</v>
      </c>
      <c r="K1196">
        <v>6901.0735717535999</v>
      </c>
    </row>
    <row r="1197" spans="1:11" x14ac:dyDescent="0.35">
      <c r="A1197" s="1">
        <v>39661</v>
      </c>
      <c r="B1197" t="s">
        <v>8</v>
      </c>
      <c r="C1197" t="s">
        <v>38</v>
      </c>
      <c r="D1197">
        <v>1959</v>
      </c>
      <c r="E1197">
        <v>19098</v>
      </c>
      <c r="F1197">
        <f t="shared" si="119"/>
        <v>9.7488514548238889</v>
      </c>
      <c r="G1197">
        <f t="shared" si="117"/>
        <v>442.20790199081159</v>
      </c>
      <c r="H1197">
        <v>983.25</v>
      </c>
      <c r="I1197" t="s">
        <v>38</v>
      </c>
      <c r="J1197">
        <f t="shared" si="120"/>
        <v>21.676587301587301</v>
      </c>
      <c r="K1197">
        <v>6901.0735717535999</v>
      </c>
    </row>
    <row r="1198" spans="1:11" x14ac:dyDescent="0.35">
      <c r="A1198" s="1">
        <v>39692</v>
      </c>
      <c r="B1198" t="s">
        <v>8</v>
      </c>
      <c r="C1198" t="s">
        <v>38</v>
      </c>
      <c r="D1198">
        <v>1861</v>
      </c>
      <c r="E1198">
        <v>17939</v>
      </c>
      <c r="F1198">
        <f t="shared" si="119"/>
        <v>9.6394411606663084</v>
      </c>
      <c r="G1198">
        <f t="shared" si="117"/>
        <v>437.24505104782372</v>
      </c>
      <c r="H1198">
        <v>1093.8</v>
      </c>
      <c r="I1198" t="s">
        <v>38</v>
      </c>
      <c r="J1198">
        <f t="shared" si="120"/>
        <v>24.113756613756614</v>
      </c>
      <c r="K1198">
        <v>6901.0735717535999</v>
      </c>
    </row>
    <row r="1199" spans="1:11" x14ac:dyDescent="0.35">
      <c r="A1199" s="1">
        <v>39722</v>
      </c>
      <c r="B1199" t="s">
        <v>8</v>
      </c>
      <c r="C1199" t="s">
        <v>38</v>
      </c>
      <c r="D1199">
        <v>7189</v>
      </c>
      <c r="E1199">
        <v>71394</v>
      </c>
      <c r="F1199">
        <f t="shared" si="119"/>
        <v>9.9310057031576022</v>
      </c>
      <c r="G1199">
        <f t="shared" si="117"/>
        <v>450.47041869522883</v>
      </c>
      <c r="H1199">
        <v>1168.75</v>
      </c>
      <c r="I1199" t="s">
        <v>38</v>
      </c>
      <c r="J1199">
        <f t="shared" si="120"/>
        <v>25.766093474426807</v>
      </c>
      <c r="K1199">
        <v>6901.0735717535999</v>
      </c>
    </row>
    <row r="1200" spans="1:11" x14ac:dyDescent="0.35">
      <c r="A1200" s="1">
        <v>39753</v>
      </c>
      <c r="B1200" t="s">
        <v>8</v>
      </c>
      <c r="C1200" t="s">
        <v>38</v>
      </c>
      <c r="D1200">
        <v>3633</v>
      </c>
      <c r="E1200">
        <v>34245</v>
      </c>
      <c r="F1200">
        <f t="shared" si="119"/>
        <v>9.4260941370767952</v>
      </c>
      <c r="G1200">
        <f t="shared" si="117"/>
        <v>427.5676300578034</v>
      </c>
      <c r="H1200">
        <v>1062.5</v>
      </c>
      <c r="I1200" t="s">
        <v>38</v>
      </c>
      <c r="J1200">
        <f t="shared" si="120"/>
        <v>23.423721340388006</v>
      </c>
      <c r="K1200">
        <v>6901.0735717535999</v>
      </c>
    </row>
    <row r="1201" spans="1:11" x14ac:dyDescent="0.35">
      <c r="A1201" s="1">
        <v>39783</v>
      </c>
      <c r="B1201" t="s">
        <v>8</v>
      </c>
      <c r="C1201" t="s">
        <v>38</v>
      </c>
      <c r="D1201">
        <v>6623</v>
      </c>
      <c r="E1201">
        <v>64088</v>
      </c>
      <c r="F1201">
        <f t="shared" si="119"/>
        <v>9.6765816095425041</v>
      </c>
      <c r="G1201">
        <f t="shared" si="117"/>
        <v>438.92974180884801</v>
      </c>
      <c r="H1201">
        <v>1042.6660999999999</v>
      </c>
      <c r="I1201" t="s">
        <v>38</v>
      </c>
      <c r="J1201">
        <f t="shared" si="120"/>
        <v>22.986466049382713</v>
      </c>
      <c r="K1201">
        <v>6901.0735717535999</v>
      </c>
    </row>
    <row r="1202" spans="1:11" x14ac:dyDescent="0.35">
      <c r="A1202" s="1">
        <v>39448</v>
      </c>
      <c r="B1202" t="s">
        <v>9</v>
      </c>
      <c r="C1202" t="s">
        <v>38</v>
      </c>
      <c r="D1202">
        <v>1600</v>
      </c>
      <c r="E1202">
        <v>65315</v>
      </c>
      <c r="F1202">
        <f t="shared" si="119"/>
        <v>40.821874999999999</v>
      </c>
      <c r="G1202">
        <f t="shared" si="117"/>
        <v>1851.6802499999999</v>
      </c>
      <c r="H1202">
        <v>1089.3333333333333</v>
      </c>
      <c r="I1202" t="s">
        <v>38</v>
      </c>
      <c r="J1202">
        <f t="shared" si="120"/>
        <v>24.015285126396236</v>
      </c>
      <c r="K1202">
        <v>17874.25</v>
      </c>
    </row>
    <row r="1203" spans="1:11" x14ac:dyDescent="0.35">
      <c r="A1203" s="1">
        <v>39479</v>
      </c>
      <c r="B1203" t="s">
        <v>9</v>
      </c>
      <c r="C1203" t="s">
        <v>38</v>
      </c>
      <c r="D1203">
        <v>3442</v>
      </c>
      <c r="E1203">
        <v>76995</v>
      </c>
      <c r="F1203">
        <f t="shared" si="119"/>
        <v>22.369262056943636</v>
      </c>
      <c r="G1203">
        <f t="shared" si="117"/>
        <v>1014.6697269029634</v>
      </c>
      <c r="H1203">
        <v>795</v>
      </c>
      <c r="I1203" t="s">
        <v>38</v>
      </c>
      <c r="J1203">
        <f t="shared" si="120"/>
        <v>17.526455026455025</v>
      </c>
      <c r="K1203">
        <v>17874.25</v>
      </c>
    </row>
    <row r="1204" spans="1:11" x14ac:dyDescent="0.35">
      <c r="A1204" s="1">
        <v>39508</v>
      </c>
      <c r="B1204" t="s">
        <v>9</v>
      </c>
      <c r="C1204" t="s">
        <v>38</v>
      </c>
      <c r="D1204">
        <v>2159</v>
      </c>
      <c r="E1204">
        <v>50875</v>
      </c>
      <c r="F1204">
        <f t="shared" si="119"/>
        <v>23.564150069476611</v>
      </c>
      <c r="G1204">
        <f t="shared" si="117"/>
        <v>1068.869847151459</v>
      </c>
      <c r="H1204">
        <v>1150</v>
      </c>
      <c r="I1204" t="s">
        <v>38</v>
      </c>
      <c r="J1204">
        <f t="shared" si="120"/>
        <v>25.352733686067019</v>
      </c>
      <c r="K1204">
        <v>17874.25</v>
      </c>
    </row>
    <row r="1205" spans="1:11" x14ac:dyDescent="0.35">
      <c r="A1205" s="1">
        <v>39539</v>
      </c>
      <c r="B1205" t="s">
        <v>9</v>
      </c>
      <c r="C1205" t="s">
        <v>38</v>
      </c>
      <c r="D1205">
        <v>2269</v>
      </c>
      <c r="E1205">
        <v>57870</v>
      </c>
      <c r="F1205">
        <f t="shared" si="119"/>
        <v>25.504627589246365</v>
      </c>
      <c r="G1205">
        <f t="shared" si="117"/>
        <v>1156.8899074482151</v>
      </c>
      <c r="H1205">
        <v>820.83333333333337</v>
      </c>
      <c r="I1205" t="s">
        <v>38</v>
      </c>
      <c r="J1205">
        <f t="shared" si="120"/>
        <v>18.095972957084069</v>
      </c>
      <c r="K1205">
        <v>17874.25</v>
      </c>
    </row>
    <row r="1206" spans="1:11" x14ac:dyDescent="0.35">
      <c r="A1206" s="1">
        <v>39569</v>
      </c>
      <c r="B1206" t="s">
        <v>9</v>
      </c>
      <c r="C1206" t="s">
        <v>38</v>
      </c>
      <c r="D1206">
        <v>3709</v>
      </c>
      <c r="E1206">
        <v>89261</v>
      </c>
      <c r="F1206">
        <f t="shared" si="119"/>
        <v>24.066055540576976</v>
      </c>
      <c r="G1206">
        <f t="shared" si="117"/>
        <v>1091.6362793205717</v>
      </c>
      <c r="H1206">
        <v>816.66666666666663</v>
      </c>
      <c r="I1206" t="s">
        <v>38</v>
      </c>
      <c r="J1206">
        <f t="shared" si="120"/>
        <v>18.004115226337447</v>
      </c>
      <c r="K1206">
        <v>17874.25</v>
      </c>
    </row>
    <row r="1207" spans="1:11" x14ac:dyDescent="0.35">
      <c r="A1207" s="1">
        <v>39600</v>
      </c>
      <c r="B1207" t="s">
        <v>9</v>
      </c>
      <c r="C1207" t="s">
        <v>38</v>
      </c>
      <c r="D1207">
        <v>1658</v>
      </c>
      <c r="E1207">
        <v>49669</v>
      </c>
      <c r="F1207">
        <f t="shared" si="119"/>
        <v>29.957177322074788</v>
      </c>
      <c r="G1207">
        <f t="shared" si="117"/>
        <v>1358.8575633293124</v>
      </c>
      <c r="H1207">
        <v>850</v>
      </c>
      <c r="I1207" t="s">
        <v>38</v>
      </c>
      <c r="J1207">
        <f t="shared" si="120"/>
        <v>18.738977072310405</v>
      </c>
      <c r="K1207">
        <v>17874.25</v>
      </c>
    </row>
    <row r="1208" spans="1:11" x14ac:dyDescent="0.35">
      <c r="A1208" s="1">
        <v>39630</v>
      </c>
      <c r="B1208" t="s">
        <v>9</v>
      </c>
      <c r="C1208" t="s">
        <v>38</v>
      </c>
      <c r="D1208">
        <v>1655</v>
      </c>
      <c r="E1208">
        <v>41245</v>
      </c>
      <c r="F1208">
        <f t="shared" si="119"/>
        <v>24.921450151057403</v>
      </c>
      <c r="G1208">
        <f t="shared" si="117"/>
        <v>1130.4369788519639</v>
      </c>
      <c r="H1208">
        <v>937.5</v>
      </c>
      <c r="I1208" t="s">
        <v>38</v>
      </c>
      <c r="J1208">
        <f t="shared" si="120"/>
        <v>20.667989417989418</v>
      </c>
      <c r="K1208">
        <v>17874.25</v>
      </c>
    </row>
    <row r="1209" spans="1:11" x14ac:dyDescent="0.35">
      <c r="A1209" s="1">
        <v>39661</v>
      </c>
      <c r="B1209" t="s">
        <v>9</v>
      </c>
      <c r="C1209" t="s">
        <v>38</v>
      </c>
      <c r="D1209">
        <v>1243</v>
      </c>
      <c r="E1209">
        <v>28280</v>
      </c>
      <c r="F1209">
        <f t="shared" si="119"/>
        <v>22.751407884151249</v>
      </c>
      <c r="G1209">
        <f t="shared" si="117"/>
        <v>1032.0038616251006</v>
      </c>
      <c r="H1209">
        <v>950</v>
      </c>
      <c r="I1209" t="s">
        <v>38</v>
      </c>
      <c r="J1209">
        <f t="shared" si="120"/>
        <v>20.943562610229279</v>
      </c>
      <c r="K1209">
        <v>17874.25</v>
      </c>
    </row>
    <row r="1210" spans="1:11" x14ac:dyDescent="0.35">
      <c r="A1210" s="1">
        <v>39692</v>
      </c>
      <c r="B1210" t="s">
        <v>9</v>
      </c>
      <c r="C1210" t="s">
        <v>38</v>
      </c>
      <c r="D1210">
        <v>2641</v>
      </c>
      <c r="E1210">
        <v>100600</v>
      </c>
      <c r="F1210">
        <f t="shared" si="119"/>
        <v>38.091631957591822</v>
      </c>
      <c r="G1210">
        <f t="shared" si="117"/>
        <v>1727.836425596365</v>
      </c>
      <c r="H1210">
        <v>850</v>
      </c>
      <c r="I1210" t="s">
        <v>38</v>
      </c>
      <c r="J1210">
        <f t="shared" si="120"/>
        <v>18.738977072310405</v>
      </c>
      <c r="K1210">
        <v>17874.25</v>
      </c>
    </row>
    <row r="1211" spans="1:11" x14ac:dyDescent="0.35">
      <c r="A1211" s="1">
        <v>39722</v>
      </c>
      <c r="B1211" t="s">
        <v>9</v>
      </c>
      <c r="C1211" t="s">
        <v>38</v>
      </c>
      <c r="D1211">
        <v>3581</v>
      </c>
      <c r="E1211">
        <v>115720</v>
      </c>
      <c r="F1211">
        <f t="shared" si="119"/>
        <v>32.314995811225913</v>
      </c>
      <c r="G1211">
        <f t="shared" si="117"/>
        <v>1465.8082099972073</v>
      </c>
      <c r="H1211">
        <v>900.83500000000004</v>
      </c>
      <c r="I1211" t="s">
        <v>38</v>
      </c>
      <c r="J1211">
        <f t="shared" si="120"/>
        <v>19.859678130511465</v>
      </c>
      <c r="K1211">
        <v>17874.25</v>
      </c>
    </row>
    <row r="1212" spans="1:11" x14ac:dyDescent="0.35">
      <c r="A1212" s="1">
        <v>39753</v>
      </c>
      <c r="B1212" t="s">
        <v>9</v>
      </c>
      <c r="C1212" t="s">
        <v>38</v>
      </c>
      <c r="D1212">
        <v>1658</v>
      </c>
      <c r="E1212">
        <v>50363</v>
      </c>
      <c r="F1212">
        <f t="shared" si="119"/>
        <v>30.375753920386007</v>
      </c>
      <c r="G1212">
        <f t="shared" si="117"/>
        <v>1377.8441978287092</v>
      </c>
      <c r="H1212">
        <v>942.5</v>
      </c>
      <c r="I1212" t="s">
        <v>38</v>
      </c>
      <c r="J1212">
        <f t="shared" si="120"/>
        <v>20.778218694885361</v>
      </c>
      <c r="K1212">
        <v>17874.25</v>
      </c>
    </row>
    <row r="1213" spans="1:11" x14ac:dyDescent="0.35">
      <c r="A1213" s="1">
        <v>39783</v>
      </c>
      <c r="B1213" t="s">
        <v>9</v>
      </c>
      <c r="C1213" t="s">
        <v>38</v>
      </c>
      <c r="D1213">
        <v>795</v>
      </c>
      <c r="E1213">
        <v>26140</v>
      </c>
      <c r="F1213">
        <f t="shared" si="119"/>
        <v>32.880503144654085</v>
      </c>
      <c r="G1213">
        <f t="shared" si="117"/>
        <v>1491.4596226415092</v>
      </c>
      <c r="H1213">
        <v>800</v>
      </c>
      <c r="I1213" t="s">
        <v>38</v>
      </c>
      <c r="J1213">
        <f t="shared" si="120"/>
        <v>17.636684303350972</v>
      </c>
      <c r="K1213">
        <v>17874.25</v>
      </c>
    </row>
    <row r="1214" spans="1:11" x14ac:dyDescent="0.35">
      <c r="A1214" s="1">
        <v>39448</v>
      </c>
      <c r="B1214" t="s">
        <v>10</v>
      </c>
      <c r="C1214" t="s">
        <v>38</v>
      </c>
      <c r="D1214">
        <v>6490</v>
      </c>
      <c r="E1214">
        <v>58448</v>
      </c>
      <c r="F1214">
        <f t="shared" si="119"/>
        <v>9.0058551617873643</v>
      </c>
      <c r="G1214">
        <f t="shared" si="117"/>
        <v>408.50559013867485</v>
      </c>
      <c r="H1214">
        <v>1085.4000000000001</v>
      </c>
      <c r="I1214" t="s">
        <v>38</v>
      </c>
      <c r="J1214">
        <f t="shared" si="120"/>
        <v>23.928571428571431</v>
      </c>
      <c r="K1214">
        <v>5602.342062167424</v>
      </c>
    </row>
    <row r="1215" spans="1:11" x14ac:dyDescent="0.35">
      <c r="A1215" s="1">
        <v>39479</v>
      </c>
      <c r="B1215" t="s">
        <v>10</v>
      </c>
      <c r="C1215" t="s">
        <v>38</v>
      </c>
      <c r="D1215">
        <v>6681</v>
      </c>
      <c r="E1215">
        <v>60628</v>
      </c>
      <c r="F1215">
        <f t="shared" si="119"/>
        <v>9.0746894177518342</v>
      </c>
      <c r="G1215">
        <f t="shared" si="117"/>
        <v>411.62791198922321</v>
      </c>
      <c r="H1215">
        <v>1024.25</v>
      </c>
      <c r="I1215" t="s">
        <v>38</v>
      </c>
      <c r="J1215">
        <f t="shared" si="120"/>
        <v>22.580467372134038</v>
      </c>
      <c r="K1215">
        <v>5602.342062167424</v>
      </c>
    </row>
    <row r="1216" spans="1:11" x14ac:dyDescent="0.35">
      <c r="A1216" s="1">
        <v>39508</v>
      </c>
      <c r="B1216" t="s">
        <v>10</v>
      </c>
      <c r="C1216" t="s">
        <v>38</v>
      </c>
      <c r="D1216">
        <v>6642</v>
      </c>
      <c r="E1216">
        <v>59734</v>
      </c>
      <c r="F1216">
        <f t="shared" si="119"/>
        <v>8.9933754893104485</v>
      </c>
      <c r="G1216">
        <f t="shared" si="117"/>
        <v>407.93951219512195</v>
      </c>
      <c r="H1216">
        <v>1040</v>
      </c>
      <c r="I1216" t="s">
        <v>38</v>
      </c>
      <c r="J1216">
        <f t="shared" si="120"/>
        <v>22.927689594356263</v>
      </c>
      <c r="K1216">
        <v>5602.342062167424</v>
      </c>
    </row>
    <row r="1217" spans="1:11" x14ac:dyDescent="0.35">
      <c r="A1217" s="1">
        <v>39539</v>
      </c>
      <c r="B1217" t="s">
        <v>10</v>
      </c>
      <c r="C1217" t="s">
        <v>38</v>
      </c>
      <c r="D1217">
        <v>7310</v>
      </c>
      <c r="E1217">
        <v>63033</v>
      </c>
      <c r="F1217">
        <f t="shared" si="119"/>
        <v>8.6228454172366629</v>
      </c>
      <c r="G1217">
        <f t="shared" si="117"/>
        <v>391.13226812585503</v>
      </c>
      <c r="H1217">
        <v>1032.125</v>
      </c>
      <c r="I1217" t="s">
        <v>38</v>
      </c>
      <c r="J1217">
        <f t="shared" si="120"/>
        <v>22.754078483245149</v>
      </c>
      <c r="K1217">
        <v>5602.342062167424</v>
      </c>
    </row>
    <row r="1218" spans="1:11" x14ac:dyDescent="0.35">
      <c r="A1218" s="1">
        <v>39569</v>
      </c>
      <c r="B1218" t="s">
        <v>10</v>
      </c>
      <c r="C1218" t="s">
        <v>38</v>
      </c>
      <c r="D1218">
        <v>5173</v>
      </c>
      <c r="E1218">
        <v>41885</v>
      </c>
      <c r="F1218">
        <f t="shared" si="119"/>
        <v>8.0968490237773061</v>
      </c>
      <c r="G1218">
        <f t="shared" si="117"/>
        <v>367.27307171853857</v>
      </c>
      <c r="H1218">
        <v>1057.5</v>
      </c>
      <c r="I1218" t="s">
        <v>38</v>
      </c>
      <c r="J1218">
        <f t="shared" si="120"/>
        <v>23.313492063492063</v>
      </c>
      <c r="K1218">
        <v>5602.342062167424</v>
      </c>
    </row>
    <row r="1219" spans="1:11" x14ac:dyDescent="0.35">
      <c r="A1219" s="1">
        <v>39600</v>
      </c>
      <c r="B1219" t="s">
        <v>10</v>
      </c>
      <c r="C1219" t="s">
        <v>38</v>
      </c>
      <c r="D1219">
        <v>3634</v>
      </c>
      <c r="E1219">
        <v>38764</v>
      </c>
      <c r="F1219">
        <f t="shared" si="119"/>
        <v>10.667033571821683</v>
      </c>
      <c r="G1219">
        <f t="shared" ref="G1219:G1261" si="121">F1219*45.36</f>
        <v>483.85664281783153</v>
      </c>
      <c r="H1219">
        <v>950</v>
      </c>
      <c r="I1219" t="s">
        <v>38</v>
      </c>
      <c r="J1219">
        <f t="shared" si="120"/>
        <v>20.943562610229279</v>
      </c>
      <c r="K1219">
        <v>5602.342062167424</v>
      </c>
    </row>
    <row r="1220" spans="1:11" x14ac:dyDescent="0.35">
      <c r="A1220" s="1">
        <v>39630</v>
      </c>
      <c r="B1220" t="s">
        <v>10</v>
      </c>
      <c r="C1220" t="s">
        <v>38</v>
      </c>
      <c r="D1220">
        <v>3675</v>
      </c>
      <c r="E1220">
        <v>27679</v>
      </c>
      <c r="F1220">
        <f t="shared" si="119"/>
        <v>7.5317006802721087</v>
      </c>
      <c r="G1220">
        <f t="shared" si="121"/>
        <v>341.63794285714283</v>
      </c>
      <c r="H1220">
        <v>1200</v>
      </c>
      <c r="I1220" t="s">
        <v>38</v>
      </c>
      <c r="J1220">
        <f t="shared" si="120"/>
        <v>26.455026455026456</v>
      </c>
      <c r="K1220">
        <v>5602.342062167424</v>
      </c>
    </row>
    <row r="1221" spans="1:11" x14ac:dyDescent="0.35">
      <c r="A1221" s="1">
        <v>39661</v>
      </c>
      <c r="B1221" t="s">
        <v>10</v>
      </c>
      <c r="C1221" t="s">
        <v>38</v>
      </c>
      <c r="D1221">
        <v>4807</v>
      </c>
      <c r="E1221">
        <v>35821</v>
      </c>
      <c r="F1221">
        <f t="shared" si="119"/>
        <v>7.451841065113376</v>
      </c>
      <c r="G1221">
        <f t="shared" si="121"/>
        <v>338.01551071354271</v>
      </c>
      <c r="H1221">
        <v>1200</v>
      </c>
      <c r="I1221" t="s">
        <v>38</v>
      </c>
      <c r="J1221">
        <f t="shared" si="120"/>
        <v>26.455026455026456</v>
      </c>
      <c r="K1221">
        <v>5602.342062167424</v>
      </c>
    </row>
    <row r="1222" spans="1:11" x14ac:dyDescent="0.35">
      <c r="A1222" s="1">
        <v>39692</v>
      </c>
      <c r="B1222" t="s">
        <v>10</v>
      </c>
      <c r="C1222" t="s">
        <v>38</v>
      </c>
      <c r="D1222">
        <v>3465</v>
      </c>
      <c r="E1222">
        <v>27588</v>
      </c>
      <c r="F1222">
        <f t="shared" si="119"/>
        <v>7.961904761904762</v>
      </c>
      <c r="G1222">
        <f t="shared" si="121"/>
        <v>361.15199999999999</v>
      </c>
      <c r="H1222">
        <v>1350</v>
      </c>
      <c r="I1222" t="s">
        <v>38</v>
      </c>
      <c r="J1222">
        <f t="shared" si="120"/>
        <v>29.761904761904763</v>
      </c>
      <c r="K1222">
        <v>5602.342062167424</v>
      </c>
    </row>
    <row r="1223" spans="1:11" x14ac:dyDescent="0.35">
      <c r="A1223" s="1">
        <v>39722</v>
      </c>
      <c r="B1223" t="s">
        <v>10</v>
      </c>
      <c r="C1223" t="s">
        <v>38</v>
      </c>
      <c r="D1223">
        <v>3643</v>
      </c>
      <c r="E1223">
        <v>29318</v>
      </c>
      <c r="F1223">
        <f t="shared" ref="F1223:F1286" si="122">E1223/D1223</f>
        <v>8.0477628328300845</v>
      </c>
      <c r="G1223">
        <f t="shared" si="121"/>
        <v>365.04652209717261</v>
      </c>
      <c r="H1223">
        <v>1641.6</v>
      </c>
      <c r="I1223" t="s">
        <v>38</v>
      </c>
      <c r="J1223">
        <f t="shared" si="120"/>
        <v>36.19047619047619</v>
      </c>
      <c r="K1223">
        <v>5602.342062167424</v>
      </c>
    </row>
    <row r="1224" spans="1:11" x14ac:dyDescent="0.35">
      <c r="A1224" s="1">
        <v>39753</v>
      </c>
      <c r="B1224" t="s">
        <v>10</v>
      </c>
      <c r="C1224" t="s">
        <v>38</v>
      </c>
      <c r="D1224">
        <v>3685</v>
      </c>
      <c r="E1224">
        <v>31443</v>
      </c>
      <c r="F1224">
        <f t="shared" si="122"/>
        <v>8.5327001356852108</v>
      </c>
      <c r="G1224">
        <f t="shared" si="121"/>
        <v>387.04327815468116</v>
      </c>
      <c r="H1224">
        <v>1166.6666666666667</v>
      </c>
      <c r="I1224" t="s">
        <v>38</v>
      </c>
      <c r="J1224">
        <f t="shared" si="120"/>
        <v>25.720164609053501</v>
      </c>
      <c r="K1224">
        <v>5602.342062167424</v>
      </c>
    </row>
    <row r="1225" spans="1:11" x14ac:dyDescent="0.35">
      <c r="A1225" s="1">
        <v>39783</v>
      </c>
      <c r="B1225" t="s">
        <v>10</v>
      </c>
      <c r="C1225" t="s">
        <v>38</v>
      </c>
      <c r="D1225">
        <v>7283</v>
      </c>
      <c r="E1225">
        <v>62792</v>
      </c>
      <c r="F1225">
        <f t="shared" si="122"/>
        <v>8.6217218179321709</v>
      </c>
      <c r="G1225">
        <f t="shared" si="121"/>
        <v>391.08130166140324</v>
      </c>
      <c r="H1225">
        <v>1170</v>
      </c>
      <c r="I1225" t="s">
        <v>38</v>
      </c>
      <c r="J1225">
        <f t="shared" si="120"/>
        <v>25.793650793650794</v>
      </c>
      <c r="K1225">
        <v>5602.3420621674204</v>
      </c>
    </row>
    <row r="1226" spans="1:11" x14ac:dyDescent="0.35">
      <c r="A1226" s="1">
        <v>39448</v>
      </c>
      <c r="B1226" t="s">
        <v>11</v>
      </c>
      <c r="C1226" t="s">
        <v>38</v>
      </c>
      <c r="D1226">
        <v>18988</v>
      </c>
      <c r="E1226">
        <v>194452</v>
      </c>
      <c r="F1226">
        <f t="shared" si="122"/>
        <v>10.240783652833368</v>
      </c>
      <c r="G1226">
        <f t="shared" si="121"/>
        <v>464.52194649252158</v>
      </c>
      <c r="H1226">
        <v>459.19791666666674</v>
      </c>
      <c r="I1226" t="s">
        <v>38</v>
      </c>
      <c r="J1226">
        <f t="shared" si="120"/>
        <v>10.123410861258085</v>
      </c>
      <c r="K1226">
        <v>3201.6490115345573</v>
      </c>
    </row>
    <row r="1227" spans="1:11" x14ac:dyDescent="0.35">
      <c r="A1227" s="1">
        <v>39479</v>
      </c>
      <c r="B1227" t="s">
        <v>11</v>
      </c>
      <c r="C1227" t="s">
        <v>38</v>
      </c>
      <c r="D1227">
        <v>23574</v>
      </c>
      <c r="E1227">
        <v>243053</v>
      </c>
      <c r="F1227">
        <f t="shared" si="122"/>
        <v>10.310214643251038</v>
      </c>
      <c r="G1227">
        <f t="shared" si="121"/>
        <v>467.67133621786712</v>
      </c>
      <c r="H1227">
        <v>791.25714285714287</v>
      </c>
      <c r="I1227" t="s">
        <v>38</v>
      </c>
      <c r="J1227">
        <f t="shared" si="120"/>
        <v>17.443940539178634</v>
      </c>
      <c r="K1227">
        <v>3201.6490115345573</v>
      </c>
    </row>
    <row r="1228" spans="1:11" x14ac:dyDescent="0.35">
      <c r="A1228" s="1">
        <v>39508</v>
      </c>
      <c r="B1228" t="s">
        <v>11</v>
      </c>
      <c r="C1228" t="s">
        <v>38</v>
      </c>
      <c r="D1228">
        <v>23441</v>
      </c>
      <c r="E1228">
        <v>235347</v>
      </c>
      <c r="F1228">
        <f t="shared" si="122"/>
        <v>10.039972697410519</v>
      </c>
      <c r="G1228">
        <f t="shared" si="121"/>
        <v>455.41316155454115</v>
      </c>
      <c r="H1228">
        <v>974.03499999999997</v>
      </c>
      <c r="I1228" t="s">
        <v>38</v>
      </c>
      <c r="J1228">
        <f t="shared" si="120"/>
        <v>21.473434744268076</v>
      </c>
      <c r="K1228">
        <v>3201.6490115345573</v>
      </c>
    </row>
    <row r="1229" spans="1:11" x14ac:dyDescent="0.35">
      <c r="A1229" s="1">
        <v>39539</v>
      </c>
      <c r="B1229" t="s">
        <v>11</v>
      </c>
      <c r="C1229" t="s">
        <v>38</v>
      </c>
      <c r="D1229">
        <v>19157</v>
      </c>
      <c r="E1229">
        <v>188599</v>
      </c>
      <c r="F1229">
        <f t="shared" si="122"/>
        <v>9.844913086600199</v>
      </c>
      <c r="G1229">
        <f t="shared" si="121"/>
        <v>446.56525760818505</v>
      </c>
      <c r="H1229">
        <v>1007.6333333333333</v>
      </c>
      <c r="I1229" t="s">
        <v>38</v>
      </c>
      <c r="J1229">
        <f t="shared" si="120"/>
        <v>22.214138741916521</v>
      </c>
      <c r="K1229">
        <v>3201.6490115345573</v>
      </c>
    </row>
    <row r="1230" spans="1:11" x14ac:dyDescent="0.35">
      <c r="A1230" s="1">
        <v>39569</v>
      </c>
      <c r="B1230" t="s">
        <v>11</v>
      </c>
      <c r="C1230" t="s">
        <v>38</v>
      </c>
      <c r="D1230">
        <v>15882</v>
      </c>
      <c r="E1230">
        <v>158884</v>
      </c>
      <c r="F1230">
        <f t="shared" si="122"/>
        <v>10.004029719178945</v>
      </c>
      <c r="G1230">
        <f t="shared" si="121"/>
        <v>453.78278806195692</v>
      </c>
      <c r="H1230">
        <v>1096.9959999999999</v>
      </c>
      <c r="I1230" t="s">
        <v>38</v>
      </c>
      <c r="J1230">
        <f t="shared" si="120"/>
        <v>24.184215167548498</v>
      </c>
      <c r="K1230">
        <v>3201.6490115345573</v>
      </c>
    </row>
    <row r="1231" spans="1:11" x14ac:dyDescent="0.35">
      <c r="A1231" s="1">
        <v>39600</v>
      </c>
      <c r="B1231" t="s">
        <v>11</v>
      </c>
      <c r="C1231" t="s">
        <v>38</v>
      </c>
      <c r="D1231">
        <v>13118</v>
      </c>
      <c r="E1231">
        <v>147460</v>
      </c>
      <c r="F1231">
        <f t="shared" si="122"/>
        <v>11.241042841896631</v>
      </c>
      <c r="G1231">
        <f t="shared" si="121"/>
        <v>509.89370330843116</v>
      </c>
      <c r="H1231">
        <v>1088.8900000000001</v>
      </c>
      <c r="I1231" t="s">
        <v>38</v>
      </c>
      <c r="J1231">
        <f t="shared" ref="J1231:J1260" si="123">H1231/45.36</f>
        <v>24.005511463844801</v>
      </c>
      <c r="K1231">
        <v>3201.6490115345573</v>
      </c>
    </row>
    <row r="1232" spans="1:11" x14ac:dyDescent="0.35">
      <c r="A1232" s="1">
        <v>39630</v>
      </c>
      <c r="B1232" t="s">
        <v>11</v>
      </c>
      <c r="C1232" t="s">
        <v>38</v>
      </c>
      <c r="D1232">
        <v>14471</v>
      </c>
      <c r="E1232">
        <v>165914</v>
      </c>
      <c r="F1232">
        <f t="shared" si="122"/>
        <v>11.465275378342893</v>
      </c>
      <c r="G1232">
        <f t="shared" si="121"/>
        <v>520.06489116163368</v>
      </c>
      <c r="H1232">
        <v>1049.0039999999999</v>
      </c>
      <c r="I1232" t="s">
        <v>38</v>
      </c>
      <c r="J1232">
        <f t="shared" si="123"/>
        <v>23.126190476190473</v>
      </c>
      <c r="K1232">
        <v>3201.6490115345573</v>
      </c>
    </row>
    <row r="1233" spans="1:11" x14ac:dyDescent="0.35">
      <c r="A1233" s="1">
        <v>39661</v>
      </c>
      <c r="B1233" t="s">
        <v>11</v>
      </c>
      <c r="C1233" t="s">
        <v>38</v>
      </c>
      <c r="D1233">
        <v>18121</v>
      </c>
      <c r="E1233">
        <v>175292</v>
      </c>
      <c r="F1233">
        <f t="shared" si="122"/>
        <v>9.6734175818111581</v>
      </c>
      <c r="G1233">
        <f t="shared" si="121"/>
        <v>438.78622151095414</v>
      </c>
      <c r="H1233">
        <v>952.0619999999999</v>
      </c>
      <c r="I1233" t="s">
        <v>38</v>
      </c>
      <c r="J1233">
        <f t="shared" si="123"/>
        <v>20.98902116402116</v>
      </c>
      <c r="K1233">
        <v>3201.6490115345573</v>
      </c>
    </row>
    <row r="1234" spans="1:11" x14ac:dyDescent="0.35">
      <c r="A1234" s="1">
        <v>39692</v>
      </c>
      <c r="B1234" t="s">
        <v>11</v>
      </c>
      <c r="C1234" t="s">
        <v>38</v>
      </c>
      <c r="D1234">
        <v>16620</v>
      </c>
      <c r="E1234">
        <v>174511</v>
      </c>
      <c r="F1234">
        <f t="shared" si="122"/>
        <v>10.500060168471721</v>
      </c>
      <c r="G1234">
        <f t="shared" si="121"/>
        <v>476.28272924187729</v>
      </c>
      <c r="H1234">
        <v>643.79250000000002</v>
      </c>
      <c r="I1234" t="s">
        <v>38</v>
      </c>
      <c r="J1234">
        <f t="shared" si="123"/>
        <v>14.19295634920635</v>
      </c>
      <c r="K1234">
        <v>3201.6490115345573</v>
      </c>
    </row>
    <row r="1235" spans="1:11" x14ac:dyDescent="0.35">
      <c r="A1235" s="1">
        <v>39722</v>
      </c>
      <c r="B1235" t="s">
        <v>11</v>
      </c>
      <c r="C1235" t="s">
        <v>38</v>
      </c>
      <c r="D1235">
        <v>21546</v>
      </c>
      <c r="E1235">
        <v>229714</v>
      </c>
      <c r="F1235">
        <f t="shared" si="122"/>
        <v>10.661561310684117</v>
      </c>
      <c r="G1235">
        <f t="shared" si="121"/>
        <v>483.60842105263157</v>
      </c>
      <c r="H1235">
        <v>556.41599999999994</v>
      </c>
      <c r="I1235" t="s">
        <v>38</v>
      </c>
      <c r="J1235">
        <f t="shared" si="123"/>
        <v>12.266666666666666</v>
      </c>
      <c r="K1235">
        <v>3201.6490115345573</v>
      </c>
    </row>
    <row r="1236" spans="1:11" x14ac:dyDescent="0.35">
      <c r="A1236" s="1">
        <v>39753</v>
      </c>
      <c r="B1236" t="s">
        <v>11</v>
      </c>
      <c r="C1236" t="s">
        <v>38</v>
      </c>
      <c r="D1236">
        <v>18754</v>
      </c>
      <c r="E1236">
        <v>207452</v>
      </c>
      <c r="F1236">
        <f t="shared" si="122"/>
        <v>11.0617468273435</v>
      </c>
      <c r="G1236">
        <f t="shared" si="121"/>
        <v>501.76083608830112</v>
      </c>
      <c r="H1236">
        <v>453.27239999999995</v>
      </c>
      <c r="I1236" t="s">
        <v>38</v>
      </c>
      <c r="J1236">
        <f t="shared" si="123"/>
        <v>9.9927777777777766</v>
      </c>
      <c r="K1236">
        <v>3201.6490115345573</v>
      </c>
    </row>
    <row r="1237" spans="1:11" x14ac:dyDescent="0.35">
      <c r="A1237" s="1">
        <v>39783</v>
      </c>
      <c r="B1237" t="s">
        <v>11</v>
      </c>
      <c r="C1237" t="s">
        <v>38</v>
      </c>
      <c r="D1237">
        <v>21242</v>
      </c>
      <c r="E1237">
        <v>222616</v>
      </c>
      <c r="F1237">
        <f t="shared" si="122"/>
        <v>10.479992467752565</v>
      </c>
      <c r="G1237">
        <f t="shared" si="121"/>
        <v>475.37245833725632</v>
      </c>
      <c r="H1237">
        <v>429.43016666666665</v>
      </c>
      <c r="I1237" t="s">
        <v>38</v>
      </c>
      <c r="J1237">
        <f t="shared" si="123"/>
        <v>9.467155349794238</v>
      </c>
      <c r="K1237">
        <v>3201.64901153456</v>
      </c>
    </row>
    <row r="1238" spans="1:11" x14ac:dyDescent="0.35">
      <c r="A1238" s="1">
        <v>39448</v>
      </c>
      <c r="B1238" t="s">
        <v>12</v>
      </c>
      <c r="C1238" t="s">
        <v>38</v>
      </c>
      <c r="D1238">
        <v>13264</v>
      </c>
      <c r="E1238">
        <v>68295</v>
      </c>
      <c r="F1238">
        <f t="shared" si="122"/>
        <v>5.1488992762364294</v>
      </c>
      <c r="G1238">
        <f t="shared" si="121"/>
        <v>233.55407117008443</v>
      </c>
      <c r="H1238">
        <v>941.6</v>
      </c>
      <c r="I1238" t="s">
        <v>38</v>
      </c>
      <c r="J1238">
        <f t="shared" si="123"/>
        <v>20.758377425044092</v>
      </c>
      <c r="K1238">
        <v>1294.9257376989449</v>
      </c>
    </row>
    <row r="1239" spans="1:11" x14ac:dyDescent="0.35">
      <c r="A1239" s="1">
        <v>39479</v>
      </c>
      <c r="B1239" t="s">
        <v>12</v>
      </c>
      <c r="C1239" t="s">
        <v>38</v>
      </c>
      <c r="D1239">
        <v>16599</v>
      </c>
      <c r="E1239">
        <v>107207</v>
      </c>
      <c r="F1239">
        <f t="shared" si="122"/>
        <v>6.458642086872703</v>
      </c>
      <c r="G1239">
        <f t="shared" si="121"/>
        <v>292.96400506054579</v>
      </c>
      <c r="H1239">
        <v>682.65499999999997</v>
      </c>
      <c r="I1239" t="s">
        <v>38</v>
      </c>
      <c r="J1239">
        <f t="shared" si="123"/>
        <v>15.04971340388007</v>
      </c>
      <c r="K1239">
        <v>1294.9257376989449</v>
      </c>
    </row>
    <row r="1240" spans="1:11" x14ac:dyDescent="0.35">
      <c r="A1240" s="1">
        <v>39508</v>
      </c>
      <c r="B1240" t="s">
        <v>12</v>
      </c>
      <c r="C1240" t="s">
        <v>38</v>
      </c>
      <c r="D1240">
        <v>18103</v>
      </c>
      <c r="E1240">
        <v>99361</v>
      </c>
      <c r="F1240">
        <f t="shared" si="122"/>
        <v>5.4886482903386176</v>
      </c>
      <c r="G1240">
        <f t="shared" si="121"/>
        <v>248.9650864497597</v>
      </c>
      <c r="H1240">
        <v>804.93399999999997</v>
      </c>
      <c r="I1240" t="s">
        <v>38</v>
      </c>
      <c r="J1240">
        <f t="shared" si="123"/>
        <v>17.745458553791888</v>
      </c>
      <c r="K1240">
        <v>1294.9257376989449</v>
      </c>
    </row>
    <row r="1241" spans="1:11" x14ac:dyDescent="0.35">
      <c r="A1241" s="1">
        <v>39539</v>
      </c>
      <c r="B1241" t="s">
        <v>12</v>
      </c>
      <c r="C1241" t="s">
        <v>38</v>
      </c>
      <c r="D1241">
        <v>13802</v>
      </c>
      <c r="E1241">
        <v>79357</v>
      </c>
      <c r="F1241">
        <f t="shared" si="122"/>
        <v>5.7496739602956097</v>
      </c>
      <c r="G1241">
        <f t="shared" si="121"/>
        <v>260.80521083900885</v>
      </c>
      <c r="H1241">
        <v>706.25</v>
      </c>
      <c r="I1241" t="s">
        <v>38</v>
      </c>
      <c r="J1241">
        <f t="shared" si="123"/>
        <v>15.569885361552029</v>
      </c>
      <c r="K1241">
        <v>1294.9257376989449</v>
      </c>
    </row>
    <row r="1242" spans="1:11" x14ac:dyDescent="0.35">
      <c r="A1242" s="1">
        <v>39569</v>
      </c>
      <c r="B1242" t="s">
        <v>12</v>
      </c>
      <c r="C1242" t="s">
        <v>38</v>
      </c>
      <c r="D1242">
        <v>12349</v>
      </c>
      <c r="E1242">
        <v>85193</v>
      </c>
      <c r="F1242">
        <f t="shared" si="122"/>
        <v>6.898777228925419</v>
      </c>
      <c r="G1242">
        <f t="shared" si="121"/>
        <v>312.928535104057</v>
      </c>
      <c r="H1242">
        <v>657.8125</v>
      </c>
      <c r="I1242" t="s">
        <v>38</v>
      </c>
      <c r="J1242">
        <f t="shared" si="123"/>
        <v>14.502039241622574</v>
      </c>
      <c r="K1242">
        <v>1294.9257376989449</v>
      </c>
    </row>
    <row r="1243" spans="1:11" x14ac:dyDescent="0.35">
      <c r="A1243" s="1">
        <v>39600</v>
      </c>
      <c r="B1243" t="s">
        <v>12</v>
      </c>
      <c r="C1243" t="s">
        <v>38</v>
      </c>
      <c r="D1243">
        <v>11116</v>
      </c>
      <c r="E1243">
        <v>65275</v>
      </c>
      <c r="F1243">
        <f t="shared" si="122"/>
        <v>5.8721662468513856</v>
      </c>
      <c r="G1243">
        <f t="shared" si="121"/>
        <v>266.36146095717885</v>
      </c>
      <c r="H1243">
        <v>766.66666666666663</v>
      </c>
      <c r="I1243" t="s">
        <v>38</v>
      </c>
      <c r="J1243">
        <f t="shared" si="123"/>
        <v>16.901822457378014</v>
      </c>
      <c r="K1243">
        <v>1294.9257376989449</v>
      </c>
    </row>
    <row r="1244" spans="1:11" x14ac:dyDescent="0.35">
      <c r="A1244" s="1">
        <v>39630</v>
      </c>
      <c r="B1244" t="s">
        <v>12</v>
      </c>
      <c r="C1244" t="s">
        <v>38</v>
      </c>
      <c r="D1244">
        <v>11948</v>
      </c>
      <c r="E1244">
        <v>66743</v>
      </c>
      <c r="F1244">
        <f t="shared" si="122"/>
        <v>5.5861232005356545</v>
      </c>
      <c r="G1244">
        <f t="shared" si="121"/>
        <v>253.38654837629727</v>
      </c>
      <c r="H1244">
        <v>649.0625</v>
      </c>
      <c r="I1244" t="s">
        <v>38</v>
      </c>
      <c r="J1244">
        <f t="shared" si="123"/>
        <v>14.309138007054674</v>
      </c>
      <c r="K1244">
        <v>1294.9257376989449</v>
      </c>
    </row>
    <row r="1245" spans="1:11" x14ac:dyDescent="0.35">
      <c r="A1245" s="1">
        <v>39661</v>
      </c>
      <c r="B1245" t="s">
        <v>12</v>
      </c>
      <c r="C1245" t="s">
        <v>38</v>
      </c>
      <c r="D1245">
        <v>10476</v>
      </c>
      <c r="E1245">
        <v>57380</v>
      </c>
      <c r="F1245">
        <f t="shared" si="122"/>
        <v>5.4772814051164564</v>
      </c>
      <c r="G1245">
        <f t="shared" si="121"/>
        <v>248.44948453608245</v>
      </c>
      <c r="H1245">
        <v>672.29200000000003</v>
      </c>
      <c r="I1245" t="s">
        <v>38</v>
      </c>
      <c r="J1245">
        <f t="shared" si="123"/>
        <v>14.821252204585539</v>
      </c>
      <c r="K1245">
        <v>1294.9257376989449</v>
      </c>
    </row>
    <row r="1246" spans="1:11" x14ac:dyDescent="0.35">
      <c r="A1246" s="1">
        <v>39692</v>
      </c>
      <c r="B1246" t="s">
        <v>12</v>
      </c>
      <c r="C1246" t="s">
        <v>38</v>
      </c>
      <c r="D1246">
        <v>9389</v>
      </c>
      <c r="E1246">
        <v>61120</v>
      </c>
      <c r="F1246">
        <f t="shared" si="122"/>
        <v>6.509745446799446</v>
      </c>
      <c r="G1246">
        <f t="shared" si="121"/>
        <v>295.28205346682284</v>
      </c>
      <c r="H1246">
        <v>656.25</v>
      </c>
      <c r="I1246" t="s">
        <v>38</v>
      </c>
      <c r="J1246">
        <f t="shared" si="123"/>
        <v>14.467592592592593</v>
      </c>
      <c r="K1246">
        <v>1294.9257376989449</v>
      </c>
    </row>
    <row r="1247" spans="1:11" x14ac:dyDescent="0.35">
      <c r="A1247" s="1">
        <v>39722</v>
      </c>
      <c r="B1247" t="s">
        <v>12</v>
      </c>
      <c r="C1247" t="s">
        <v>38</v>
      </c>
      <c r="D1247">
        <v>10207</v>
      </c>
      <c r="E1247">
        <v>61802</v>
      </c>
      <c r="F1247">
        <f t="shared" si="122"/>
        <v>6.054864308807681</v>
      </c>
      <c r="G1247">
        <f t="shared" si="121"/>
        <v>274.64864504751642</v>
      </c>
      <c r="H1247">
        <v>647.91599999999994</v>
      </c>
      <c r="I1247" t="s">
        <v>38</v>
      </c>
      <c r="J1247">
        <f t="shared" si="123"/>
        <v>14.283862433862433</v>
      </c>
      <c r="K1247">
        <v>1294.9257376989449</v>
      </c>
    </row>
    <row r="1248" spans="1:11" x14ac:dyDescent="0.35">
      <c r="A1248" s="1">
        <v>39753</v>
      </c>
      <c r="B1248" t="s">
        <v>12</v>
      </c>
      <c r="C1248" t="s">
        <v>38</v>
      </c>
      <c r="D1248">
        <v>10987</v>
      </c>
      <c r="E1248">
        <v>67823</v>
      </c>
      <c r="F1248">
        <f t="shared" si="122"/>
        <v>6.1730226631473561</v>
      </c>
      <c r="G1248">
        <f t="shared" si="121"/>
        <v>280.00830800036408</v>
      </c>
      <c r="H1248">
        <v>621.63400000000001</v>
      </c>
      <c r="I1248" t="s">
        <v>38</v>
      </c>
      <c r="J1248">
        <f t="shared" si="123"/>
        <v>13.704453262786597</v>
      </c>
      <c r="K1248">
        <v>1294.9257376989449</v>
      </c>
    </row>
    <row r="1249" spans="1:11" x14ac:dyDescent="0.35">
      <c r="A1249" s="1">
        <v>39783</v>
      </c>
      <c r="B1249" t="s">
        <v>12</v>
      </c>
      <c r="C1249" t="s">
        <v>38</v>
      </c>
      <c r="D1249">
        <v>14622</v>
      </c>
      <c r="E1249">
        <v>83695</v>
      </c>
      <c r="F1249">
        <f t="shared" si="122"/>
        <v>5.7239091779510325</v>
      </c>
      <c r="G1249">
        <f t="shared" si="121"/>
        <v>259.63652031185882</v>
      </c>
      <c r="H1249">
        <v>688.51333333333332</v>
      </c>
      <c r="I1249" t="s">
        <v>38</v>
      </c>
      <c r="J1249">
        <f t="shared" si="123"/>
        <v>15.178865373309817</v>
      </c>
      <c r="K1249">
        <v>1294.9257376989449</v>
      </c>
    </row>
    <row r="1250" spans="1:11" x14ac:dyDescent="0.35">
      <c r="A1250" s="1">
        <v>39448</v>
      </c>
      <c r="B1250" t="s">
        <v>13</v>
      </c>
      <c r="C1250" t="s">
        <v>38</v>
      </c>
      <c r="D1250">
        <v>4667</v>
      </c>
      <c r="E1250">
        <v>35085</v>
      </c>
      <c r="F1250">
        <f t="shared" si="122"/>
        <v>7.5176773087636599</v>
      </c>
      <c r="G1250">
        <f t="shared" si="121"/>
        <v>341.00184272551962</v>
      </c>
      <c r="H1250">
        <v>448.27650000000006</v>
      </c>
      <c r="I1250" t="s">
        <v>38</v>
      </c>
      <c r="J1250">
        <f t="shared" si="123"/>
        <v>9.8826388888888896</v>
      </c>
      <c r="K1250">
        <v>5429.7257056660201</v>
      </c>
    </row>
    <row r="1251" spans="1:11" x14ac:dyDescent="0.35">
      <c r="A1251" s="1">
        <v>39479</v>
      </c>
      <c r="B1251" t="s">
        <v>13</v>
      </c>
      <c r="C1251" t="s">
        <v>38</v>
      </c>
      <c r="D1251">
        <v>4778</v>
      </c>
      <c r="E1251">
        <v>37777</v>
      </c>
      <c r="F1251">
        <f t="shared" si="122"/>
        <v>7.9064462118041021</v>
      </c>
      <c r="G1251">
        <f t="shared" si="121"/>
        <v>358.63640016743409</v>
      </c>
      <c r="H1251">
        <v>430.7328</v>
      </c>
      <c r="I1251" t="s">
        <v>38</v>
      </c>
      <c r="J1251">
        <f t="shared" si="123"/>
        <v>9.4958730158730162</v>
      </c>
      <c r="K1251">
        <v>5429.7257056660201</v>
      </c>
    </row>
    <row r="1252" spans="1:11" x14ac:dyDescent="0.35">
      <c r="A1252" s="1">
        <v>39508</v>
      </c>
      <c r="B1252" t="s">
        <v>13</v>
      </c>
      <c r="C1252" t="s">
        <v>38</v>
      </c>
      <c r="D1252">
        <v>6810</v>
      </c>
      <c r="E1252">
        <v>48481</v>
      </c>
      <c r="F1252">
        <f t="shared" si="122"/>
        <v>7.1190895741556535</v>
      </c>
      <c r="G1252">
        <f t="shared" si="121"/>
        <v>322.92190308370044</v>
      </c>
      <c r="H1252">
        <v>405.34709999999995</v>
      </c>
      <c r="I1252" t="s">
        <v>38</v>
      </c>
      <c r="J1252">
        <f t="shared" si="123"/>
        <v>8.9362235449735437</v>
      </c>
      <c r="K1252">
        <v>5429.7257056660201</v>
      </c>
    </row>
    <row r="1253" spans="1:11" x14ac:dyDescent="0.35">
      <c r="A1253" s="1">
        <v>39539</v>
      </c>
      <c r="B1253" t="s">
        <v>13</v>
      </c>
      <c r="C1253" t="s">
        <v>38</v>
      </c>
      <c r="D1253">
        <v>7767</v>
      </c>
      <c r="E1253">
        <v>55228</v>
      </c>
      <c r="F1253">
        <f t="shared" si="122"/>
        <v>7.1105961117548606</v>
      </c>
      <c r="G1253">
        <f t="shared" si="121"/>
        <v>322.53663962920047</v>
      </c>
      <c r="H1253">
        <v>445.1216</v>
      </c>
      <c r="I1253" t="s">
        <v>38</v>
      </c>
      <c r="J1253">
        <f t="shared" si="123"/>
        <v>9.8130864197530858</v>
      </c>
      <c r="K1253">
        <v>5429.7257056660201</v>
      </c>
    </row>
    <row r="1254" spans="1:11" x14ac:dyDescent="0.35">
      <c r="A1254" s="1">
        <v>39569</v>
      </c>
      <c r="B1254" t="s">
        <v>13</v>
      </c>
      <c r="C1254" t="s">
        <v>38</v>
      </c>
      <c r="D1254">
        <v>7939</v>
      </c>
      <c r="E1254">
        <v>50477</v>
      </c>
      <c r="F1254">
        <f t="shared" si="122"/>
        <v>6.3581055548557757</v>
      </c>
      <c r="G1254">
        <f t="shared" si="121"/>
        <v>288.40366796825799</v>
      </c>
      <c r="H1254">
        <v>402.42160000000001</v>
      </c>
      <c r="I1254" t="s">
        <v>38</v>
      </c>
      <c r="J1254">
        <f t="shared" si="123"/>
        <v>8.8717283950617283</v>
      </c>
      <c r="K1254">
        <v>5429.7257056660201</v>
      </c>
    </row>
    <row r="1255" spans="1:11" x14ac:dyDescent="0.35">
      <c r="A1255" s="1">
        <v>39600</v>
      </c>
      <c r="B1255" t="s">
        <v>13</v>
      </c>
      <c r="C1255" t="s">
        <v>38</v>
      </c>
      <c r="D1255">
        <v>7494</v>
      </c>
      <c r="E1255">
        <v>56614</v>
      </c>
      <c r="F1255">
        <f t="shared" si="122"/>
        <v>7.5545769949292767</v>
      </c>
      <c r="G1255">
        <f t="shared" si="121"/>
        <v>342.67561248999198</v>
      </c>
      <c r="H1255">
        <v>313.60000000000002</v>
      </c>
      <c r="I1255" t="s">
        <v>38</v>
      </c>
      <c r="J1255">
        <f t="shared" si="123"/>
        <v>6.9135802469135808</v>
      </c>
      <c r="K1255">
        <v>5429.7257056660201</v>
      </c>
    </row>
    <row r="1256" spans="1:11" x14ac:dyDescent="0.35">
      <c r="A1256" s="1">
        <v>39630</v>
      </c>
      <c r="B1256" t="s">
        <v>13</v>
      </c>
      <c r="C1256" t="s">
        <v>38</v>
      </c>
      <c r="D1256">
        <v>6080</v>
      </c>
      <c r="E1256">
        <v>53427</v>
      </c>
      <c r="F1256">
        <f t="shared" si="122"/>
        <v>8.7873355263157897</v>
      </c>
      <c r="G1256">
        <f t="shared" si="121"/>
        <v>398.59353947368425</v>
      </c>
      <c r="H1256">
        <v>381.25</v>
      </c>
      <c r="I1256" t="s">
        <v>38</v>
      </c>
      <c r="J1256">
        <f t="shared" si="123"/>
        <v>8.4049823633156961</v>
      </c>
      <c r="K1256">
        <v>5429.7257056660201</v>
      </c>
    </row>
    <row r="1257" spans="1:11" x14ac:dyDescent="0.35">
      <c r="A1257" s="1">
        <v>39661</v>
      </c>
      <c r="B1257" t="s">
        <v>13</v>
      </c>
      <c r="C1257" t="s">
        <v>38</v>
      </c>
      <c r="D1257">
        <v>6618</v>
      </c>
      <c r="E1257">
        <v>43534</v>
      </c>
      <c r="F1257">
        <f t="shared" si="122"/>
        <v>6.5781202780296164</v>
      </c>
      <c r="G1257">
        <f t="shared" si="121"/>
        <v>298.38353581142337</v>
      </c>
      <c r="H1257">
        <v>387.53399999999999</v>
      </c>
      <c r="I1257" t="s">
        <v>38</v>
      </c>
      <c r="J1257">
        <f t="shared" si="123"/>
        <v>8.5435185185185176</v>
      </c>
      <c r="K1257">
        <v>5429.7257056660201</v>
      </c>
    </row>
    <row r="1258" spans="1:11" x14ac:dyDescent="0.35">
      <c r="A1258" s="1">
        <v>39692</v>
      </c>
      <c r="B1258" t="s">
        <v>13</v>
      </c>
      <c r="C1258" t="s">
        <v>38</v>
      </c>
      <c r="D1258">
        <v>4558</v>
      </c>
      <c r="E1258">
        <v>35098</v>
      </c>
      <c r="F1258">
        <f t="shared" si="122"/>
        <v>7.7003071522597635</v>
      </c>
      <c r="G1258">
        <f t="shared" si="121"/>
        <v>349.28593242650288</v>
      </c>
      <c r="H1258">
        <v>519.45880000000011</v>
      </c>
      <c r="I1258" t="s">
        <v>38</v>
      </c>
      <c r="J1258">
        <f t="shared" si="123"/>
        <v>11.451913580246917</v>
      </c>
      <c r="K1258">
        <v>5429.7257056660201</v>
      </c>
    </row>
    <row r="1259" spans="1:11" x14ac:dyDescent="0.35">
      <c r="A1259" s="1">
        <v>39722</v>
      </c>
      <c r="B1259" t="s">
        <v>13</v>
      </c>
      <c r="C1259" t="s">
        <v>38</v>
      </c>
      <c r="D1259">
        <v>5063</v>
      </c>
      <c r="E1259">
        <v>36126</v>
      </c>
      <c r="F1259">
        <f t="shared" si="122"/>
        <v>7.1352952794785702</v>
      </c>
      <c r="G1259">
        <f t="shared" si="121"/>
        <v>323.65699387714795</v>
      </c>
      <c r="H1259">
        <v>330.22500000000002</v>
      </c>
      <c r="I1259" t="s">
        <v>38</v>
      </c>
      <c r="J1259">
        <f t="shared" si="123"/>
        <v>7.2800925925925934</v>
      </c>
      <c r="K1259">
        <v>5429.7257056660201</v>
      </c>
    </row>
    <row r="1260" spans="1:11" x14ac:dyDescent="0.35">
      <c r="A1260" s="1">
        <v>39753</v>
      </c>
      <c r="B1260" t="s">
        <v>13</v>
      </c>
      <c r="C1260" t="s">
        <v>38</v>
      </c>
      <c r="D1260">
        <v>4696</v>
      </c>
      <c r="E1260">
        <v>31671</v>
      </c>
      <c r="F1260">
        <f t="shared" si="122"/>
        <v>6.7442504258943785</v>
      </c>
      <c r="G1260">
        <f t="shared" si="121"/>
        <v>305.91919931856899</v>
      </c>
      <c r="H1260">
        <v>291.66666666666663</v>
      </c>
      <c r="I1260" t="s">
        <v>38</v>
      </c>
      <c r="J1260">
        <f t="shared" si="123"/>
        <v>6.4300411522633736</v>
      </c>
      <c r="K1260">
        <v>5429.7257056660201</v>
      </c>
    </row>
    <row r="1261" spans="1:11" x14ac:dyDescent="0.35">
      <c r="A1261" s="1">
        <v>39783</v>
      </c>
      <c r="B1261" t="s">
        <v>13</v>
      </c>
      <c r="C1261" t="s">
        <v>38</v>
      </c>
      <c r="D1261">
        <v>5466</v>
      </c>
      <c r="E1261">
        <v>35611</v>
      </c>
      <c r="F1261">
        <f t="shared" si="122"/>
        <v>6.5150018294914016</v>
      </c>
      <c r="G1261">
        <f>F1261*45.36</f>
        <v>295.52048298572998</v>
      </c>
      <c r="H1261">
        <v>307.94822499999998</v>
      </c>
      <c r="I1261" t="s">
        <v>38</v>
      </c>
      <c r="J1261">
        <f>H1261/45.36</f>
        <v>6.7889820326278656</v>
      </c>
      <c r="K1261">
        <v>5429.7257056660201</v>
      </c>
    </row>
    <row r="1262" spans="1:11" x14ac:dyDescent="0.35">
      <c r="A1262" s="1">
        <v>39448</v>
      </c>
      <c r="B1262" t="s">
        <v>14</v>
      </c>
      <c r="C1262" t="s">
        <v>40</v>
      </c>
      <c r="D1262">
        <v>17161</v>
      </c>
      <c r="E1262">
        <v>5713</v>
      </c>
      <c r="F1262">
        <f t="shared" si="122"/>
        <v>0.33290600780840279</v>
      </c>
      <c r="G1262">
        <f>F1262*562.34</f>
        <v>187.20636443097723</v>
      </c>
      <c r="H1262">
        <v>6565.4285714285716</v>
      </c>
      <c r="I1262" t="s">
        <v>40</v>
      </c>
      <c r="J1262">
        <f>(H1262/1000)/0.56234</f>
        <v>11.675193959932733</v>
      </c>
      <c r="K1262">
        <v>4903.3716657183331</v>
      </c>
    </row>
    <row r="1263" spans="1:11" x14ac:dyDescent="0.35">
      <c r="A1263" s="1">
        <v>39479</v>
      </c>
      <c r="B1263" t="s">
        <v>14</v>
      </c>
      <c r="C1263" t="s">
        <v>40</v>
      </c>
      <c r="D1263">
        <v>5684</v>
      </c>
      <c r="E1263">
        <v>5791</v>
      </c>
      <c r="F1263">
        <f t="shared" si="122"/>
        <v>1.0188247712878256</v>
      </c>
      <c r="G1263">
        <f t="shared" ref="G1263:G1273" si="124">F1263*562.34</f>
        <v>572.92592188599588</v>
      </c>
      <c r="H1263">
        <v>6185.5</v>
      </c>
      <c r="I1263" t="s">
        <v>40</v>
      </c>
      <c r="J1263">
        <f t="shared" ref="J1263:J1273" si="125">(H1263/1000)/0.56234</f>
        <v>10.999573211935841</v>
      </c>
      <c r="K1263">
        <v>4903.3716657183331</v>
      </c>
    </row>
    <row r="1264" spans="1:11" x14ac:dyDescent="0.35">
      <c r="A1264" s="1">
        <v>39508</v>
      </c>
      <c r="B1264" t="s">
        <v>14</v>
      </c>
      <c r="C1264" t="s">
        <v>40</v>
      </c>
      <c r="D1264">
        <v>2295</v>
      </c>
      <c r="E1264">
        <v>1099</v>
      </c>
      <c r="F1264">
        <f t="shared" si="122"/>
        <v>0.47886710239651414</v>
      </c>
      <c r="G1264">
        <f t="shared" si="124"/>
        <v>269.28612636165576</v>
      </c>
      <c r="H1264">
        <v>6619.75</v>
      </c>
      <c r="I1264" t="s">
        <v>40</v>
      </c>
      <c r="J1264">
        <f t="shared" si="125"/>
        <v>11.771792865526194</v>
      </c>
      <c r="K1264">
        <v>4903.3716657183331</v>
      </c>
    </row>
    <row r="1265" spans="1:11" x14ac:dyDescent="0.35">
      <c r="A1265" s="1">
        <v>39539</v>
      </c>
      <c r="B1265" t="s">
        <v>14</v>
      </c>
      <c r="C1265" t="s">
        <v>40</v>
      </c>
      <c r="D1265">
        <v>50</v>
      </c>
      <c r="E1265">
        <v>5</v>
      </c>
      <c r="F1265">
        <f t="shared" si="122"/>
        <v>0.1</v>
      </c>
      <c r="G1265">
        <f t="shared" si="124"/>
        <v>56.234000000000009</v>
      </c>
      <c r="H1265">
        <v>6500</v>
      </c>
      <c r="I1265" t="s">
        <v>40</v>
      </c>
      <c r="J1265">
        <f t="shared" si="125"/>
        <v>11.558843404346126</v>
      </c>
      <c r="K1265">
        <v>4903.3716657183331</v>
      </c>
    </row>
    <row r="1266" spans="1:11" x14ac:dyDescent="0.35">
      <c r="A1266" s="1">
        <v>39569</v>
      </c>
      <c r="B1266" t="s">
        <v>14</v>
      </c>
      <c r="C1266" t="s">
        <v>40</v>
      </c>
      <c r="D1266">
        <v>212</v>
      </c>
      <c r="E1266">
        <v>53</v>
      </c>
      <c r="F1266">
        <f t="shared" si="122"/>
        <v>0.25</v>
      </c>
      <c r="G1266">
        <f t="shared" si="124"/>
        <v>140.58500000000001</v>
      </c>
      <c r="H1266">
        <v>6200</v>
      </c>
      <c r="I1266" t="s">
        <v>40</v>
      </c>
      <c r="J1266">
        <f t="shared" si="125"/>
        <v>11.025358324145536</v>
      </c>
      <c r="K1266">
        <v>4903.3716657183331</v>
      </c>
    </row>
    <row r="1267" spans="1:11" x14ac:dyDescent="0.35">
      <c r="A1267" s="1">
        <v>39600</v>
      </c>
      <c r="B1267" t="s">
        <v>14</v>
      </c>
      <c r="C1267" t="s">
        <v>40</v>
      </c>
      <c r="D1267">
        <v>358</v>
      </c>
      <c r="E1267">
        <v>254</v>
      </c>
      <c r="F1267">
        <f t="shared" si="122"/>
        <v>0.70949720670391059</v>
      </c>
      <c r="G1267">
        <f t="shared" si="124"/>
        <v>398.97865921787712</v>
      </c>
      <c r="H1267">
        <v>7800</v>
      </c>
      <c r="I1267" t="s">
        <v>40</v>
      </c>
      <c r="J1267">
        <f t="shared" si="125"/>
        <v>13.870612085215351</v>
      </c>
      <c r="K1267">
        <v>4903.3716657183331</v>
      </c>
    </row>
    <row r="1268" spans="1:11" x14ac:dyDescent="0.35">
      <c r="A1268" s="1">
        <v>39630</v>
      </c>
      <c r="B1268" t="s">
        <v>14</v>
      </c>
      <c r="C1268" t="s">
        <v>40</v>
      </c>
      <c r="D1268">
        <v>13034</v>
      </c>
      <c r="E1268">
        <v>14552</v>
      </c>
      <c r="F1268">
        <f t="shared" si="122"/>
        <v>1.116464630965168</v>
      </c>
      <c r="G1268">
        <f t="shared" si="124"/>
        <v>627.83272057695262</v>
      </c>
      <c r="H1268">
        <v>5759.2599999999993</v>
      </c>
      <c r="I1268" t="s">
        <v>40</v>
      </c>
      <c r="J1268">
        <f t="shared" si="125"/>
        <v>10.24159760998684</v>
      </c>
      <c r="K1268">
        <v>4903.3716657183331</v>
      </c>
    </row>
    <row r="1269" spans="1:11" x14ac:dyDescent="0.35">
      <c r="A1269" s="1">
        <v>39661</v>
      </c>
      <c r="B1269" t="s">
        <v>14</v>
      </c>
      <c r="C1269" t="s">
        <v>40</v>
      </c>
      <c r="D1269">
        <v>41200</v>
      </c>
      <c r="E1269">
        <v>66841</v>
      </c>
      <c r="F1269">
        <f t="shared" si="122"/>
        <v>1.6223543689320388</v>
      </c>
      <c r="G1269">
        <f t="shared" si="124"/>
        <v>912.31475582524274</v>
      </c>
      <c r="H1269">
        <v>4542.333333333333</v>
      </c>
      <c r="I1269" t="s">
        <v>40</v>
      </c>
      <c r="J1269">
        <f t="shared" si="125"/>
        <v>8.0775568754371605</v>
      </c>
      <c r="K1269">
        <v>4903.3716657183331</v>
      </c>
    </row>
    <row r="1270" spans="1:11" x14ac:dyDescent="0.35">
      <c r="A1270" s="1">
        <v>39692</v>
      </c>
      <c r="B1270" t="s">
        <v>14</v>
      </c>
      <c r="C1270" t="s">
        <v>40</v>
      </c>
      <c r="D1270">
        <v>54874</v>
      </c>
      <c r="E1270">
        <v>99390</v>
      </c>
      <c r="F1270">
        <f t="shared" si="122"/>
        <v>1.8112402959507234</v>
      </c>
      <c r="G1270">
        <f t="shared" si="124"/>
        <v>1018.5328680249298</v>
      </c>
      <c r="H1270">
        <v>6142.68</v>
      </c>
      <c r="I1270" t="s">
        <v>40</v>
      </c>
      <c r="J1270">
        <f t="shared" si="125"/>
        <v>10.923427108155209</v>
      </c>
      <c r="K1270">
        <v>4903.3716657183331</v>
      </c>
    </row>
    <row r="1271" spans="1:11" x14ac:dyDescent="0.35">
      <c r="A1271" s="1">
        <v>39722</v>
      </c>
      <c r="B1271" t="s">
        <v>14</v>
      </c>
      <c r="C1271" t="s">
        <v>40</v>
      </c>
      <c r="D1271">
        <v>65403</v>
      </c>
      <c r="E1271">
        <v>110667</v>
      </c>
      <c r="F1271">
        <f t="shared" si="122"/>
        <v>1.6920783450300445</v>
      </c>
      <c r="G1271">
        <f t="shared" si="124"/>
        <v>951.52333654419533</v>
      </c>
      <c r="H1271">
        <v>4089.0416666666665</v>
      </c>
      <c r="I1271" t="s">
        <v>40</v>
      </c>
      <c r="J1271">
        <f t="shared" si="125"/>
        <v>7.2714757382840753</v>
      </c>
      <c r="K1271">
        <v>4903.3716657183331</v>
      </c>
    </row>
    <row r="1272" spans="1:11" x14ac:dyDescent="0.35">
      <c r="A1272" s="1">
        <v>39753</v>
      </c>
      <c r="B1272" t="s">
        <v>14</v>
      </c>
      <c r="C1272" t="s">
        <v>40</v>
      </c>
      <c r="D1272">
        <v>39444</v>
      </c>
      <c r="E1272">
        <v>67707</v>
      </c>
      <c r="F1272">
        <f t="shared" si="122"/>
        <v>1.7165348341953148</v>
      </c>
      <c r="G1272">
        <f t="shared" si="124"/>
        <v>965.27619866139344</v>
      </c>
      <c r="H1272">
        <v>4606.25</v>
      </c>
      <c r="I1272" t="s">
        <v>40</v>
      </c>
      <c r="J1272">
        <f t="shared" si="125"/>
        <v>8.1912188355798996</v>
      </c>
      <c r="K1272">
        <v>4903.3716657183331</v>
      </c>
    </row>
    <row r="1273" spans="1:11" x14ac:dyDescent="0.35">
      <c r="A1273" s="1">
        <v>39783</v>
      </c>
      <c r="B1273" t="s">
        <v>14</v>
      </c>
      <c r="C1273" t="s">
        <v>40</v>
      </c>
      <c r="D1273">
        <v>38448</v>
      </c>
      <c r="E1273">
        <v>42700</v>
      </c>
      <c r="F1273">
        <f t="shared" si="122"/>
        <v>1.1105909280066584</v>
      </c>
      <c r="G1273">
        <f t="shared" si="124"/>
        <v>624.52970245526433</v>
      </c>
      <c r="H1273">
        <v>4674.2879999999996</v>
      </c>
      <c r="I1273" t="s">
        <v>40</v>
      </c>
      <c r="J1273">
        <f t="shared" si="125"/>
        <v>8.312209695202192</v>
      </c>
      <c r="K1273">
        <v>4903.3716657183331</v>
      </c>
    </row>
    <row r="1274" spans="1:11" x14ac:dyDescent="0.35">
      <c r="A1274" s="1">
        <v>39448</v>
      </c>
      <c r="B1274" t="s">
        <v>15</v>
      </c>
      <c r="C1274" t="s">
        <v>41</v>
      </c>
      <c r="D1274">
        <v>301502</v>
      </c>
      <c r="E1274">
        <v>1689888</v>
      </c>
      <c r="F1274">
        <f t="shared" si="122"/>
        <v>5.6048981432958982</v>
      </c>
      <c r="G1274">
        <f>F1274*27.21</f>
        <v>152.50927847908139</v>
      </c>
      <c r="H1274">
        <v>105.43</v>
      </c>
      <c r="I1274" t="s">
        <v>58</v>
      </c>
      <c r="J1274">
        <f>H1274/27.21</f>
        <v>3.8746784270488792</v>
      </c>
      <c r="K1274">
        <f>3519.80013902151+5124.97916603096</f>
        <v>8644.7793050524706</v>
      </c>
    </row>
    <row r="1275" spans="1:11" x14ac:dyDescent="0.35">
      <c r="A1275" s="1">
        <v>39479</v>
      </c>
      <c r="B1275" t="s">
        <v>15</v>
      </c>
      <c r="C1275" t="s">
        <v>41</v>
      </c>
      <c r="D1275">
        <v>256704</v>
      </c>
      <c r="E1275">
        <v>1363153</v>
      </c>
      <c r="F1275">
        <f t="shared" si="122"/>
        <v>5.3102133196210417</v>
      </c>
      <c r="G1275">
        <f t="shared" ref="G1275:G1285" si="126">F1275*27.21</f>
        <v>144.49090442688856</v>
      </c>
      <c r="H1275">
        <v>109.19000000000001</v>
      </c>
      <c r="I1275" t="s">
        <v>58</v>
      </c>
      <c r="J1275">
        <f t="shared" ref="J1275:J1285" si="127">H1275/27.21</f>
        <v>4.0128629180448367</v>
      </c>
      <c r="K1275">
        <f t="shared" ref="K1275:K1284" si="128">3519.80013902151+5124.97916603096</f>
        <v>8644.7793050524706</v>
      </c>
    </row>
    <row r="1276" spans="1:11" x14ac:dyDescent="0.35">
      <c r="A1276" s="1">
        <v>39508</v>
      </c>
      <c r="B1276" t="s">
        <v>15</v>
      </c>
      <c r="C1276" t="s">
        <v>41</v>
      </c>
      <c r="D1276">
        <v>298677</v>
      </c>
      <c r="E1276">
        <v>1436282</v>
      </c>
      <c r="F1276">
        <f t="shared" si="122"/>
        <v>4.8088135343531642</v>
      </c>
      <c r="G1276">
        <f t="shared" si="126"/>
        <v>130.84781626974961</v>
      </c>
      <c r="H1276">
        <v>117.82142857142856</v>
      </c>
      <c r="I1276" t="s">
        <v>58</v>
      </c>
      <c r="J1276">
        <f t="shared" si="127"/>
        <v>4.3300782275423941</v>
      </c>
      <c r="K1276">
        <f t="shared" si="128"/>
        <v>8644.7793050524706</v>
      </c>
    </row>
    <row r="1277" spans="1:11" x14ac:dyDescent="0.35">
      <c r="A1277" s="1">
        <v>39539</v>
      </c>
      <c r="B1277" t="s">
        <v>15</v>
      </c>
      <c r="C1277" t="s">
        <v>41</v>
      </c>
      <c r="D1277">
        <v>287000</v>
      </c>
      <c r="E1277">
        <v>1435893</v>
      </c>
      <c r="F1277">
        <f t="shared" si="122"/>
        <v>5.00311149825784</v>
      </c>
      <c r="G1277">
        <f t="shared" si="126"/>
        <v>136.13466386759583</v>
      </c>
      <c r="H1277">
        <v>103.16666666666667</v>
      </c>
      <c r="I1277" t="s">
        <v>58</v>
      </c>
      <c r="J1277">
        <f t="shared" si="127"/>
        <v>3.7914982236922699</v>
      </c>
      <c r="K1277">
        <f t="shared" si="128"/>
        <v>8644.7793050524706</v>
      </c>
    </row>
    <row r="1278" spans="1:11" x14ac:dyDescent="0.35">
      <c r="A1278" s="1">
        <v>39569</v>
      </c>
      <c r="B1278" t="s">
        <v>15</v>
      </c>
      <c r="C1278" t="s">
        <v>41</v>
      </c>
      <c r="D1278">
        <v>292588</v>
      </c>
      <c r="E1278">
        <v>1508833</v>
      </c>
      <c r="F1278">
        <f t="shared" si="122"/>
        <v>5.1568519556509491</v>
      </c>
      <c r="G1278">
        <f t="shared" si="126"/>
        <v>140.31794171326234</v>
      </c>
      <c r="H1278">
        <v>109.9</v>
      </c>
      <c r="I1278" t="s">
        <v>58</v>
      </c>
      <c r="J1278">
        <f t="shared" si="127"/>
        <v>4.0389562660786478</v>
      </c>
      <c r="K1278">
        <f t="shared" si="128"/>
        <v>8644.7793050524706</v>
      </c>
    </row>
    <row r="1279" spans="1:11" x14ac:dyDescent="0.35">
      <c r="A1279" s="1">
        <v>39600</v>
      </c>
      <c r="B1279" t="s">
        <v>15</v>
      </c>
      <c r="C1279" t="s">
        <v>41</v>
      </c>
      <c r="D1279">
        <v>287072</v>
      </c>
      <c r="E1279">
        <v>1368313</v>
      </c>
      <c r="F1279">
        <f t="shared" si="122"/>
        <v>4.766445351688775</v>
      </c>
      <c r="G1279">
        <f t="shared" si="126"/>
        <v>129.69497801945158</v>
      </c>
      <c r="H1279">
        <v>99.723333333333343</v>
      </c>
      <c r="I1279" t="s">
        <v>58</v>
      </c>
      <c r="J1279">
        <f t="shared" si="127"/>
        <v>3.6649516109273552</v>
      </c>
      <c r="K1279">
        <f t="shared" si="128"/>
        <v>8644.7793050524706</v>
      </c>
    </row>
    <row r="1280" spans="1:11" x14ac:dyDescent="0.35">
      <c r="A1280" s="1">
        <v>39630</v>
      </c>
      <c r="B1280" t="s">
        <v>15</v>
      </c>
      <c r="C1280" t="s">
        <v>41</v>
      </c>
      <c r="D1280">
        <v>280000</v>
      </c>
      <c r="E1280">
        <v>1590945</v>
      </c>
      <c r="F1280">
        <f t="shared" si="122"/>
        <v>5.681946428571429</v>
      </c>
      <c r="G1280">
        <f t="shared" si="126"/>
        <v>154.60576232142859</v>
      </c>
      <c r="H1280">
        <v>101.07250000000001</v>
      </c>
      <c r="I1280" t="s">
        <v>58</v>
      </c>
      <c r="J1280">
        <f t="shared" si="127"/>
        <v>3.7145350973906655</v>
      </c>
      <c r="K1280">
        <f t="shared" si="128"/>
        <v>8644.7793050524706</v>
      </c>
    </row>
    <row r="1281" spans="1:11" x14ac:dyDescent="0.35">
      <c r="A1281" s="1">
        <v>39661</v>
      </c>
      <c r="B1281" t="s">
        <v>15</v>
      </c>
      <c r="C1281" t="s">
        <v>41</v>
      </c>
      <c r="D1281">
        <v>271041</v>
      </c>
      <c r="E1281">
        <v>1580253</v>
      </c>
      <c r="F1281">
        <f t="shared" si="122"/>
        <v>5.8303098055275768</v>
      </c>
      <c r="G1281">
        <f t="shared" si="126"/>
        <v>158.64272980840536</v>
      </c>
      <c r="H1281">
        <v>125.69499999999999</v>
      </c>
      <c r="I1281" t="s">
        <v>58</v>
      </c>
      <c r="J1281">
        <f t="shared" si="127"/>
        <v>4.6194413818449096</v>
      </c>
      <c r="K1281">
        <f t="shared" si="128"/>
        <v>8644.7793050524706</v>
      </c>
    </row>
    <row r="1282" spans="1:11" x14ac:dyDescent="0.35">
      <c r="A1282" s="1">
        <v>39692</v>
      </c>
      <c r="B1282" t="s">
        <v>15</v>
      </c>
      <c r="C1282" t="s">
        <v>41</v>
      </c>
      <c r="D1282">
        <v>280690</v>
      </c>
      <c r="E1282">
        <v>1504583</v>
      </c>
      <c r="F1282">
        <f t="shared" si="122"/>
        <v>5.3603014001211298</v>
      </c>
      <c r="G1282">
        <f t="shared" si="126"/>
        <v>145.85380109729596</v>
      </c>
      <c r="H1282">
        <v>120.316</v>
      </c>
      <c r="I1282" t="s">
        <v>58</v>
      </c>
      <c r="J1282">
        <f t="shared" si="127"/>
        <v>4.4217567070929809</v>
      </c>
      <c r="K1282">
        <f t="shared" si="128"/>
        <v>8644.7793050524706</v>
      </c>
    </row>
    <row r="1283" spans="1:11" x14ac:dyDescent="0.35">
      <c r="A1283" s="1">
        <v>39722</v>
      </c>
      <c r="B1283" t="s">
        <v>15</v>
      </c>
      <c r="C1283" t="s">
        <v>41</v>
      </c>
      <c r="D1283">
        <v>393212</v>
      </c>
      <c r="E1283">
        <v>1555969</v>
      </c>
      <c r="F1283">
        <f t="shared" si="122"/>
        <v>3.9570740465702978</v>
      </c>
      <c r="G1283">
        <f t="shared" si="126"/>
        <v>107.67198480717781</v>
      </c>
      <c r="H1283">
        <v>128.875</v>
      </c>
      <c r="I1283" t="s">
        <v>58</v>
      </c>
      <c r="J1283">
        <f t="shared" si="127"/>
        <v>4.7363101800808529</v>
      </c>
      <c r="K1283">
        <f t="shared" si="128"/>
        <v>8644.7793050524706</v>
      </c>
    </row>
    <row r="1284" spans="1:11" x14ac:dyDescent="0.35">
      <c r="A1284" s="1">
        <v>39753</v>
      </c>
      <c r="B1284" t="s">
        <v>15</v>
      </c>
      <c r="C1284" t="s">
        <v>41</v>
      </c>
      <c r="D1284">
        <v>277991</v>
      </c>
      <c r="E1284">
        <v>1524535</v>
      </c>
      <c r="F1284">
        <f t="shared" si="122"/>
        <v>5.4841163922573033</v>
      </c>
      <c r="G1284">
        <f t="shared" si="126"/>
        <v>149.22280703332123</v>
      </c>
      <c r="H1284">
        <v>111.88400000000001</v>
      </c>
      <c r="I1284" t="s">
        <v>58</v>
      </c>
      <c r="J1284">
        <f t="shared" si="127"/>
        <v>4.1118706357956638</v>
      </c>
      <c r="K1284">
        <f t="shared" si="128"/>
        <v>8644.7793050524706</v>
      </c>
    </row>
    <row r="1285" spans="1:11" x14ac:dyDescent="0.35">
      <c r="A1285" s="1">
        <v>39783</v>
      </c>
      <c r="B1285" t="s">
        <v>15</v>
      </c>
      <c r="C1285" t="s">
        <v>41</v>
      </c>
      <c r="D1285">
        <v>286033</v>
      </c>
      <c r="E1285">
        <v>1672624</v>
      </c>
      <c r="F1285">
        <f t="shared" si="122"/>
        <v>5.8476609342278687</v>
      </c>
      <c r="G1285">
        <f>F1285*27.21</f>
        <v>159.11485402034032</v>
      </c>
      <c r="H1285">
        <v>119.46428571428569</v>
      </c>
      <c r="I1285" t="s">
        <v>58</v>
      </c>
      <c r="J1285">
        <f t="shared" si="127"/>
        <v>4.3904551897936672</v>
      </c>
      <c r="K1285">
        <f>3519.80013902151+5124.97916603096</f>
        <v>8644.7793050524706</v>
      </c>
    </row>
    <row r="1286" spans="1:11" x14ac:dyDescent="0.35">
      <c r="A1286" s="1">
        <v>39448</v>
      </c>
      <c r="B1286" t="s">
        <v>18</v>
      </c>
      <c r="C1286" t="s">
        <v>40</v>
      </c>
      <c r="D1286">
        <v>585186</v>
      </c>
      <c r="E1286">
        <v>92281</v>
      </c>
      <c r="F1286">
        <f t="shared" si="122"/>
        <v>0.15769516017129595</v>
      </c>
      <c r="G1286">
        <f>F1286*408.15</f>
        <v>64.363279623914437</v>
      </c>
      <c r="H1286">
        <v>5126.76</v>
      </c>
      <c r="I1286" t="s">
        <v>40</v>
      </c>
      <c r="J1286">
        <f>(H1286/1000)/0.40815</f>
        <v>12.560970231532524</v>
      </c>
      <c r="K1286">
        <f>2817.79563368666+5600.33323440826</f>
        <v>8418.1288680949201</v>
      </c>
    </row>
    <row r="1287" spans="1:11" x14ac:dyDescent="0.35">
      <c r="A1287" s="1">
        <v>39479</v>
      </c>
      <c r="B1287" t="s">
        <v>18</v>
      </c>
      <c r="C1287" t="s">
        <v>40</v>
      </c>
      <c r="D1287">
        <v>584582</v>
      </c>
      <c r="E1287">
        <v>92076</v>
      </c>
      <c r="F1287">
        <f t="shared" ref="F1287:F1350" si="129">E1287/D1287</f>
        <v>0.15750741555504616</v>
      </c>
      <c r="G1287">
        <f t="shared" ref="G1287:G1297" si="130">F1287*408.15</f>
        <v>64.286651658792081</v>
      </c>
      <c r="H1287">
        <v>5749.4757142857143</v>
      </c>
      <c r="I1287" t="s">
        <v>40</v>
      </c>
      <c r="J1287">
        <f t="shared" ref="J1287:J1296" si="131">(H1287/1000)/0.40815</f>
        <v>14.086673316882798</v>
      </c>
      <c r="K1287">
        <f t="shared" ref="K1287:K1297" si="132">2817.79563368666+5600.33323440826</f>
        <v>8418.1288680949201</v>
      </c>
    </row>
    <row r="1288" spans="1:11" x14ac:dyDescent="0.35">
      <c r="A1288" s="1">
        <v>39508</v>
      </c>
      <c r="B1288" t="s">
        <v>18</v>
      </c>
      <c r="C1288" t="s">
        <v>40</v>
      </c>
      <c r="D1288">
        <v>578370</v>
      </c>
      <c r="E1288">
        <v>100492</v>
      </c>
      <c r="F1288">
        <f t="shared" si="129"/>
        <v>0.17375036741186436</v>
      </c>
      <c r="G1288">
        <f t="shared" si="130"/>
        <v>70.916212459152433</v>
      </c>
      <c r="H1288">
        <v>5426.7142857142853</v>
      </c>
      <c r="I1288" t="s">
        <v>40</v>
      </c>
      <c r="J1288">
        <f t="shared" si="131"/>
        <v>13.295882116168775</v>
      </c>
      <c r="K1288">
        <f t="shared" si="132"/>
        <v>8418.1288680949201</v>
      </c>
    </row>
    <row r="1289" spans="1:11" x14ac:dyDescent="0.35">
      <c r="A1289" s="1">
        <v>39539</v>
      </c>
      <c r="B1289" t="s">
        <v>18</v>
      </c>
      <c r="C1289" t="s">
        <v>40</v>
      </c>
      <c r="D1289">
        <v>587151</v>
      </c>
      <c r="E1289">
        <v>99883</v>
      </c>
      <c r="F1289">
        <f t="shared" si="129"/>
        <v>0.17011467237558991</v>
      </c>
      <c r="G1289">
        <f t="shared" si="130"/>
        <v>69.432303530097016</v>
      </c>
      <c r="H1289">
        <v>4917.708333333333</v>
      </c>
      <c r="I1289" t="s">
        <v>40</v>
      </c>
      <c r="J1289">
        <f t="shared" si="131"/>
        <v>12.048777001919227</v>
      </c>
      <c r="K1289">
        <f t="shared" si="132"/>
        <v>8418.1288680949201</v>
      </c>
    </row>
    <row r="1290" spans="1:11" x14ac:dyDescent="0.35">
      <c r="A1290" s="1">
        <v>39569</v>
      </c>
      <c r="B1290" t="s">
        <v>18</v>
      </c>
      <c r="C1290" t="s">
        <v>40</v>
      </c>
      <c r="D1290">
        <v>589591</v>
      </c>
      <c r="E1290">
        <v>100212</v>
      </c>
      <c r="F1290">
        <f t="shared" si="129"/>
        <v>0.16996867319887854</v>
      </c>
      <c r="G1290">
        <f t="shared" si="130"/>
        <v>69.372713966122276</v>
      </c>
      <c r="H1290">
        <v>4645.366</v>
      </c>
      <c r="I1290" t="s">
        <v>40</v>
      </c>
      <c r="J1290">
        <f t="shared" si="131"/>
        <v>11.381516599289476</v>
      </c>
      <c r="K1290">
        <f t="shared" si="132"/>
        <v>8418.1288680949201</v>
      </c>
    </row>
    <row r="1291" spans="1:11" x14ac:dyDescent="0.35">
      <c r="A1291" s="1">
        <v>39600</v>
      </c>
      <c r="B1291" t="s">
        <v>18</v>
      </c>
      <c r="C1291" t="s">
        <v>40</v>
      </c>
      <c r="D1291">
        <v>600819</v>
      </c>
      <c r="E1291">
        <v>121850</v>
      </c>
      <c r="F1291">
        <f t="shared" si="129"/>
        <v>0.20280650245747889</v>
      </c>
      <c r="G1291">
        <f t="shared" si="130"/>
        <v>82.775473978020003</v>
      </c>
      <c r="H1291">
        <v>4700</v>
      </c>
      <c r="I1291" t="s">
        <v>40</v>
      </c>
      <c r="J1291">
        <f t="shared" si="131"/>
        <v>11.515374249663115</v>
      </c>
      <c r="K1291">
        <f t="shared" si="132"/>
        <v>8418.1288680949201</v>
      </c>
    </row>
    <row r="1292" spans="1:11" x14ac:dyDescent="0.35">
      <c r="A1292" s="1">
        <v>39630</v>
      </c>
      <c r="B1292" t="s">
        <v>18</v>
      </c>
      <c r="C1292" t="s">
        <v>40</v>
      </c>
      <c r="D1292">
        <v>563312</v>
      </c>
      <c r="E1292">
        <v>112702</v>
      </c>
      <c r="F1292">
        <f t="shared" si="129"/>
        <v>0.20007029852018066</v>
      </c>
      <c r="G1292">
        <f t="shared" si="130"/>
        <v>81.658692341011729</v>
      </c>
      <c r="H1292">
        <v>5031.6000000000004</v>
      </c>
      <c r="I1292" t="s">
        <v>40</v>
      </c>
      <c r="J1292">
        <f t="shared" si="131"/>
        <v>12.32782065417126</v>
      </c>
      <c r="K1292">
        <f t="shared" si="132"/>
        <v>8418.1288680949201</v>
      </c>
    </row>
    <row r="1293" spans="1:11" x14ac:dyDescent="0.35">
      <c r="A1293" s="1">
        <v>39661</v>
      </c>
      <c r="B1293" t="s">
        <v>18</v>
      </c>
      <c r="C1293" t="s">
        <v>40</v>
      </c>
      <c r="D1293">
        <v>600864</v>
      </c>
      <c r="E1293">
        <v>131999</v>
      </c>
      <c r="F1293">
        <f t="shared" si="129"/>
        <v>0.21968199126591043</v>
      </c>
      <c r="G1293">
        <f t="shared" si="130"/>
        <v>89.663204735181338</v>
      </c>
      <c r="H1293">
        <v>5337.2216666666673</v>
      </c>
      <c r="I1293" t="s">
        <v>40</v>
      </c>
      <c r="J1293">
        <f t="shared" si="131"/>
        <v>13.07661807342072</v>
      </c>
      <c r="K1293">
        <f t="shared" si="132"/>
        <v>8418.1288680949201</v>
      </c>
    </row>
    <row r="1294" spans="1:11" x14ac:dyDescent="0.35">
      <c r="A1294" s="1">
        <v>39692</v>
      </c>
      <c r="B1294" t="s">
        <v>18</v>
      </c>
      <c r="C1294" t="s">
        <v>40</v>
      </c>
      <c r="D1294">
        <v>622240</v>
      </c>
      <c r="E1294">
        <v>136417</v>
      </c>
      <c r="F1294">
        <f t="shared" si="129"/>
        <v>0.21923534327590641</v>
      </c>
      <c r="G1294">
        <f t="shared" si="130"/>
        <v>89.480905358061193</v>
      </c>
      <c r="H1294">
        <v>5574.1116666666667</v>
      </c>
      <c r="I1294" t="s">
        <v>40</v>
      </c>
      <c r="J1294">
        <f t="shared" si="131"/>
        <v>13.657017436400016</v>
      </c>
      <c r="K1294">
        <f t="shared" si="132"/>
        <v>8418.1288680949201</v>
      </c>
    </row>
    <row r="1295" spans="1:11" x14ac:dyDescent="0.35">
      <c r="A1295" s="1">
        <v>39722</v>
      </c>
      <c r="B1295" t="s">
        <v>18</v>
      </c>
      <c r="C1295" t="s">
        <v>40</v>
      </c>
      <c r="D1295">
        <v>491621</v>
      </c>
      <c r="E1295">
        <v>132903</v>
      </c>
      <c r="F1295">
        <f t="shared" si="129"/>
        <v>0.27033629564237494</v>
      </c>
      <c r="G1295">
        <f t="shared" si="130"/>
        <v>110.33775906643532</v>
      </c>
      <c r="H1295">
        <v>4788.6900000000005</v>
      </c>
      <c r="I1295" t="s">
        <v>40</v>
      </c>
      <c r="J1295">
        <f t="shared" si="131"/>
        <v>11.732671811833885</v>
      </c>
      <c r="K1295">
        <f t="shared" si="132"/>
        <v>8418.1288680949201</v>
      </c>
    </row>
    <row r="1296" spans="1:11" x14ac:dyDescent="0.35">
      <c r="A1296" s="1">
        <v>39753</v>
      </c>
      <c r="B1296" t="s">
        <v>18</v>
      </c>
      <c r="C1296" t="s">
        <v>40</v>
      </c>
      <c r="D1296">
        <v>624064</v>
      </c>
      <c r="E1296">
        <v>101148</v>
      </c>
      <c r="F1296">
        <f t="shared" si="129"/>
        <v>0.16207953030458414</v>
      </c>
      <c r="G1296">
        <f t="shared" si="130"/>
        <v>66.152760293816016</v>
      </c>
      <c r="H1296">
        <v>3782.5339999999997</v>
      </c>
      <c r="I1296" t="s">
        <v>40</v>
      </c>
      <c r="J1296">
        <f t="shared" si="131"/>
        <v>9.2675094940585563</v>
      </c>
      <c r="K1296">
        <f t="shared" si="132"/>
        <v>8418.1288680949201</v>
      </c>
    </row>
    <row r="1297" spans="1:11" x14ac:dyDescent="0.35">
      <c r="A1297" s="1">
        <v>39783</v>
      </c>
      <c r="B1297" t="s">
        <v>18</v>
      </c>
      <c r="C1297" t="s">
        <v>40</v>
      </c>
      <c r="D1297">
        <v>643771</v>
      </c>
      <c r="E1297">
        <v>93233</v>
      </c>
      <c r="F1297">
        <f t="shared" si="129"/>
        <v>0.14482323683421588</v>
      </c>
      <c r="G1297">
        <f t="shared" si="130"/>
        <v>59.109604113885212</v>
      </c>
      <c r="H1297">
        <v>4470.2857142857147</v>
      </c>
      <c r="I1297" t="s">
        <v>40</v>
      </c>
      <c r="J1297">
        <f>(H1297/1000)/0.40815</f>
        <v>10.952555958068638</v>
      </c>
      <c r="K1297">
        <f t="shared" si="132"/>
        <v>8418.1288680949201</v>
      </c>
    </row>
    <row r="1298" spans="1:11" x14ac:dyDescent="0.35">
      <c r="A1298" s="1">
        <v>39814</v>
      </c>
      <c r="B1298" t="s">
        <v>2</v>
      </c>
      <c r="C1298" t="s">
        <v>38</v>
      </c>
      <c r="D1298">
        <v>41986</v>
      </c>
      <c r="E1298">
        <v>129484</v>
      </c>
      <c r="F1298">
        <f t="shared" si="129"/>
        <v>3.0839803744105176</v>
      </c>
      <c r="G1298">
        <f>F1298*45.36</f>
        <v>139.88934978326108</v>
      </c>
      <c r="H1298">
        <v>2303.2550525006932</v>
      </c>
      <c r="I1298" t="s">
        <v>59</v>
      </c>
      <c r="J1298">
        <f>H1298/110</f>
        <v>20.938682295460847</v>
      </c>
      <c r="K1298">
        <v>6526.78</v>
      </c>
    </row>
    <row r="1299" spans="1:11" x14ac:dyDescent="0.35">
      <c r="A1299" s="1">
        <v>39845</v>
      </c>
      <c r="B1299" t="s">
        <v>2</v>
      </c>
      <c r="C1299" t="s">
        <v>38</v>
      </c>
      <c r="D1299">
        <v>2776</v>
      </c>
      <c r="E1299">
        <v>6204</v>
      </c>
      <c r="F1299">
        <f t="shared" si="129"/>
        <v>2.2348703170028816</v>
      </c>
      <c r="G1299">
        <f t="shared" ref="G1299:G1362" si="133">F1299*45.36</f>
        <v>101.37371757925071</v>
      </c>
      <c r="H1299">
        <v>1873.6333629968904</v>
      </c>
      <c r="I1299" t="s">
        <v>59</v>
      </c>
      <c r="J1299">
        <f t="shared" ref="J1299:J1310" si="134">H1299/110</f>
        <v>17.033030572699005</v>
      </c>
      <c r="K1299">
        <v>6526.78</v>
      </c>
    </row>
    <row r="1300" spans="1:11" x14ac:dyDescent="0.35">
      <c r="A1300" s="1">
        <v>39873</v>
      </c>
      <c r="B1300" t="s">
        <v>2</v>
      </c>
      <c r="C1300" t="s">
        <v>38</v>
      </c>
      <c r="D1300">
        <v>37207</v>
      </c>
      <c r="E1300">
        <v>150298</v>
      </c>
      <c r="F1300">
        <f t="shared" si="129"/>
        <v>4.0395086946004781</v>
      </c>
      <c r="G1300">
        <f t="shared" si="133"/>
        <v>183.23211438707767</v>
      </c>
      <c r="H1300">
        <v>2134.7424799425257</v>
      </c>
      <c r="I1300" t="s">
        <v>59</v>
      </c>
      <c r="J1300">
        <f t="shared" si="134"/>
        <v>19.406749817659325</v>
      </c>
      <c r="K1300">
        <v>6526.78</v>
      </c>
    </row>
    <row r="1301" spans="1:11" x14ac:dyDescent="0.35">
      <c r="A1301" s="1">
        <v>39904</v>
      </c>
      <c r="B1301" t="s">
        <v>2</v>
      </c>
      <c r="C1301" t="s">
        <v>38</v>
      </c>
      <c r="D1301">
        <v>438420</v>
      </c>
      <c r="E1301">
        <v>2027760</v>
      </c>
      <c r="F1301">
        <f t="shared" si="129"/>
        <v>4.6251539619542905</v>
      </c>
      <c r="G1301">
        <f t="shared" si="133"/>
        <v>209.79698371424661</v>
      </c>
      <c r="H1301">
        <v>1976.7686162595937</v>
      </c>
      <c r="I1301" t="s">
        <v>59</v>
      </c>
      <c r="J1301">
        <f t="shared" si="134"/>
        <v>17.970623784178123</v>
      </c>
      <c r="K1301">
        <v>6526.78</v>
      </c>
    </row>
    <row r="1302" spans="1:11" x14ac:dyDescent="0.35">
      <c r="A1302" s="1">
        <v>39934</v>
      </c>
      <c r="B1302" t="s">
        <v>2</v>
      </c>
      <c r="C1302" t="s">
        <v>38</v>
      </c>
      <c r="D1302">
        <v>386807</v>
      </c>
      <c r="E1302">
        <v>1837484</v>
      </c>
      <c r="F1302">
        <f>E1302/D1302</f>
        <v>4.7503897292448176</v>
      </c>
      <c r="G1302">
        <f t="shared" si="133"/>
        <v>215.47767811854493</v>
      </c>
      <c r="H1302">
        <v>2013.9912822317483</v>
      </c>
      <c r="I1302" t="s">
        <v>59</v>
      </c>
      <c r="J1302">
        <f t="shared" si="134"/>
        <v>18.309011656652256</v>
      </c>
      <c r="K1302">
        <v>6526.78</v>
      </c>
    </row>
    <row r="1303" spans="1:11" x14ac:dyDescent="0.35">
      <c r="A1303" s="1">
        <v>39965</v>
      </c>
      <c r="B1303" t="s">
        <v>2</v>
      </c>
      <c r="C1303" t="s">
        <v>38</v>
      </c>
      <c r="D1303">
        <v>252985</v>
      </c>
      <c r="E1303">
        <v>1280856</v>
      </c>
      <c r="F1303">
        <f t="shared" si="129"/>
        <v>5.0629721129711251</v>
      </c>
      <c r="G1303">
        <f t="shared" si="133"/>
        <v>229.65641504437022</v>
      </c>
      <c r="H1303">
        <v>1883.2245988381724</v>
      </c>
      <c r="I1303" t="s">
        <v>59</v>
      </c>
      <c r="J1303">
        <f t="shared" si="134"/>
        <v>17.120223625801568</v>
      </c>
      <c r="K1303">
        <v>6526.78</v>
      </c>
    </row>
    <row r="1304" spans="1:11" x14ac:dyDescent="0.35">
      <c r="A1304" s="1">
        <v>39995</v>
      </c>
      <c r="B1304" t="s">
        <v>2</v>
      </c>
      <c r="C1304" t="s">
        <v>38</v>
      </c>
      <c r="D1304">
        <v>170092</v>
      </c>
      <c r="E1304">
        <v>859035</v>
      </c>
      <c r="F1304">
        <f t="shared" si="129"/>
        <v>5.0504138936575504</v>
      </c>
      <c r="G1304">
        <f t="shared" si="133"/>
        <v>229.08677421630648</v>
      </c>
      <c r="H1304">
        <v>2041.5976059754205</v>
      </c>
      <c r="I1304" t="s">
        <v>59</v>
      </c>
      <c r="J1304">
        <f t="shared" si="134"/>
        <v>18.559978236140186</v>
      </c>
      <c r="K1304">
        <v>6526.78</v>
      </c>
    </row>
    <row r="1305" spans="1:11" x14ac:dyDescent="0.35">
      <c r="A1305" s="1">
        <v>40026</v>
      </c>
      <c r="B1305" t="s">
        <v>2</v>
      </c>
      <c r="C1305" t="s">
        <v>38</v>
      </c>
      <c r="D1305">
        <v>111150</v>
      </c>
      <c r="E1305">
        <v>462261</v>
      </c>
      <c r="F1305">
        <f t="shared" si="129"/>
        <v>4.15889338731444</v>
      </c>
      <c r="G1305">
        <f t="shared" si="133"/>
        <v>188.64740404858298</v>
      </c>
      <c r="H1305">
        <v>2108.4887465522165</v>
      </c>
      <c r="I1305" t="s">
        <v>59</v>
      </c>
      <c r="J1305">
        <f t="shared" si="134"/>
        <v>19.16807951411106</v>
      </c>
      <c r="K1305">
        <v>6526.78</v>
      </c>
    </row>
    <row r="1306" spans="1:11" x14ac:dyDescent="0.35">
      <c r="A1306" s="1">
        <v>40057</v>
      </c>
      <c r="B1306" t="s">
        <v>2</v>
      </c>
      <c r="C1306" t="s">
        <v>38</v>
      </c>
      <c r="D1306">
        <v>163386</v>
      </c>
      <c r="E1306">
        <v>689885</v>
      </c>
      <c r="F1306">
        <f t="shared" si="129"/>
        <v>4.2224241979116934</v>
      </c>
      <c r="G1306">
        <f t="shared" si="133"/>
        <v>191.52916161727441</v>
      </c>
      <c r="H1306">
        <v>2058.1399620608404</v>
      </c>
      <c r="I1306" t="s">
        <v>59</v>
      </c>
      <c r="J1306">
        <f t="shared" si="134"/>
        <v>18.710363291462187</v>
      </c>
      <c r="K1306">
        <v>6526.78</v>
      </c>
    </row>
    <row r="1307" spans="1:11" x14ac:dyDescent="0.35">
      <c r="A1307" s="1">
        <v>40087</v>
      </c>
      <c r="B1307" t="s">
        <v>2</v>
      </c>
      <c r="C1307" t="s">
        <v>38</v>
      </c>
      <c r="D1307">
        <v>663623</v>
      </c>
      <c r="E1307">
        <v>2602703</v>
      </c>
      <c r="F1307">
        <f t="shared" si="129"/>
        <v>3.9219602093357224</v>
      </c>
      <c r="G1307">
        <f t="shared" si="133"/>
        <v>177.90011509546838</v>
      </c>
      <c r="H1307">
        <v>1859.2116942523917</v>
      </c>
      <c r="I1307" t="s">
        <v>59</v>
      </c>
      <c r="J1307">
        <f t="shared" si="134"/>
        <v>16.901924493203559</v>
      </c>
      <c r="K1307">
        <v>6526.78</v>
      </c>
    </row>
    <row r="1308" spans="1:11" x14ac:dyDescent="0.35">
      <c r="A1308" s="1">
        <v>40118</v>
      </c>
      <c r="B1308" t="s">
        <v>2</v>
      </c>
      <c r="C1308" t="s">
        <v>38</v>
      </c>
      <c r="D1308">
        <v>490251</v>
      </c>
      <c r="E1308">
        <v>1675313</v>
      </c>
      <c r="F1308">
        <f t="shared" si="129"/>
        <v>3.4172556506768981</v>
      </c>
      <c r="G1308">
        <f t="shared" si="133"/>
        <v>155.00671631470411</v>
      </c>
      <c r="H1308">
        <v>1779.748812926772</v>
      </c>
      <c r="I1308" t="s">
        <v>59</v>
      </c>
      <c r="J1308">
        <f t="shared" si="134"/>
        <v>16.179534662970653</v>
      </c>
      <c r="K1308">
        <v>6526.78</v>
      </c>
    </row>
    <row r="1309" spans="1:11" x14ac:dyDescent="0.35">
      <c r="A1309" s="1">
        <v>40148</v>
      </c>
      <c r="B1309" t="s">
        <v>2</v>
      </c>
      <c r="C1309" t="s">
        <v>38</v>
      </c>
      <c r="D1309">
        <v>135303</v>
      </c>
      <c r="E1309">
        <v>434120</v>
      </c>
      <c r="F1309">
        <f t="shared" si="129"/>
        <v>3.2085023983208059</v>
      </c>
      <c r="G1309">
        <f t="shared" si="133"/>
        <v>145.53766878783176</v>
      </c>
      <c r="H1309">
        <v>1956.892167908595</v>
      </c>
      <c r="I1309" t="s">
        <v>59</v>
      </c>
      <c r="J1309">
        <f t="shared" si="134"/>
        <v>17.789928799169044</v>
      </c>
      <c r="K1309">
        <v>6526.78</v>
      </c>
    </row>
    <row r="1310" spans="1:11" x14ac:dyDescent="0.35">
      <c r="A1310" s="1">
        <v>39814</v>
      </c>
      <c r="B1310" t="s">
        <v>5</v>
      </c>
      <c r="C1310" t="s">
        <v>38</v>
      </c>
      <c r="D1310">
        <v>48248</v>
      </c>
      <c r="E1310">
        <v>79501</v>
      </c>
      <c r="F1310">
        <f t="shared" si="129"/>
        <v>1.6477574199966838</v>
      </c>
      <c r="G1310">
        <f t="shared" si="133"/>
        <v>74.742276571049572</v>
      </c>
      <c r="H1310">
        <v>614.46428571428567</v>
      </c>
      <c r="I1310" t="s">
        <v>38</v>
      </c>
      <c r="J1310">
        <f>H1310/45.36</f>
        <v>13.546390778533635</v>
      </c>
      <c r="K1310">
        <v>1590.1032460281599</v>
      </c>
    </row>
    <row r="1311" spans="1:11" x14ac:dyDescent="0.35">
      <c r="A1311" s="1">
        <v>39845</v>
      </c>
      <c r="B1311" t="s">
        <v>5</v>
      </c>
      <c r="C1311" t="s">
        <v>38</v>
      </c>
      <c r="D1311">
        <v>16684</v>
      </c>
      <c r="E1311">
        <v>41407</v>
      </c>
      <c r="F1311">
        <f t="shared" si="129"/>
        <v>2.4818388875569406</v>
      </c>
      <c r="G1311">
        <f t="shared" si="133"/>
        <v>112.57621193958282</v>
      </c>
      <c r="H1311">
        <v>620.41125</v>
      </c>
      <c r="I1311" t="s">
        <v>38</v>
      </c>
      <c r="J1311">
        <f t="shared" ref="J1311:J1374" si="135">H1311/45.36</f>
        <v>13.677496693121693</v>
      </c>
      <c r="K1311">
        <v>1590.1032460281599</v>
      </c>
    </row>
    <row r="1312" spans="1:11" x14ac:dyDescent="0.35">
      <c r="A1312" s="1">
        <v>39873</v>
      </c>
      <c r="B1312" t="s">
        <v>5</v>
      </c>
      <c r="C1312" t="s">
        <v>38</v>
      </c>
      <c r="D1312">
        <v>12293</v>
      </c>
      <c r="E1312">
        <v>31484</v>
      </c>
      <c r="F1312">
        <f t="shared" si="129"/>
        <v>2.5611323517448956</v>
      </c>
      <c r="G1312">
        <f t="shared" si="133"/>
        <v>116.17296347514846</v>
      </c>
      <c r="H1312">
        <v>650.16125</v>
      </c>
      <c r="I1312" t="s">
        <v>38</v>
      </c>
      <c r="J1312">
        <f t="shared" si="135"/>
        <v>14.333360890652557</v>
      </c>
      <c r="K1312">
        <v>1590.1032460281599</v>
      </c>
    </row>
    <row r="1313" spans="1:11" x14ac:dyDescent="0.35">
      <c r="A1313" s="1">
        <v>39904</v>
      </c>
      <c r="B1313" t="s">
        <v>5</v>
      </c>
      <c r="C1313" t="s">
        <v>38</v>
      </c>
      <c r="D1313">
        <v>22518</v>
      </c>
      <c r="E1313">
        <v>50067</v>
      </c>
      <c r="F1313">
        <f t="shared" si="129"/>
        <v>2.2234212629896084</v>
      </c>
      <c r="G1313">
        <f t="shared" si="133"/>
        <v>100.85438848920863</v>
      </c>
      <c r="H1313">
        <v>633.24</v>
      </c>
      <c r="I1313" t="s">
        <v>38</v>
      </c>
      <c r="J1313">
        <f t="shared" si="135"/>
        <v>13.96031746031746</v>
      </c>
      <c r="K1313">
        <v>1590.1032460281599</v>
      </c>
    </row>
    <row r="1314" spans="1:11" x14ac:dyDescent="0.35">
      <c r="A1314" s="1">
        <v>39934</v>
      </c>
      <c r="B1314" t="s">
        <v>5</v>
      </c>
      <c r="C1314" t="s">
        <v>38</v>
      </c>
      <c r="D1314">
        <v>23415</v>
      </c>
      <c r="E1314">
        <v>68966</v>
      </c>
      <c r="F1314">
        <f t="shared" si="129"/>
        <v>2.94537689515268</v>
      </c>
      <c r="G1314">
        <f t="shared" si="133"/>
        <v>133.60229596412557</v>
      </c>
      <c r="H1314">
        <v>659.74</v>
      </c>
      <c r="I1314" t="s">
        <v>38</v>
      </c>
      <c r="J1314">
        <f t="shared" si="135"/>
        <v>14.544532627865962</v>
      </c>
      <c r="K1314">
        <v>1590.1032460281599</v>
      </c>
    </row>
    <row r="1315" spans="1:11" x14ac:dyDescent="0.35">
      <c r="A1315" s="1">
        <v>39965</v>
      </c>
      <c r="B1315" t="s">
        <v>5</v>
      </c>
      <c r="C1315" t="s">
        <v>38</v>
      </c>
      <c r="D1315">
        <v>24304</v>
      </c>
      <c r="E1315">
        <v>78534</v>
      </c>
      <c r="F1315">
        <f t="shared" si="129"/>
        <v>3.2313199473337724</v>
      </c>
      <c r="G1315">
        <f t="shared" si="133"/>
        <v>146.5726728110599</v>
      </c>
      <c r="H1315">
        <v>636.9375</v>
      </c>
      <c r="I1315" t="s">
        <v>38</v>
      </c>
      <c r="J1315">
        <f t="shared" si="135"/>
        <v>14.041832010582011</v>
      </c>
      <c r="K1315">
        <v>1590.1032460281599</v>
      </c>
    </row>
    <row r="1316" spans="1:11" x14ac:dyDescent="0.35">
      <c r="A1316" s="1">
        <v>39995</v>
      </c>
      <c r="B1316" t="s">
        <v>5</v>
      </c>
      <c r="C1316" t="s">
        <v>38</v>
      </c>
      <c r="D1316">
        <v>47551</v>
      </c>
      <c r="E1316">
        <v>114033</v>
      </c>
      <c r="F1316">
        <f t="shared" si="129"/>
        <v>2.3981199133561861</v>
      </c>
      <c r="G1316">
        <f t="shared" si="133"/>
        <v>108.7787192698366</v>
      </c>
      <c r="H1316">
        <v>621.34875</v>
      </c>
      <c r="I1316" t="s">
        <v>38</v>
      </c>
      <c r="J1316">
        <f t="shared" si="135"/>
        <v>13.698164682539682</v>
      </c>
      <c r="K1316">
        <v>1590.1032460281599</v>
      </c>
    </row>
    <row r="1317" spans="1:11" x14ac:dyDescent="0.35">
      <c r="A1317" s="1">
        <v>40026</v>
      </c>
      <c r="B1317" t="s">
        <v>5</v>
      </c>
      <c r="C1317" t="s">
        <v>38</v>
      </c>
      <c r="D1317">
        <v>57006</v>
      </c>
      <c r="E1317">
        <v>80610</v>
      </c>
      <c r="F1317">
        <f t="shared" si="129"/>
        <v>1.414061677718135</v>
      </c>
      <c r="G1317">
        <f t="shared" si="133"/>
        <v>64.141837701294605</v>
      </c>
      <c r="H1317">
        <v>587.47571428571428</v>
      </c>
      <c r="I1317" t="s">
        <v>38</v>
      </c>
      <c r="J1317">
        <f t="shared" si="135"/>
        <v>12.951404635928446</v>
      </c>
      <c r="K1317">
        <v>1590.1032460281599</v>
      </c>
    </row>
    <row r="1318" spans="1:11" x14ac:dyDescent="0.35">
      <c r="A1318" s="1">
        <v>40057</v>
      </c>
      <c r="B1318" t="s">
        <v>5</v>
      </c>
      <c r="C1318" t="s">
        <v>38</v>
      </c>
      <c r="D1318">
        <v>49961</v>
      </c>
      <c r="E1318">
        <v>83347</v>
      </c>
      <c r="F1318">
        <f t="shared" si="129"/>
        <v>1.6682412281579633</v>
      </c>
      <c r="G1318">
        <f t="shared" si="133"/>
        <v>75.671422109245214</v>
      </c>
      <c r="H1318">
        <v>562.64874999999995</v>
      </c>
      <c r="I1318" t="s">
        <v>38</v>
      </c>
      <c r="J1318">
        <f t="shared" si="135"/>
        <v>12.404072971781304</v>
      </c>
      <c r="K1318">
        <v>1590.1032460281599</v>
      </c>
    </row>
    <row r="1319" spans="1:11" x14ac:dyDescent="0.35">
      <c r="A1319" s="1">
        <v>40087</v>
      </c>
      <c r="B1319" t="s">
        <v>5</v>
      </c>
      <c r="C1319" t="s">
        <v>38</v>
      </c>
      <c r="D1319">
        <v>33591</v>
      </c>
      <c r="E1319">
        <v>62455</v>
      </c>
      <c r="F1319">
        <f t="shared" si="129"/>
        <v>1.8592777827394242</v>
      </c>
      <c r="G1319">
        <f t="shared" si="133"/>
        <v>84.336840225060286</v>
      </c>
      <c r="H1319">
        <v>566.21428571428567</v>
      </c>
      <c r="I1319" t="s">
        <v>38</v>
      </c>
      <c r="J1319">
        <f t="shared" si="135"/>
        <v>12.482678256487779</v>
      </c>
      <c r="K1319">
        <v>1590.1032460281599</v>
      </c>
    </row>
    <row r="1320" spans="1:11" x14ac:dyDescent="0.35">
      <c r="A1320" s="1">
        <v>40118</v>
      </c>
      <c r="B1320" t="s">
        <v>5</v>
      </c>
      <c r="C1320" t="s">
        <v>38</v>
      </c>
      <c r="D1320">
        <v>19659</v>
      </c>
      <c r="E1320">
        <v>36857</v>
      </c>
      <c r="F1320">
        <f t="shared" si="129"/>
        <v>1.8748156060837275</v>
      </c>
      <c r="G1320">
        <f t="shared" si="133"/>
        <v>85.041635891957881</v>
      </c>
      <c r="H1320">
        <v>497.81707142857141</v>
      </c>
      <c r="I1320" t="s">
        <v>38</v>
      </c>
      <c r="J1320">
        <f t="shared" si="135"/>
        <v>10.974803162005543</v>
      </c>
      <c r="K1320">
        <v>1590.1032460281599</v>
      </c>
    </row>
    <row r="1321" spans="1:11" x14ac:dyDescent="0.35">
      <c r="A1321" s="1">
        <v>40148</v>
      </c>
      <c r="B1321" t="s">
        <v>5</v>
      </c>
      <c r="C1321" t="s">
        <v>38</v>
      </c>
      <c r="D1321">
        <v>25178</v>
      </c>
      <c r="E1321">
        <v>45156</v>
      </c>
      <c r="F1321">
        <f t="shared" si="129"/>
        <v>1.7934704901104139</v>
      </c>
      <c r="G1321">
        <f t="shared" si="133"/>
        <v>81.351821431408368</v>
      </c>
      <c r="H1321">
        <v>565.35714285714289</v>
      </c>
      <c r="I1321" t="s">
        <v>38</v>
      </c>
      <c r="J1321">
        <f t="shared" si="135"/>
        <v>12.463781809019904</v>
      </c>
      <c r="K1321">
        <v>1590.1032460281599</v>
      </c>
    </row>
    <row r="1322" spans="1:11" x14ac:dyDescent="0.35">
      <c r="A1322" s="1">
        <v>39814</v>
      </c>
      <c r="B1322" t="s">
        <v>7</v>
      </c>
      <c r="C1322" t="s">
        <v>38</v>
      </c>
      <c r="D1322">
        <v>9843</v>
      </c>
      <c r="E1322">
        <v>107050</v>
      </c>
      <c r="F1322">
        <f t="shared" si="129"/>
        <v>10.875749263435944</v>
      </c>
      <c r="G1322">
        <f t="shared" si="133"/>
        <v>493.32398658945442</v>
      </c>
      <c r="H1322">
        <v>209.41878571428569</v>
      </c>
      <c r="I1322" t="s">
        <v>38</v>
      </c>
      <c r="J1322">
        <f t="shared" si="135"/>
        <v>4.6168162635424537</v>
      </c>
      <c r="K1322">
        <v>4038.1847175000003</v>
      </c>
    </row>
    <row r="1323" spans="1:11" x14ac:dyDescent="0.35">
      <c r="A1323" s="1">
        <v>39845</v>
      </c>
      <c r="B1323" t="s">
        <v>7</v>
      </c>
      <c r="C1323" t="s">
        <v>38</v>
      </c>
      <c r="D1323">
        <v>8697</v>
      </c>
      <c r="E1323">
        <v>91060</v>
      </c>
      <c r="F1323">
        <f t="shared" si="129"/>
        <v>10.470277107048407</v>
      </c>
      <c r="G1323">
        <f t="shared" si="133"/>
        <v>474.93176957571575</v>
      </c>
      <c r="H1323">
        <v>215.33835714285715</v>
      </c>
      <c r="I1323" t="s">
        <v>38</v>
      </c>
      <c r="J1323">
        <f t="shared" si="135"/>
        <v>4.7473182791635171</v>
      </c>
      <c r="K1323">
        <v>4038.1847175000003</v>
      </c>
    </row>
    <row r="1324" spans="1:11" x14ac:dyDescent="0.35">
      <c r="A1324" s="1">
        <v>39873</v>
      </c>
      <c r="B1324" t="s">
        <v>7</v>
      </c>
      <c r="C1324" t="s">
        <v>38</v>
      </c>
      <c r="D1324">
        <v>9644</v>
      </c>
      <c r="E1324">
        <v>104289</v>
      </c>
      <c r="F1324">
        <f t="shared" si="129"/>
        <v>10.813873911240149</v>
      </c>
      <c r="G1324">
        <f t="shared" si="133"/>
        <v>490.51732061385314</v>
      </c>
      <c r="H1324">
        <v>216.392</v>
      </c>
      <c r="I1324" t="s">
        <v>38</v>
      </c>
      <c r="J1324">
        <f t="shared" si="135"/>
        <v>4.7705467372134036</v>
      </c>
      <c r="K1324">
        <v>4038.1847175000003</v>
      </c>
    </row>
    <row r="1325" spans="1:11" x14ac:dyDescent="0.35">
      <c r="A1325" s="1">
        <v>39904</v>
      </c>
      <c r="B1325" t="s">
        <v>7</v>
      </c>
      <c r="C1325" t="s">
        <v>38</v>
      </c>
      <c r="D1325">
        <v>14407</v>
      </c>
      <c r="E1325">
        <v>167341</v>
      </c>
      <c r="F1325">
        <f t="shared" si="129"/>
        <v>11.615256472548067</v>
      </c>
      <c r="G1325">
        <f t="shared" si="133"/>
        <v>526.86803359478029</v>
      </c>
      <c r="H1325">
        <v>233.68242857142857</v>
      </c>
      <c r="I1325" t="s">
        <v>38</v>
      </c>
      <c r="J1325">
        <f t="shared" si="135"/>
        <v>5.151729024943311</v>
      </c>
      <c r="K1325">
        <v>4038.1847175000003</v>
      </c>
    </row>
    <row r="1326" spans="1:11" x14ac:dyDescent="0.35">
      <c r="A1326" s="1">
        <v>39934</v>
      </c>
      <c r="B1326" t="s">
        <v>7</v>
      </c>
      <c r="C1326" t="s">
        <v>38</v>
      </c>
      <c r="D1326">
        <v>7303</v>
      </c>
      <c r="E1326">
        <v>84401</v>
      </c>
      <c r="F1326">
        <f t="shared" si="129"/>
        <v>11.557031356976585</v>
      </c>
      <c r="G1326">
        <f t="shared" si="133"/>
        <v>524.22694235245785</v>
      </c>
      <c r="H1326">
        <v>251.74407142857146</v>
      </c>
      <c r="I1326" t="s">
        <v>38</v>
      </c>
      <c r="J1326">
        <f t="shared" si="135"/>
        <v>5.5499133912824394</v>
      </c>
      <c r="K1326">
        <v>4038.1847175000003</v>
      </c>
    </row>
    <row r="1327" spans="1:11" x14ac:dyDescent="0.35">
      <c r="A1327" s="1">
        <v>39965</v>
      </c>
      <c r="B1327" t="s">
        <v>7</v>
      </c>
      <c r="C1327" t="s">
        <v>38</v>
      </c>
      <c r="D1327">
        <v>14634</v>
      </c>
      <c r="E1327">
        <v>150288</v>
      </c>
      <c r="F1327">
        <f t="shared" si="129"/>
        <v>10.269782697826978</v>
      </c>
      <c r="G1327">
        <f t="shared" si="133"/>
        <v>465.83734317343169</v>
      </c>
      <c r="H1327">
        <v>269.13064285714285</v>
      </c>
      <c r="I1327" t="s">
        <v>38</v>
      </c>
      <c r="J1327">
        <f t="shared" si="135"/>
        <v>5.9332152305366588</v>
      </c>
      <c r="K1327">
        <v>4038.1847175000003</v>
      </c>
    </row>
    <row r="1328" spans="1:11" x14ac:dyDescent="0.35">
      <c r="A1328" s="1">
        <v>39995</v>
      </c>
      <c r="B1328" t="s">
        <v>7</v>
      </c>
      <c r="C1328" t="s">
        <v>38</v>
      </c>
      <c r="D1328">
        <v>5761</v>
      </c>
      <c r="E1328">
        <v>58763</v>
      </c>
      <c r="F1328">
        <f t="shared" si="129"/>
        <v>10.200138864780421</v>
      </c>
      <c r="G1328">
        <f t="shared" si="133"/>
        <v>462.67829890643986</v>
      </c>
      <c r="H1328">
        <v>384.98928571428576</v>
      </c>
      <c r="I1328" t="s">
        <v>38</v>
      </c>
      <c r="J1328">
        <f t="shared" si="135"/>
        <v>8.4874181153943073</v>
      </c>
      <c r="K1328">
        <v>4038.1847175000003</v>
      </c>
    </row>
    <row r="1329" spans="1:11" x14ac:dyDescent="0.35">
      <c r="A1329" s="1">
        <v>40026</v>
      </c>
      <c r="B1329" t="s">
        <v>7</v>
      </c>
      <c r="C1329" t="s">
        <v>38</v>
      </c>
      <c r="D1329">
        <v>4620</v>
      </c>
      <c r="E1329">
        <v>45702</v>
      </c>
      <c r="F1329">
        <f t="shared" si="129"/>
        <v>9.8922077922077918</v>
      </c>
      <c r="G1329">
        <f t="shared" si="133"/>
        <v>448.71054545454541</v>
      </c>
      <c r="H1329">
        <v>412.05109999999996</v>
      </c>
      <c r="I1329" t="s">
        <v>38</v>
      </c>
      <c r="J1329">
        <f t="shared" si="135"/>
        <v>9.0840189594356247</v>
      </c>
      <c r="K1329">
        <v>4038.1847175000003</v>
      </c>
    </row>
    <row r="1330" spans="1:11" x14ac:dyDescent="0.35">
      <c r="A1330" s="1">
        <v>40057</v>
      </c>
      <c r="B1330" t="s">
        <v>7</v>
      </c>
      <c r="C1330" t="s">
        <v>38</v>
      </c>
      <c r="D1330">
        <v>3695</v>
      </c>
      <c r="E1330">
        <v>39015</v>
      </c>
      <c r="F1330">
        <f t="shared" si="129"/>
        <v>10.558863328822733</v>
      </c>
      <c r="G1330">
        <f t="shared" si="133"/>
        <v>478.95004059539917</v>
      </c>
      <c r="H1330">
        <v>424.21125000000001</v>
      </c>
      <c r="I1330" t="s">
        <v>38</v>
      </c>
      <c r="J1330">
        <f t="shared" si="135"/>
        <v>9.3520998677248688</v>
      </c>
      <c r="K1330">
        <v>4038.1847175000003</v>
      </c>
    </row>
    <row r="1331" spans="1:11" x14ac:dyDescent="0.35">
      <c r="A1331" s="1">
        <v>40087</v>
      </c>
      <c r="B1331" t="s">
        <v>7</v>
      </c>
      <c r="C1331" t="s">
        <v>38</v>
      </c>
      <c r="D1331">
        <v>4574</v>
      </c>
      <c r="E1331">
        <v>50828</v>
      </c>
      <c r="F1331">
        <f t="shared" si="129"/>
        <v>11.112374289462178</v>
      </c>
      <c r="G1331">
        <f t="shared" si="133"/>
        <v>504.05729777000437</v>
      </c>
      <c r="H1331">
        <v>479.33333333333331</v>
      </c>
      <c r="I1331" t="s">
        <v>38</v>
      </c>
      <c r="J1331">
        <f t="shared" si="135"/>
        <v>10.567313345091122</v>
      </c>
      <c r="K1331">
        <v>4038.1847175000003</v>
      </c>
    </row>
    <row r="1332" spans="1:11" x14ac:dyDescent="0.35">
      <c r="A1332" s="1">
        <v>40118</v>
      </c>
      <c r="B1332" t="s">
        <v>7</v>
      </c>
      <c r="C1332" t="s">
        <v>38</v>
      </c>
      <c r="D1332">
        <v>7200</v>
      </c>
      <c r="E1332">
        <v>72319</v>
      </c>
      <c r="F1332">
        <f t="shared" si="129"/>
        <v>10.044305555555555</v>
      </c>
      <c r="G1332">
        <f t="shared" si="133"/>
        <v>455.60969999999998</v>
      </c>
      <c r="H1332">
        <v>477.87444444444446</v>
      </c>
      <c r="I1332" t="s">
        <v>38</v>
      </c>
      <c r="J1332">
        <f t="shared" si="135"/>
        <v>10.535150891632373</v>
      </c>
      <c r="K1332">
        <v>4038.1847175000003</v>
      </c>
    </row>
    <row r="1333" spans="1:11" x14ac:dyDescent="0.35">
      <c r="A1333" s="1">
        <v>40148</v>
      </c>
      <c r="B1333" t="s">
        <v>7</v>
      </c>
      <c r="C1333" t="s">
        <v>38</v>
      </c>
      <c r="D1333">
        <v>6385</v>
      </c>
      <c r="E1333">
        <v>68340</v>
      </c>
      <c r="F1333">
        <f t="shared" si="129"/>
        <v>10.703210649960846</v>
      </c>
      <c r="G1333">
        <f t="shared" si="133"/>
        <v>485.49763508222401</v>
      </c>
      <c r="H1333">
        <v>461.56666666666666</v>
      </c>
      <c r="I1333" t="s">
        <v>38</v>
      </c>
      <c r="J1333">
        <f t="shared" si="135"/>
        <v>10.175631981187538</v>
      </c>
      <c r="K1333">
        <v>4038.1847174999998</v>
      </c>
    </row>
    <row r="1334" spans="1:11" x14ac:dyDescent="0.35">
      <c r="A1334" s="1">
        <v>39814</v>
      </c>
      <c r="B1334" t="s">
        <v>8</v>
      </c>
      <c r="C1334" t="s">
        <v>38</v>
      </c>
      <c r="D1334">
        <v>8745</v>
      </c>
      <c r="E1334">
        <v>84120</v>
      </c>
      <c r="F1334">
        <f t="shared" si="129"/>
        <v>9.6192109777015435</v>
      </c>
      <c r="G1334">
        <f t="shared" si="133"/>
        <v>436.32740994854203</v>
      </c>
      <c r="H1334">
        <v>956.92800000000011</v>
      </c>
      <c r="I1334" t="s">
        <v>38</v>
      </c>
      <c r="J1334">
        <f t="shared" si="135"/>
        <v>21.096296296296298</v>
      </c>
      <c r="K1334">
        <v>7095.7961172000005</v>
      </c>
    </row>
    <row r="1335" spans="1:11" x14ac:dyDescent="0.35">
      <c r="A1335" s="1">
        <v>39845</v>
      </c>
      <c r="B1335" t="s">
        <v>8</v>
      </c>
      <c r="C1335" t="s">
        <v>38</v>
      </c>
      <c r="D1335">
        <v>10728</v>
      </c>
      <c r="E1335">
        <v>102069</v>
      </c>
      <c r="F1335">
        <f t="shared" si="129"/>
        <v>9.5142617449664435</v>
      </c>
      <c r="G1335">
        <f t="shared" si="133"/>
        <v>431.56691275167788</v>
      </c>
      <c r="H1335">
        <v>907.57499999999993</v>
      </c>
      <c r="I1335" t="s">
        <v>38</v>
      </c>
      <c r="J1335">
        <f t="shared" si="135"/>
        <v>20.008267195767196</v>
      </c>
      <c r="K1335">
        <v>7095.7961172000005</v>
      </c>
    </row>
    <row r="1336" spans="1:11" x14ac:dyDescent="0.35">
      <c r="A1336" s="1">
        <v>39873</v>
      </c>
      <c r="B1336" t="s">
        <v>8</v>
      </c>
      <c r="C1336" t="s">
        <v>38</v>
      </c>
      <c r="D1336">
        <v>7976</v>
      </c>
      <c r="E1336">
        <v>71673</v>
      </c>
      <c r="F1336">
        <f t="shared" si="129"/>
        <v>8.9860832497492478</v>
      </c>
      <c r="G1336">
        <f t="shared" si="133"/>
        <v>407.60873620862588</v>
      </c>
      <c r="H1336">
        <v>1005.38</v>
      </c>
      <c r="I1336" t="s">
        <v>38</v>
      </c>
      <c r="J1336">
        <f t="shared" si="135"/>
        <v>22.164462081128747</v>
      </c>
      <c r="K1336">
        <v>7095.7961172000005</v>
      </c>
    </row>
    <row r="1337" spans="1:11" x14ac:dyDescent="0.35">
      <c r="A1337" s="1">
        <v>39904</v>
      </c>
      <c r="B1337" t="s">
        <v>8</v>
      </c>
      <c r="C1337" t="s">
        <v>38</v>
      </c>
      <c r="D1337">
        <v>4383</v>
      </c>
      <c r="E1337">
        <v>44097</v>
      </c>
      <c r="F1337">
        <f t="shared" si="129"/>
        <v>10.060917180013689</v>
      </c>
      <c r="G1337">
        <f t="shared" si="133"/>
        <v>456.36320328542092</v>
      </c>
      <c r="H1337">
        <v>1050</v>
      </c>
      <c r="I1337" t="s">
        <v>38</v>
      </c>
      <c r="J1337">
        <f t="shared" si="135"/>
        <v>23.148148148148149</v>
      </c>
      <c r="K1337">
        <v>7095.7961172000005</v>
      </c>
    </row>
    <row r="1338" spans="1:11" x14ac:dyDescent="0.35">
      <c r="A1338" s="1">
        <v>39934</v>
      </c>
      <c r="B1338" t="s">
        <v>8</v>
      </c>
      <c r="C1338" t="s">
        <v>38</v>
      </c>
      <c r="D1338">
        <v>6270</v>
      </c>
      <c r="E1338">
        <v>59132</v>
      </c>
      <c r="F1338">
        <f t="shared" si="129"/>
        <v>9.4309409888357258</v>
      </c>
      <c r="G1338">
        <f t="shared" si="133"/>
        <v>427.7874832535885</v>
      </c>
      <c r="H1338">
        <v>1041.3333333333333</v>
      </c>
      <c r="I1338" t="s">
        <v>38</v>
      </c>
      <c r="J1338">
        <f t="shared" si="135"/>
        <v>22.957084068195179</v>
      </c>
      <c r="K1338">
        <v>7095.7961172000005</v>
      </c>
    </row>
    <row r="1339" spans="1:11" x14ac:dyDescent="0.35">
      <c r="A1339" s="1">
        <v>39965</v>
      </c>
      <c r="B1339" t="s">
        <v>8</v>
      </c>
      <c r="C1339" t="s">
        <v>38</v>
      </c>
      <c r="D1339">
        <v>4452</v>
      </c>
      <c r="E1339">
        <v>45614</v>
      </c>
      <c r="F1339">
        <f t="shared" si="129"/>
        <v>10.245732255166217</v>
      </c>
      <c r="G1339">
        <f t="shared" si="133"/>
        <v>464.74641509433962</v>
      </c>
      <c r="H1339">
        <v>1122.7385714285715</v>
      </c>
      <c r="I1339" t="s">
        <v>38</v>
      </c>
      <c r="J1339">
        <f t="shared" si="135"/>
        <v>24.751732174351226</v>
      </c>
      <c r="K1339">
        <v>7095.7961172000005</v>
      </c>
    </row>
    <row r="1340" spans="1:11" x14ac:dyDescent="0.35">
      <c r="A1340" s="1">
        <v>39995</v>
      </c>
      <c r="B1340" t="s">
        <v>8</v>
      </c>
      <c r="C1340" t="s">
        <v>38</v>
      </c>
      <c r="D1340">
        <v>3716</v>
      </c>
      <c r="E1340">
        <v>35586</v>
      </c>
      <c r="F1340">
        <f t="shared" si="129"/>
        <v>9.5764262648008618</v>
      </c>
      <c r="G1340">
        <f t="shared" si="133"/>
        <v>434.38669537136707</v>
      </c>
      <c r="H1340">
        <v>1103</v>
      </c>
      <c r="I1340" t="s">
        <v>38</v>
      </c>
      <c r="J1340">
        <f t="shared" si="135"/>
        <v>24.316578483245149</v>
      </c>
      <c r="K1340">
        <v>7095.7961172000005</v>
      </c>
    </row>
    <row r="1341" spans="1:11" x14ac:dyDescent="0.35">
      <c r="A1341" s="1">
        <v>40026</v>
      </c>
      <c r="B1341" t="s">
        <v>8</v>
      </c>
      <c r="C1341" t="s">
        <v>38</v>
      </c>
      <c r="D1341">
        <v>2344</v>
      </c>
      <c r="E1341">
        <v>22699</v>
      </c>
      <c r="F1341">
        <f t="shared" si="129"/>
        <v>9.6838737201365195</v>
      </c>
      <c r="G1341">
        <f t="shared" si="133"/>
        <v>439.26051194539252</v>
      </c>
      <c r="H1341">
        <v>1163.3814285714286</v>
      </c>
      <c r="I1341" t="s">
        <v>38</v>
      </c>
      <c r="J1341">
        <f t="shared" si="135"/>
        <v>25.64773872511968</v>
      </c>
      <c r="K1341">
        <v>7095.7961172000005</v>
      </c>
    </row>
    <row r="1342" spans="1:11" x14ac:dyDescent="0.35">
      <c r="A1342" s="1">
        <v>40057</v>
      </c>
      <c r="B1342" t="s">
        <v>8</v>
      </c>
      <c r="C1342" t="s">
        <v>38</v>
      </c>
      <c r="D1342">
        <v>2739</v>
      </c>
      <c r="E1342">
        <v>26890</v>
      </c>
      <c r="F1342">
        <f t="shared" si="129"/>
        <v>9.8174516246805403</v>
      </c>
      <c r="G1342">
        <f t="shared" si="133"/>
        <v>445.31960569550932</v>
      </c>
      <c r="H1342">
        <v>1168.7</v>
      </c>
      <c r="I1342" t="s">
        <v>38</v>
      </c>
      <c r="J1342">
        <f t="shared" si="135"/>
        <v>25.764991181657848</v>
      </c>
      <c r="K1342">
        <v>7095.7961172000005</v>
      </c>
    </row>
    <row r="1343" spans="1:11" x14ac:dyDescent="0.35">
      <c r="A1343" s="1">
        <v>40087</v>
      </c>
      <c r="B1343" t="s">
        <v>8</v>
      </c>
      <c r="C1343" t="s">
        <v>38</v>
      </c>
      <c r="D1343">
        <v>4307</v>
      </c>
      <c r="E1343">
        <v>43162</v>
      </c>
      <c r="F1343">
        <f t="shared" si="129"/>
        <v>10.021360575806826</v>
      </c>
      <c r="G1343">
        <f t="shared" si="133"/>
        <v>454.56891571859762</v>
      </c>
      <c r="H1343">
        <v>1224.6666666666667</v>
      </c>
      <c r="I1343" t="s">
        <v>38</v>
      </c>
      <c r="J1343">
        <f t="shared" si="135"/>
        <v>26.998824221046444</v>
      </c>
      <c r="K1343">
        <v>7095.7961172000005</v>
      </c>
    </row>
    <row r="1344" spans="1:11" x14ac:dyDescent="0.35">
      <c r="A1344" s="1">
        <v>40118</v>
      </c>
      <c r="B1344" t="s">
        <v>8</v>
      </c>
      <c r="C1344" t="s">
        <v>38</v>
      </c>
      <c r="D1344">
        <v>2251</v>
      </c>
      <c r="E1344">
        <v>26177</v>
      </c>
      <c r="F1344">
        <f t="shared" si="129"/>
        <v>11.629053753887161</v>
      </c>
      <c r="G1344">
        <f t="shared" si="133"/>
        <v>527.49387827632165</v>
      </c>
      <c r="H1344">
        <v>991.17857142857144</v>
      </c>
      <c r="I1344" t="s">
        <v>38</v>
      </c>
      <c r="J1344">
        <f t="shared" si="135"/>
        <v>21.851379440665156</v>
      </c>
      <c r="K1344">
        <v>7095.7961172000005</v>
      </c>
    </row>
    <row r="1345" spans="1:11" x14ac:dyDescent="0.35">
      <c r="A1345" s="1">
        <v>40148</v>
      </c>
      <c r="B1345" t="s">
        <v>8</v>
      </c>
      <c r="C1345" t="s">
        <v>38</v>
      </c>
      <c r="D1345">
        <v>4423</v>
      </c>
      <c r="E1345">
        <v>45199</v>
      </c>
      <c r="F1345">
        <f t="shared" si="129"/>
        <v>10.219082070992538</v>
      </c>
      <c r="G1345">
        <f t="shared" si="133"/>
        <v>463.53756274022152</v>
      </c>
      <c r="H1345">
        <v>992.9571428571428</v>
      </c>
      <c r="I1345" t="s">
        <v>38</v>
      </c>
      <c r="J1345">
        <f t="shared" si="135"/>
        <v>21.890589569160998</v>
      </c>
      <c r="K1345">
        <v>7095.7961172000005</v>
      </c>
    </row>
    <row r="1346" spans="1:11" x14ac:dyDescent="0.35">
      <c r="A1346" s="1">
        <v>39814</v>
      </c>
      <c r="B1346" t="s">
        <v>9</v>
      </c>
      <c r="C1346" t="s">
        <v>38</v>
      </c>
      <c r="D1346">
        <v>1916</v>
      </c>
      <c r="E1346">
        <v>60890</v>
      </c>
      <c r="F1346">
        <f t="shared" si="129"/>
        <v>31.779749478079331</v>
      </c>
      <c r="G1346">
        <f t="shared" si="133"/>
        <v>1441.5294363256785</v>
      </c>
      <c r="H1346">
        <v>786.25</v>
      </c>
      <c r="I1346" t="s">
        <v>38</v>
      </c>
      <c r="J1346">
        <f t="shared" si="135"/>
        <v>17.333553791887127</v>
      </c>
      <c r="K1346">
        <v>17661.808667508576</v>
      </c>
    </row>
    <row r="1347" spans="1:11" x14ac:dyDescent="0.35">
      <c r="A1347" s="1">
        <v>39845</v>
      </c>
      <c r="B1347" t="s">
        <v>9</v>
      </c>
      <c r="C1347" t="s">
        <v>38</v>
      </c>
      <c r="D1347">
        <v>3664</v>
      </c>
      <c r="E1347">
        <v>131501</v>
      </c>
      <c r="F1347">
        <f t="shared" si="129"/>
        <v>35.890010917030565</v>
      </c>
      <c r="G1347">
        <f t="shared" si="133"/>
        <v>1627.9708951965065</v>
      </c>
      <c r="H1347">
        <v>685</v>
      </c>
      <c r="I1347" t="s">
        <v>38</v>
      </c>
      <c r="J1347">
        <f t="shared" si="135"/>
        <v>15.101410934744269</v>
      </c>
      <c r="K1347">
        <v>17661.808667508576</v>
      </c>
    </row>
    <row r="1348" spans="1:11" x14ac:dyDescent="0.35">
      <c r="A1348" s="1">
        <v>39873</v>
      </c>
      <c r="B1348" t="s">
        <v>9</v>
      </c>
      <c r="C1348" t="s">
        <v>38</v>
      </c>
      <c r="D1348">
        <v>2466</v>
      </c>
      <c r="E1348">
        <v>74775</v>
      </c>
      <c r="F1348">
        <f t="shared" si="129"/>
        <v>30.322384428223845</v>
      </c>
      <c r="G1348">
        <f t="shared" si="133"/>
        <v>1375.4233576642337</v>
      </c>
      <c r="H1348">
        <v>584.58333333333337</v>
      </c>
      <c r="I1348" t="s">
        <v>38</v>
      </c>
      <c r="J1348">
        <f t="shared" si="135"/>
        <v>12.887639623750736</v>
      </c>
      <c r="K1348">
        <v>17661.808667508576</v>
      </c>
    </row>
    <row r="1349" spans="1:11" x14ac:dyDescent="0.35">
      <c r="A1349" s="1">
        <v>39904</v>
      </c>
      <c r="B1349" t="s">
        <v>9</v>
      </c>
      <c r="C1349" t="s">
        <v>38</v>
      </c>
      <c r="D1349">
        <v>5188</v>
      </c>
      <c r="E1349">
        <v>117447</v>
      </c>
      <c r="F1349">
        <f t="shared" si="129"/>
        <v>22.638203546646107</v>
      </c>
      <c r="G1349">
        <f t="shared" si="133"/>
        <v>1026.8689128758674</v>
      </c>
      <c r="H1349">
        <v>484.60500000000002</v>
      </c>
      <c r="I1349" t="s">
        <v>38</v>
      </c>
      <c r="J1349">
        <f t="shared" si="135"/>
        <v>10.683531746031747</v>
      </c>
      <c r="K1349">
        <v>17661.808667508576</v>
      </c>
    </row>
    <row r="1350" spans="1:11" x14ac:dyDescent="0.35">
      <c r="A1350" s="1">
        <v>39934</v>
      </c>
      <c r="B1350" t="s">
        <v>9</v>
      </c>
      <c r="C1350" t="s">
        <v>38</v>
      </c>
      <c r="D1350">
        <v>2713</v>
      </c>
      <c r="E1350">
        <v>71367</v>
      </c>
      <c r="F1350">
        <f t="shared" si="129"/>
        <v>26.305565794323627</v>
      </c>
      <c r="G1350">
        <f t="shared" si="133"/>
        <v>1193.2204644305198</v>
      </c>
      <c r="H1350">
        <v>496.66666666666669</v>
      </c>
      <c r="I1350" t="s">
        <v>38</v>
      </c>
      <c r="J1350">
        <f t="shared" si="135"/>
        <v>10.949441504997061</v>
      </c>
      <c r="K1350">
        <v>17661.808667508576</v>
      </c>
    </row>
    <row r="1351" spans="1:11" x14ac:dyDescent="0.35">
      <c r="A1351" s="1">
        <v>39965</v>
      </c>
      <c r="B1351" t="s">
        <v>9</v>
      </c>
      <c r="C1351" t="s">
        <v>38</v>
      </c>
      <c r="D1351">
        <v>2638</v>
      </c>
      <c r="E1351">
        <v>96980</v>
      </c>
      <c r="F1351">
        <f t="shared" ref="F1351:F1414" si="136">E1351/D1351</f>
        <v>36.762699014404852</v>
      </c>
      <c r="G1351">
        <f t="shared" si="133"/>
        <v>1667.556027293404</v>
      </c>
      <c r="H1351">
        <v>494.81599999999997</v>
      </c>
      <c r="I1351" t="s">
        <v>38</v>
      </c>
      <c r="J1351">
        <f t="shared" si="135"/>
        <v>10.908641975308642</v>
      </c>
      <c r="K1351">
        <v>17661.808667508576</v>
      </c>
    </row>
    <row r="1352" spans="1:11" x14ac:dyDescent="0.35">
      <c r="A1352" s="1">
        <v>39995</v>
      </c>
      <c r="B1352" t="s">
        <v>9</v>
      </c>
      <c r="C1352" t="s">
        <v>38</v>
      </c>
      <c r="D1352">
        <v>1507</v>
      </c>
      <c r="E1352">
        <v>15730</v>
      </c>
      <c r="F1352">
        <f t="shared" si="136"/>
        <v>10.437956204379562</v>
      </c>
      <c r="G1352">
        <f t="shared" si="133"/>
        <v>473.46569343065693</v>
      </c>
      <c r="H1352">
        <v>584.375</v>
      </c>
      <c r="I1352" t="s">
        <v>38</v>
      </c>
      <c r="J1352">
        <f t="shared" si="135"/>
        <v>12.883046737213403</v>
      </c>
      <c r="K1352">
        <v>17661.808667508576</v>
      </c>
    </row>
    <row r="1353" spans="1:11" x14ac:dyDescent="0.35">
      <c r="A1353" s="1">
        <v>40026</v>
      </c>
      <c r="B1353" t="s">
        <v>9</v>
      </c>
      <c r="C1353" t="s">
        <v>38</v>
      </c>
      <c r="D1353">
        <v>1415</v>
      </c>
      <c r="E1353">
        <v>53225</v>
      </c>
      <c r="F1353">
        <f t="shared" si="136"/>
        <v>37.614840989399291</v>
      </c>
      <c r="G1353">
        <f t="shared" si="133"/>
        <v>1706.2091872791518</v>
      </c>
      <c r="H1353">
        <v>768.75</v>
      </c>
      <c r="I1353" t="s">
        <v>38</v>
      </c>
      <c r="J1353">
        <f t="shared" si="135"/>
        <v>16.947751322751323</v>
      </c>
      <c r="K1353">
        <v>17661.808667508576</v>
      </c>
    </row>
    <row r="1354" spans="1:11" x14ac:dyDescent="0.35">
      <c r="A1354" s="1">
        <v>40057</v>
      </c>
      <c r="B1354" t="s">
        <v>9</v>
      </c>
      <c r="C1354" t="s">
        <v>38</v>
      </c>
      <c r="D1354">
        <v>3757</v>
      </c>
      <c r="E1354">
        <v>135820</v>
      </c>
      <c r="F1354">
        <f t="shared" si="136"/>
        <v>36.151184455682724</v>
      </c>
      <c r="G1354">
        <f t="shared" si="133"/>
        <v>1639.8177269097685</v>
      </c>
      <c r="H1354">
        <v>756.25</v>
      </c>
      <c r="I1354" t="s">
        <v>38</v>
      </c>
      <c r="J1354">
        <f t="shared" si="135"/>
        <v>16.672178130511465</v>
      </c>
      <c r="K1354">
        <v>17661.808667508576</v>
      </c>
    </row>
    <row r="1355" spans="1:11" x14ac:dyDescent="0.35">
      <c r="A1355" s="1">
        <v>40087</v>
      </c>
      <c r="B1355" t="s">
        <v>9</v>
      </c>
      <c r="C1355" t="s">
        <v>38</v>
      </c>
      <c r="D1355">
        <v>2154</v>
      </c>
      <c r="E1355">
        <v>74680</v>
      </c>
      <c r="F1355">
        <f t="shared" si="136"/>
        <v>34.670380687093783</v>
      </c>
      <c r="G1355">
        <f t="shared" si="133"/>
        <v>1572.6484679665739</v>
      </c>
      <c r="H1355">
        <v>775</v>
      </c>
      <c r="I1355" t="s">
        <v>38</v>
      </c>
      <c r="J1355">
        <f t="shared" si="135"/>
        <v>17.085537918871253</v>
      </c>
      <c r="K1355">
        <v>17661.808667508576</v>
      </c>
    </row>
    <row r="1356" spans="1:11" x14ac:dyDescent="0.35">
      <c r="A1356" s="1">
        <v>40118</v>
      </c>
      <c r="B1356" t="s">
        <v>9</v>
      </c>
      <c r="C1356" t="s">
        <v>38</v>
      </c>
      <c r="D1356">
        <v>1812</v>
      </c>
      <c r="E1356">
        <v>68265</v>
      </c>
      <c r="F1356">
        <f t="shared" si="136"/>
        <v>37.673841059602651</v>
      </c>
      <c r="G1356">
        <f t="shared" si="133"/>
        <v>1708.8854304635763</v>
      </c>
      <c r="H1356">
        <v>534.375</v>
      </c>
      <c r="I1356" t="s">
        <v>38</v>
      </c>
      <c r="J1356">
        <f t="shared" si="135"/>
        <v>11.780753968253968</v>
      </c>
      <c r="K1356">
        <v>17661.808667508576</v>
      </c>
    </row>
    <row r="1357" spans="1:11" x14ac:dyDescent="0.35">
      <c r="A1357" s="1">
        <v>40148</v>
      </c>
      <c r="B1357" t="s">
        <v>9</v>
      </c>
      <c r="C1357" t="s">
        <v>38</v>
      </c>
      <c r="D1357">
        <v>2240</v>
      </c>
      <c r="E1357">
        <v>57883</v>
      </c>
      <c r="F1357">
        <f t="shared" si="136"/>
        <v>25.840624999999999</v>
      </c>
      <c r="G1357">
        <f t="shared" si="133"/>
        <v>1172.13075</v>
      </c>
      <c r="H1357">
        <v>662.5</v>
      </c>
      <c r="I1357" t="s">
        <v>38</v>
      </c>
      <c r="J1357">
        <f t="shared" si="135"/>
        <v>14.605379188712522</v>
      </c>
      <c r="K1357">
        <v>17661.808667508576</v>
      </c>
    </row>
    <row r="1358" spans="1:11" x14ac:dyDescent="0.35">
      <c r="A1358" s="1">
        <v>39814</v>
      </c>
      <c r="B1358" t="s">
        <v>10</v>
      </c>
      <c r="C1358" t="s">
        <v>38</v>
      </c>
      <c r="D1358">
        <v>6809</v>
      </c>
      <c r="E1358">
        <v>63672</v>
      </c>
      <c r="F1358">
        <f t="shared" si="136"/>
        <v>9.3511528858863269</v>
      </c>
      <c r="G1358">
        <f t="shared" si="133"/>
        <v>424.16829490380377</v>
      </c>
      <c r="H1358">
        <v>1266.5729999999999</v>
      </c>
      <c r="I1358" t="s">
        <v>38</v>
      </c>
      <c r="J1358">
        <f t="shared" si="135"/>
        <v>27.922685185185184</v>
      </c>
      <c r="K1358">
        <v>5745.6881190336007</v>
      </c>
    </row>
    <row r="1359" spans="1:11" x14ac:dyDescent="0.35">
      <c r="A1359" s="1">
        <v>39845</v>
      </c>
      <c r="B1359" t="s">
        <v>10</v>
      </c>
      <c r="C1359" t="s">
        <v>38</v>
      </c>
      <c r="D1359">
        <v>10023</v>
      </c>
      <c r="E1359">
        <v>82961</v>
      </c>
      <c r="F1359">
        <f t="shared" si="136"/>
        <v>8.2770627556619782</v>
      </c>
      <c r="G1359">
        <f t="shared" si="133"/>
        <v>375.4475665968273</v>
      </c>
      <c r="H1359">
        <v>1117.8</v>
      </c>
      <c r="I1359" t="s">
        <v>38</v>
      </c>
      <c r="J1359">
        <f t="shared" si="135"/>
        <v>24.642857142857142</v>
      </c>
      <c r="K1359">
        <v>5745.6881190336007</v>
      </c>
    </row>
    <row r="1360" spans="1:11" x14ac:dyDescent="0.35">
      <c r="A1360" s="1">
        <v>39873</v>
      </c>
      <c r="B1360" t="s">
        <v>10</v>
      </c>
      <c r="C1360" t="s">
        <v>38</v>
      </c>
      <c r="D1360">
        <v>6361</v>
      </c>
      <c r="E1360">
        <v>55295</v>
      </c>
      <c r="F1360">
        <f t="shared" si="136"/>
        <v>8.6928155950322274</v>
      </c>
      <c r="G1360">
        <f t="shared" si="133"/>
        <v>394.30611539066183</v>
      </c>
      <c r="H1360">
        <v>1249.4468571428572</v>
      </c>
      <c r="I1360" t="s">
        <v>38</v>
      </c>
      <c r="J1360">
        <f t="shared" si="135"/>
        <v>27.545124716553289</v>
      </c>
      <c r="K1360">
        <v>5745.6881190336007</v>
      </c>
    </row>
    <row r="1361" spans="1:11" x14ac:dyDescent="0.35">
      <c r="A1361" s="1">
        <v>39904</v>
      </c>
      <c r="B1361" t="s">
        <v>10</v>
      </c>
      <c r="C1361" t="s">
        <v>38</v>
      </c>
      <c r="D1361">
        <v>5901</v>
      </c>
      <c r="E1361">
        <v>61498</v>
      </c>
      <c r="F1361">
        <f t="shared" si="136"/>
        <v>10.421623453651923</v>
      </c>
      <c r="G1361">
        <f t="shared" si="133"/>
        <v>472.72483985765126</v>
      </c>
      <c r="H1361">
        <v>1235.6666666666667</v>
      </c>
      <c r="I1361" t="s">
        <v>38</v>
      </c>
      <c r="J1361">
        <f t="shared" si="135"/>
        <v>27.24132863021752</v>
      </c>
      <c r="K1361">
        <v>5745.6881190336007</v>
      </c>
    </row>
    <row r="1362" spans="1:11" x14ac:dyDescent="0.35">
      <c r="A1362" s="1">
        <v>39934</v>
      </c>
      <c r="B1362" t="s">
        <v>10</v>
      </c>
      <c r="C1362" t="s">
        <v>38</v>
      </c>
      <c r="D1362">
        <v>5738</v>
      </c>
      <c r="E1362">
        <v>48197</v>
      </c>
      <c r="F1362">
        <f t="shared" si="136"/>
        <v>8.3996165911467404</v>
      </c>
      <c r="G1362">
        <f t="shared" si="133"/>
        <v>381.00660857441613</v>
      </c>
      <c r="H1362">
        <v>1268.3333333333333</v>
      </c>
      <c r="I1362" t="s">
        <v>38</v>
      </c>
      <c r="J1362">
        <f t="shared" si="135"/>
        <v>27.961493239271014</v>
      </c>
      <c r="K1362">
        <v>5745.6881190336007</v>
      </c>
    </row>
    <row r="1363" spans="1:11" x14ac:dyDescent="0.35">
      <c r="A1363" s="1">
        <v>39965</v>
      </c>
      <c r="B1363" t="s">
        <v>10</v>
      </c>
      <c r="C1363" t="s">
        <v>38</v>
      </c>
      <c r="D1363">
        <v>5246</v>
      </c>
      <c r="E1363">
        <v>49185</v>
      </c>
      <c r="F1363">
        <f t="shared" si="136"/>
        <v>9.3757148303469311</v>
      </c>
      <c r="G1363">
        <f t="shared" ref="G1363:G1405" si="137">F1363*45.36</f>
        <v>425.28242470453677</v>
      </c>
      <c r="H1363">
        <v>1163.0957142857144</v>
      </c>
      <c r="I1363" t="s">
        <v>38</v>
      </c>
      <c r="J1363">
        <f t="shared" si="135"/>
        <v>25.641439909297056</v>
      </c>
      <c r="K1363">
        <v>5745.6881190336007</v>
      </c>
    </row>
    <row r="1364" spans="1:11" x14ac:dyDescent="0.35">
      <c r="A1364" s="1">
        <v>39995</v>
      </c>
      <c r="B1364" t="s">
        <v>10</v>
      </c>
      <c r="C1364" t="s">
        <v>38</v>
      </c>
      <c r="D1364">
        <v>3846</v>
      </c>
      <c r="E1364">
        <v>36674</v>
      </c>
      <c r="F1364">
        <f t="shared" si="136"/>
        <v>9.5356214248569948</v>
      </c>
      <c r="G1364">
        <f t="shared" si="137"/>
        <v>432.53578783151329</v>
      </c>
      <c r="H1364">
        <v>1170.20875</v>
      </c>
      <c r="I1364" t="s">
        <v>38</v>
      </c>
      <c r="J1364">
        <f t="shared" si="135"/>
        <v>25.798252865961199</v>
      </c>
      <c r="K1364">
        <v>5745.6881190336007</v>
      </c>
    </row>
    <row r="1365" spans="1:11" x14ac:dyDescent="0.35">
      <c r="A1365" s="1">
        <v>40026</v>
      </c>
      <c r="B1365" t="s">
        <v>10</v>
      </c>
      <c r="C1365" t="s">
        <v>38</v>
      </c>
      <c r="D1365">
        <v>3810</v>
      </c>
      <c r="E1365">
        <v>29892</v>
      </c>
      <c r="F1365">
        <f t="shared" si="136"/>
        <v>7.8456692913385826</v>
      </c>
      <c r="G1365">
        <f t="shared" si="137"/>
        <v>355.87955905511808</v>
      </c>
      <c r="H1365">
        <v>1189.3571428571429</v>
      </c>
      <c r="I1365" t="s">
        <v>38</v>
      </c>
      <c r="J1365">
        <f t="shared" si="135"/>
        <v>26.220395565633662</v>
      </c>
      <c r="K1365">
        <v>5745.6881190336007</v>
      </c>
    </row>
    <row r="1366" spans="1:11" x14ac:dyDescent="0.35">
      <c r="A1366" s="1">
        <v>40057</v>
      </c>
      <c r="B1366" t="s">
        <v>10</v>
      </c>
      <c r="C1366" t="s">
        <v>38</v>
      </c>
      <c r="D1366">
        <v>4211</v>
      </c>
      <c r="E1366">
        <v>39763</v>
      </c>
      <c r="F1366">
        <f t="shared" si="136"/>
        <v>9.4426502018522918</v>
      </c>
      <c r="G1366">
        <f t="shared" si="137"/>
        <v>428.31861315601992</v>
      </c>
      <c r="H1366">
        <v>1256.0625</v>
      </c>
      <c r="I1366" t="s">
        <v>38</v>
      </c>
      <c r="J1366">
        <f t="shared" si="135"/>
        <v>27.690972222222221</v>
      </c>
      <c r="K1366">
        <v>5745.6881190336007</v>
      </c>
    </row>
    <row r="1367" spans="1:11" x14ac:dyDescent="0.35">
      <c r="A1367" s="1">
        <v>40087</v>
      </c>
      <c r="B1367" t="s">
        <v>10</v>
      </c>
      <c r="C1367" t="s">
        <v>38</v>
      </c>
      <c r="D1367">
        <v>4606</v>
      </c>
      <c r="E1367">
        <v>54149</v>
      </c>
      <c r="F1367">
        <f t="shared" si="136"/>
        <v>11.756187581415546</v>
      </c>
      <c r="G1367">
        <f t="shared" si="137"/>
        <v>533.26066869300917</v>
      </c>
      <c r="H1367">
        <v>1276</v>
      </c>
      <c r="I1367" t="s">
        <v>38</v>
      </c>
      <c r="J1367">
        <f t="shared" si="135"/>
        <v>28.130511463844798</v>
      </c>
      <c r="K1367">
        <v>5745.6881190336007</v>
      </c>
    </row>
    <row r="1368" spans="1:11" x14ac:dyDescent="0.35">
      <c r="A1368" s="1">
        <v>40118</v>
      </c>
      <c r="B1368" t="s">
        <v>10</v>
      </c>
      <c r="C1368" t="s">
        <v>38</v>
      </c>
      <c r="D1368">
        <v>4649</v>
      </c>
      <c r="E1368">
        <v>39411</v>
      </c>
      <c r="F1368">
        <f t="shared" si="136"/>
        <v>8.4773069477306944</v>
      </c>
      <c r="G1368">
        <f t="shared" si="137"/>
        <v>384.5306431490643</v>
      </c>
      <c r="H1368">
        <v>1265.581632653061</v>
      </c>
      <c r="I1368" t="s">
        <v>38</v>
      </c>
      <c r="J1368">
        <f t="shared" si="135"/>
        <v>27.900829644026917</v>
      </c>
      <c r="K1368">
        <v>5745.6881190336007</v>
      </c>
    </row>
    <row r="1369" spans="1:11" x14ac:dyDescent="0.35">
      <c r="A1369" s="1">
        <v>40148</v>
      </c>
      <c r="B1369" t="s">
        <v>10</v>
      </c>
      <c r="C1369" t="s">
        <v>38</v>
      </c>
      <c r="D1369">
        <v>10268</v>
      </c>
      <c r="E1369">
        <v>79257</v>
      </c>
      <c r="F1369">
        <f t="shared" si="136"/>
        <v>7.7188352162056875</v>
      </c>
      <c r="G1369">
        <f t="shared" si="137"/>
        <v>350.12636540708996</v>
      </c>
      <c r="H1369">
        <v>1171.9285714285713</v>
      </c>
      <c r="I1369" t="s">
        <v>38</v>
      </c>
      <c r="J1369">
        <f t="shared" si="135"/>
        <v>25.836167800453513</v>
      </c>
      <c r="K1369">
        <v>5745.6881190336007</v>
      </c>
    </row>
    <row r="1370" spans="1:11" x14ac:dyDescent="0.35">
      <c r="A1370" s="1">
        <v>39814</v>
      </c>
      <c r="B1370" t="s">
        <v>11</v>
      </c>
      <c r="C1370" t="s">
        <v>38</v>
      </c>
      <c r="D1370">
        <v>24520</v>
      </c>
      <c r="E1370">
        <v>272658</v>
      </c>
      <c r="F1370">
        <f t="shared" si="136"/>
        <v>11.119820554649266</v>
      </c>
      <c r="G1370">
        <f t="shared" si="137"/>
        <v>504.3950603588907</v>
      </c>
      <c r="H1370">
        <v>358.12705714285715</v>
      </c>
      <c r="I1370" t="s">
        <v>38</v>
      </c>
      <c r="J1370">
        <f t="shared" si="135"/>
        <v>7.895217309145881</v>
      </c>
      <c r="K1370">
        <v>3380.6681837157576</v>
      </c>
    </row>
    <row r="1371" spans="1:11" x14ac:dyDescent="0.35">
      <c r="A1371" s="1">
        <v>39845</v>
      </c>
      <c r="B1371" t="s">
        <v>11</v>
      </c>
      <c r="C1371" t="s">
        <v>38</v>
      </c>
      <c r="D1371">
        <v>30263</v>
      </c>
      <c r="E1371">
        <v>335190</v>
      </c>
      <c r="F1371">
        <f t="shared" si="136"/>
        <v>11.075901265571821</v>
      </c>
      <c r="G1371">
        <f t="shared" si="137"/>
        <v>502.40288140633777</v>
      </c>
      <c r="H1371">
        <v>352.43745000000001</v>
      </c>
      <c r="I1371" t="s">
        <v>38</v>
      </c>
      <c r="J1371">
        <f t="shared" si="135"/>
        <v>7.7697850529100529</v>
      </c>
      <c r="K1371">
        <v>3380.6681837157576</v>
      </c>
    </row>
    <row r="1372" spans="1:11" x14ac:dyDescent="0.35">
      <c r="A1372" s="1">
        <v>39873</v>
      </c>
      <c r="B1372" t="s">
        <v>11</v>
      </c>
      <c r="C1372" t="s">
        <v>38</v>
      </c>
      <c r="D1372">
        <v>27280</v>
      </c>
      <c r="E1372">
        <v>313733</v>
      </c>
      <c r="F1372">
        <f t="shared" si="136"/>
        <v>11.500476539589442</v>
      </c>
      <c r="G1372">
        <f t="shared" si="137"/>
        <v>521.66161583577707</v>
      </c>
      <c r="H1372">
        <v>368.71222857142857</v>
      </c>
      <c r="I1372" t="s">
        <v>38</v>
      </c>
      <c r="J1372">
        <f t="shared" si="135"/>
        <v>8.1285764676240859</v>
      </c>
      <c r="K1372">
        <v>3380.6681837157576</v>
      </c>
    </row>
    <row r="1373" spans="1:11" x14ac:dyDescent="0.35">
      <c r="A1373" s="1">
        <v>39904</v>
      </c>
      <c r="B1373" t="s">
        <v>11</v>
      </c>
      <c r="C1373" t="s">
        <v>38</v>
      </c>
      <c r="D1373">
        <v>28869</v>
      </c>
      <c r="E1373">
        <v>303118</v>
      </c>
      <c r="F1373">
        <f t="shared" si="136"/>
        <v>10.499774844989435</v>
      </c>
      <c r="G1373">
        <f t="shared" si="137"/>
        <v>476.26978696872078</v>
      </c>
      <c r="H1373">
        <v>463.33218750000003</v>
      </c>
      <c r="I1373" t="s">
        <v>38</v>
      </c>
      <c r="J1373">
        <f t="shared" si="135"/>
        <v>10.214554398148149</v>
      </c>
      <c r="K1373">
        <v>3380.6681837157576</v>
      </c>
    </row>
    <row r="1374" spans="1:11" x14ac:dyDescent="0.35">
      <c r="A1374" s="1">
        <v>39934</v>
      </c>
      <c r="B1374" t="s">
        <v>11</v>
      </c>
      <c r="C1374" t="s">
        <v>38</v>
      </c>
      <c r="D1374">
        <v>24780</v>
      </c>
      <c r="E1374">
        <v>272589</v>
      </c>
      <c r="F1374">
        <f t="shared" si="136"/>
        <v>11.000363196125909</v>
      </c>
      <c r="G1374">
        <f t="shared" si="137"/>
        <v>498.97647457627119</v>
      </c>
      <c r="H1374">
        <v>633.25625000000002</v>
      </c>
      <c r="I1374" t="s">
        <v>38</v>
      </c>
      <c r="J1374">
        <f t="shared" si="135"/>
        <v>13.960675705467374</v>
      </c>
      <c r="K1374">
        <v>3380.6681837157576</v>
      </c>
    </row>
    <row r="1375" spans="1:11" x14ac:dyDescent="0.35">
      <c r="A1375" s="1">
        <v>39965</v>
      </c>
      <c r="B1375" t="s">
        <v>11</v>
      </c>
      <c r="C1375" t="s">
        <v>38</v>
      </c>
      <c r="D1375">
        <v>28578</v>
      </c>
      <c r="E1375">
        <v>270617</v>
      </c>
      <c r="F1375">
        <f t="shared" si="136"/>
        <v>9.4694170340821611</v>
      </c>
      <c r="G1375">
        <f t="shared" si="137"/>
        <v>429.53275666596682</v>
      </c>
      <c r="H1375">
        <v>647.52125000000001</v>
      </c>
      <c r="I1375" t="s">
        <v>38</v>
      </c>
      <c r="J1375">
        <f t="shared" ref="J1375:J1405" si="138">H1375/45.36</f>
        <v>14.2751598324515</v>
      </c>
      <c r="K1375">
        <v>3380.6681837157576</v>
      </c>
    </row>
    <row r="1376" spans="1:11" x14ac:dyDescent="0.35">
      <c r="A1376" s="1">
        <v>39995</v>
      </c>
      <c r="B1376" t="s">
        <v>11</v>
      </c>
      <c r="C1376" t="s">
        <v>38</v>
      </c>
      <c r="D1376">
        <v>21806</v>
      </c>
      <c r="E1376">
        <v>230961</v>
      </c>
      <c r="F1376">
        <f t="shared" si="136"/>
        <v>10.591626157938181</v>
      </c>
      <c r="G1376">
        <f t="shared" si="137"/>
        <v>480.43616252407588</v>
      </c>
      <c r="H1376">
        <v>452.66062499999998</v>
      </c>
      <c r="I1376" t="s">
        <v>38</v>
      </c>
      <c r="J1376">
        <f t="shared" si="138"/>
        <v>9.979290674603174</v>
      </c>
      <c r="K1376">
        <v>3380.6681837157576</v>
      </c>
    </row>
    <row r="1377" spans="1:11" x14ac:dyDescent="0.35">
      <c r="A1377" s="1">
        <v>40026</v>
      </c>
      <c r="B1377" t="s">
        <v>11</v>
      </c>
      <c r="C1377" t="s">
        <v>38</v>
      </c>
      <c r="D1377">
        <v>19936</v>
      </c>
      <c r="E1377">
        <v>212885</v>
      </c>
      <c r="F1377">
        <f t="shared" si="136"/>
        <v>10.678420947030498</v>
      </c>
      <c r="G1377">
        <f t="shared" si="137"/>
        <v>484.37317415730337</v>
      </c>
      <c r="H1377">
        <v>560.47166666666669</v>
      </c>
      <c r="I1377" t="s">
        <v>38</v>
      </c>
      <c r="J1377">
        <f t="shared" si="138"/>
        <v>12.356077307466197</v>
      </c>
      <c r="K1377">
        <v>3380.6681837157576</v>
      </c>
    </row>
    <row r="1378" spans="1:11" x14ac:dyDescent="0.35">
      <c r="A1378" s="1">
        <v>40057</v>
      </c>
      <c r="B1378" t="s">
        <v>11</v>
      </c>
      <c r="C1378" t="s">
        <v>38</v>
      </c>
      <c r="D1378">
        <v>24390</v>
      </c>
      <c r="E1378">
        <v>270058</v>
      </c>
      <c r="F1378">
        <f t="shared" si="136"/>
        <v>11.072488724887249</v>
      </c>
      <c r="G1378">
        <f t="shared" si="137"/>
        <v>502.24808856088561</v>
      </c>
      <c r="H1378">
        <v>259.89600000000002</v>
      </c>
      <c r="I1378" t="s">
        <v>38</v>
      </c>
      <c r="J1378">
        <f t="shared" si="138"/>
        <v>5.7296296296296303</v>
      </c>
      <c r="K1378">
        <v>3380.6681837157576</v>
      </c>
    </row>
    <row r="1379" spans="1:11" x14ac:dyDescent="0.35">
      <c r="A1379" s="1">
        <v>40087</v>
      </c>
      <c r="B1379" t="s">
        <v>11</v>
      </c>
      <c r="C1379" t="s">
        <v>38</v>
      </c>
      <c r="D1379">
        <v>24458</v>
      </c>
      <c r="E1379">
        <v>274877</v>
      </c>
      <c r="F1379">
        <f t="shared" si="136"/>
        <v>11.238735791969908</v>
      </c>
      <c r="G1379">
        <f t="shared" si="137"/>
        <v>509.78905552375505</v>
      </c>
      <c r="H1379">
        <v>297.36060714285713</v>
      </c>
      <c r="I1379" t="s">
        <v>38</v>
      </c>
      <c r="J1379">
        <f t="shared" si="138"/>
        <v>6.5555689405391782</v>
      </c>
      <c r="K1379">
        <v>3380.6681837157576</v>
      </c>
    </row>
    <row r="1380" spans="1:11" x14ac:dyDescent="0.35">
      <c r="A1380" s="1">
        <v>40118</v>
      </c>
      <c r="B1380" t="s">
        <v>11</v>
      </c>
      <c r="C1380" t="s">
        <v>38</v>
      </c>
      <c r="D1380">
        <v>41924</v>
      </c>
      <c r="E1380">
        <v>364344</v>
      </c>
      <c r="F1380">
        <f t="shared" si="136"/>
        <v>8.6905829596412563</v>
      </c>
      <c r="G1380">
        <f t="shared" si="137"/>
        <v>394.20484304932739</v>
      </c>
      <c r="H1380">
        <v>281.55400000000003</v>
      </c>
      <c r="I1380" t="s">
        <v>38</v>
      </c>
      <c r="J1380">
        <f t="shared" si="138"/>
        <v>6.2070987654320993</v>
      </c>
      <c r="K1380">
        <v>3380.6681837157576</v>
      </c>
    </row>
    <row r="1381" spans="1:11" x14ac:dyDescent="0.35">
      <c r="A1381" s="1">
        <v>40148</v>
      </c>
      <c r="B1381" t="s">
        <v>11</v>
      </c>
      <c r="C1381" t="s">
        <v>38</v>
      </c>
      <c r="D1381">
        <v>44525</v>
      </c>
      <c r="E1381">
        <v>531726</v>
      </c>
      <c r="F1381">
        <f t="shared" si="136"/>
        <v>11.942189781021899</v>
      </c>
      <c r="G1381">
        <f t="shared" si="137"/>
        <v>541.6977284671533</v>
      </c>
      <c r="H1381">
        <v>288.44285714285712</v>
      </c>
      <c r="I1381" t="s">
        <v>38</v>
      </c>
      <c r="J1381">
        <f t="shared" si="138"/>
        <v>6.3589695137314184</v>
      </c>
      <c r="K1381">
        <v>3380.6681837157576</v>
      </c>
    </row>
    <row r="1382" spans="1:11" x14ac:dyDescent="0.35">
      <c r="A1382" s="1">
        <v>39814</v>
      </c>
      <c r="B1382" t="s">
        <v>12</v>
      </c>
      <c r="C1382" t="s">
        <v>38</v>
      </c>
      <c r="D1382">
        <v>12823</v>
      </c>
      <c r="E1382">
        <v>103056</v>
      </c>
      <c r="F1382">
        <f t="shared" si="136"/>
        <v>8.0368088590813382</v>
      </c>
      <c r="G1382">
        <f t="shared" si="137"/>
        <v>364.54964984792952</v>
      </c>
      <c r="H1382">
        <v>722.73142857142852</v>
      </c>
      <c r="I1382" t="s">
        <v>38</v>
      </c>
      <c r="J1382">
        <f t="shared" si="138"/>
        <v>15.93323255228017</v>
      </c>
      <c r="K1382">
        <v>1376.3165203125</v>
      </c>
    </row>
    <row r="1383" spans="1:11" x14ac:dyDescent="0.35">
      <c r="A1383" s="1">
        <v>39845</v>
      </c>
      <c r="B1383" t="s">
        <v>12</v>
      </c>
      <c r="C1383" t="s">
        <v>38</v>
      </c>
      <c r="D1383">
        <v>15010</v>
      </c>
      <c r="E1383">
        <v>96809</v>
      </c>
      <c r="F1383">
        <f t="shared" si="136"/>
        <v>6.4496335776149234</v>
      </c>
      <c r="G1383">
        <f t="shared" si="137"/>
        <v>292.55537908061291</v>
      </c>
      <c r="H1383">
        <v>677.79166666666663</v>
      </c>
      <c r="I1383" t="s">
        <v>38</v>
      </c>
      <c r="J1383">
        <f t="shared" si="138"/>
        <v>14.942497060552615</v>
      </c>
      <c r="K1383">
        <v>1376.3165203125</v>
      </c>
    </row>
    <row r="1384" spans="1:11" x14ac:dyDescent="0.35">
      <c r="A1384" s="1">
        <v>39873</v>
      </c>
      <c r="B1384" t="s">
        <v>12</v>
      </c>
      <c r="C1384" t="s">
        <v>38</v>
      </c>
      <c r="D1384">
        <v>11676</v>
      </c>
      <c r="E1384">
        <v>84806</v>
      </c>
      <c r="F1384">
        <f t="shared" si="136"/>
        <v>7.2632750942103463</v>
      </c>
      <c r="G1384">
        <f t="shared" si="137"/>
        <v>329.46215827338131</v>
      </c>
      <c r="H1384">
        <v>678.34666666666669</v>
      </c>
      <c r="I1384" t="s">
        <v>38</v>
      </c>
      <c r="J1384">
        <f t="shared" si="138"/>
        <v>14.954732510288066</v>
      </c>
      <c r="K1384">
        <v>1376.3165203125</v>
      </c>
    </row>
    <row r="1385" spans="1:11" x14ac:dyDescent="0.35">
      <c r="A1385" s="1">
        <v>39904</v>
      </c>
      <c r="B1385" t="s">
        <v>12</v>
      </c>
      <c r="C1385" t="s">
        <v>38</v>
      </c>
      <c r="D1385">
        <v>16416</v>
      </c>
      <c r="E1385">
        <v>141342</v>
      </c>
      <c r="F1385">
        <f t="shared" si="136"/>
        <v>8.6100146198830405</v>
      </c>
      <c r="G1385">
        <f t="shared" si="137"/>
        <v>390.55026315789473</v>
      </c>
      <c r="H1385">
        <v>605.17857142857144</v>
      </c>
      <c r="I1385" t="s">
        <v>38</v>
      </c>
      <c r="J1385">
        <f t="shared" si="138"/>
        <v>13.341679264298312</v>
      </c>
      <c r="K1385">
        <v>1376.3165203125</v>
      </c>
    </row>
    <row r="1386" spans="1:11" x14ac:dyDescent="0.35">
      <c r="A1386" s="1">
        <v>39934</v>
      </c>
      <c r="B1386" t="s">
        <v>12</v>
      </c>
      <c r="C1386" t="s">
        <v>38</v>
      </c>
      <c r="D1386">
        <v>13167</v>
      </c>
      <c r="E1386">
        <v>81659</v>
      </c>
      <c r="F1386">
        <f t="shared" si="136"/>
        <v>6.2017923596870963</v>
      </c>
      <c r="G1386">
        <f t="shared" si="137"/>
        <v>281.31330143540669</v>
      </c>
      <c r="H1386">
        <v>673.20285714285717</v>
      </c>
      <c r="I1386" t="s">
        <v>38</v>
      </c>
      <c r="J1386">
        <f t="shared" si="138"/>
        <v>14.841332829428069</v>
      </c>
      <c r="K1386">
        <v>1376.3165203125</v>
      </c>
    </row>
    <row r="1387" spans="1:11" x14ac:dyDescent="0.35">
      <c r="A1387" s="1">
        <v>39965</v>
      </c>
      <c r="B1387" t="s">
        <v>12</v>
      </c>
      <c r="C1387" t="s">
        <v>38</v>
      </c>
      <c r="D1387">
        <v>10778</v>
      </c>
      <c r="E1387">
        <v>57098</v>
      </c>
      <c r="F1387">
        <f t="shared" si="136"/>
        <v>5.2976433475598439</v>
      </c>
      <c r="G1387">
        <f t="shared" si="137"/>
        <v>240.30110224531452</v>
      </c>
      <c r="H1387">
        <v>547.70000000000005</v>
      </c>
      <c r="I1387" t="s">
        <v>38</v>
      </c>
      <c r="J1387">
        <f t="shared" si="138"/>
        <v>12.074514991181658</v>
      </c>
      <c r="K1387">
        <v>1376.3165203125</v>
      </c>
    </row>
    <row r="1388" spans="1:11" x14ac:dyDescent="0.35">
      <c r="A1388" s="1">
        <v>39995</v>
      </c>
      <c r="B1388" t="s">
        <v>12</v>
      </c>
      <c r="C1388" t="s">
        <v>38</v>
      </c>
      <c r="D1388">
        <v>9703</v>
      </c>
      <c r="E1388">
        <v>55018</v>
      </c>
      <c r="F1388">
        <f t="shared" si="136"/>
        <v>5.6702050912089046</v>
      </c>
      <c r="G1388">
        <f t="shared" si="137"/>
        <v>257.20050293723591</v>
      </c>
      <c r="H1388">
        <v>539.5</v>
      </c>
      <c r="I1388" t="s">
        <v>38</v>
      </c>
      <c r="J1388">
        <f t="shared" si="138"/>
        <v>11.89373897707231</v>
      </c>
      <c r="K1388">
        <v>1376.3165203125</v>
      </c>
    </row>
    <row r="1389" spans="1:11" x14ac:dyDescent="0.35">
      <c r="A1389" s="1">
        <v>40026</v>
      </c>
      <c r="B1389" t="s">
        <v>12</v>
      </c>
      <c r="C1389" t="s">
        <v>38</v>
      </c>
      <c r="D1389">
        <v>12104</v>
      </c>
      <c r="E1389">
        <v>59960</v>
      </c>
      <c r="F1389">
        <f t="shared" si="136"/>
        <v>4.9537343027098482</v>
      </c>
      <c r="G1389">
        <f t="shared" si="137"/>
        <v>224.70138797091872</v>
      </c>
      <c r="H1389">
        <v>611.67999999999995</v>
      </c>
      <c r="I1389" t="s">
        <v>38</v>
      </c>
      <c r="J1389">
        <f t="shared" si="138"/>
        <v>13.48500881834215</v>
      </c>
      <c r="K1389">
        <v>1376.3165203125</v>
      </c>
    </row>
    <row r="1390" spans="1:11" x14ac:dyDescent="0.35">
      <c r="A1390" s="1">
        <v>40057</v>
      </c>
      <c r="B1390" t="s">
        <v>12</v>
      </c>
      <c r="C1390" t="s">
        <v>38</v>
      </c>
      <c r="D1390">
        <v>12275</v>
      </c>
      <c r="E1390">
        <v>55987</v>
      </c>
      <c r="F1390">
        <f t="shared" si="136"/>
        <v>4.5610590631364563</v>
      </c>
      <c r="G1390">
        <f t="shared" si="137"/>
        <v>206.88963910386965</v>
      </c>
      <c r="H1390">
        <v>637.73285714285714</v>
      </c>
      <c r="I1390" t="s">
        <v>38</v>
      </c>
      <c r="J1390">
        <f t="shared" si="138"/>
        <v>14.059366339128244</v>
      </c>
      <c r="K1390">
        <v>1376.3165203125</v>
      </c>
    </row>
    <row r="1391" spans="1:11" x14ac:dyDescent="0.35">
      <c r="A1391" s="1">
        <v>40087</v>
      </c>
      <c r="B1391" t="s">
        <v>12</v>
      </c>
      <c r="C1391" t="s">
        <v>38</v>
      </c>
      <c r="D1391">
        <v>13845</v>
      </c>
      <c r="E1391">
        <v>70340</v>
      </c>
      <c r="F1391">
        <f t="shared" si="136"/>
        <v>5.0805344889851929</v>
      </c>
      <c r="G1391">
        <f t="shared" si="137"/>
        <v>230.45304442036834</v>
      </c>
      <c r="H1391">
        <v>616.66666666666663</v>
      </c>
      <c r="I1391" t="s">
        <v>38</v>
      </c>
      <c r="J1391">
        <f t="shared" si="138"/>
        <v>13.594944150499705</v>
      </c>
      <c r="K1391">
        <v>1376.3165203125</v>
      </c>
    </row>
    <row r="1392" spans="1:11" x14ac:dyDescent="0.35">
      <c r="A1392" s="1">
        <v>40118</v>
      </c>
      <c r="B1392" t="s">
        <v>12</v>
      </c>
      <c r="C1392" t="s">
        <v>38</v>
      </c>
      <c r="D1392">
        <v>11295</v>
      </c>
      <c r="E1392">
        <v>57928</v>
      </c>
      <c r="F1392">
        <f t="shared" si="136"/>
        <v>5.1286409915891991</v>
      </c>
      <c r="G1392">
        <f t="shared" si="137"/>
        <v>232.63515537848608</v>
      </c>
      <c r="H1392">
        <v>580.99249999999995</v>
      </c>
      <c r="I1392" t="s">
        <v>38</v>
      </c>
      <c r="J1392">
        <f t="shared" si="138"/>
        <v>12.808476631393297</v>
      </c>
      <c r="K1392">
        <v>1376.3165203125</v>
      </c>
    </row>
    <row r="1393" spans="1:11" x14ac:dyDescent="0.35">
      <c r="A1393" s="1">
        <v>40148</v>
      </c>
      <c r="B1393" t="s">
        <v>12</v>
      </c>
      <c r="C1393" t="s">
        <v>38</v>
      </c>
      <c r="D1393">
        <v>12871</v>
      </c>
      <c r="E1393">
        <v>63419</v>
      </c>
      <c r="F1393">
        <f t="shared" si="136"/>
        <v>4.9272783777484266</v>
      </c>
      <c r="G1393">
        <f t="shared" si="137"/>
        <v>223.50134721466864</v>
      </c>
      <c r="H1393">
        <v>539.29999999999995</v>
      </c>
      <c r="I1393" t="s">
        <v>38</v>
      </c>
      <c r="J1393">
        <f t="shared" si="138"/>
        <v>11.889329805996471</v>
      </c>
      <c r="K1393">
        <v>1376.3165203125</v>
      </c>
    </row>
    <row r="1394" spans="1:11" x14ac:dyDescent="0.35">
      <c r="A1394" s="1">
        <v>39814</v>
      </c>
      <c r="B1394" t="s">
        <v>13</v>
      </c>
      <c r="C1394" t="s">
        <v>38</v>
      </c>
      <c r="D1394">
        <v>5341</v>
      </c>
      <c r="E1394">
        <v>39852</v>
      </c>
      <c r="F1394">
        <f t="shared" si="136"/>
        <v>7.4615240591649501</v>
      </c>
      <c r="G1394">
        <f t="shared" si="137"/>
        <v>338.45473132372211</v>
      </c>
      <c r="H1394">
        <v>267.65549999999996</v>
      </c>
      <c r="I1394" t="s">
        <v>38</v>
      </c>
      <c r="J1394">
        <f t="shared" si="138"/>
        <v>5.9006944444444436</v>
      </c>
      <c r="K1394">
        <v>5690.0383784955002</v>
      </c>
    </row>
    <row r="1395" spans="1:11" x14ac:dyDescent="0.35">
      <c r="A1395" s="1">
        <v>39845</v>
      </c>
      <c r="B1395" t="s">
        <v>13</v>
      </c>
      <c r="C1395" t="s">
        <v>38</v>
      </c>
      <c r="D1395">
        <v>7834</v>
      </c>
      <c r="E1395">
        <v>52862</v>
      </c>
      <c r="F1395">
        <f t="shared" si="136"/>
        <v>6.7477661475619097</v>
      </c>
      <c r="G1395">
        <f t="shared" si="137"/>
        <v>306.07867245340822</v>
      </c>
      <c r="H1395">
        <v>298.24166666666667</v>
      </c>
      <c r="I1395" t="s">
        <v>38</v>
      </c>
      <c r="J1395">
        <f t="shared" si="138"/>
        <v>6.5749926513815407</v>
      </c>
      <c r="K1395">
        <v>5690.0383784955002</v>
      </c>
    </row>
    <row r="1396" spans="1:11" x14ac:dyDescent="0.35">
      <c r="A1396" s="1">
        <v>39873</v>
      </c>
      <c r="B1396" t="s">
        <v>13</v>
      </c>
      <c r="C1396" t="s">
        <v>38</v>
      </c>
      <c r="D1396">
        <v>4794</v>
      </c>
      <c r="E1396">
        <v>33588</v>
      </c>
      <c r="F1396">
        <f t="shared" si="136"/>
        <v>7.0062578222778473</v>
      </c>
      <c r="G1396">
        <f t="shared" si="137"/>
        <v>317.80385481852318</v>
      </c>
      <c r="H1396">
        <v>338.60399999999998</v>
      </c>
      <c r="I1396" t="s">
        <v>38</v>
      </c>
      <c r="J1396">
        <f t="shared" si="138"/>
        <v>7.4648148148148143</v>
      </c>
      <c r="K1396">
        <v>5690.0383784955002</v>
      </c>
    </row>
    <row r="1397" spans="1:11" x14ac:dyDescent="0.35">
      <c r="A1397" s="1">
        <v>39904</v>
      </c>
      <c r="B1397" t="s">
        <v>13</v>
      </c>
      <c r="C1397" t="s">
        <v>38</v>
      </c>
      <c r="D1397">
        <v>6905</v>
      </c>
      <c r="E1397">
        <v>75962</v>
      </c>
      <c r="F1397">
        <f t="shared" si="136"/>
        <v>11.001013758146271</v>
      </c>
      <c r="G1397">
        <f t="shared" si="137"/>
        <v>499.00598406951485</v>
      </c>
      <c r="H1397">
        <v>236.25</v>
      </c>
      <c r="I1397" t="s">
        <v>38</v>
      </c>
      <c r="J1397">
        <f t="shared" si="138"/>
        <v>5.208333333333333</v>
      </c>
      <c r="K1397">
        <v>5690.0383784955002</v>
      </c>
    </row>
    <row r="1398" spans="1:11" x14ac:dyDescent="0.35">
      <c r="A1398" s="1">
        <v>39934</v>
      </c>
      <c r="B1398" t="s">
        <v>13</v>
      </c>
      <c r="C1398" t="s">
        <v>38</v>
      </c>
      <c r="D1398">
        <v>6845</v>
      </c>
      <c r="E1398">
        <v>53396</v>
      </c>
      <c r="F1398">
        <f t="shared" si="136"/>
        <v>7.8007304601899197</v>
      </c>
      <c r="G1398">
        <f t="shared" si="137"/>
        <v>353.84113367421475</v>
      </c>
      <c r="H1398">
        <v>239.24999999999994</v>
      </c>
      <c r="I1398" t="s">
        <v>38</v>
      </c>
      <c r="J1398">
        <f t="shared" si="138"/>
        <v>5.2744708994708986</v>
      </c>
      <c r="K1398">
        <v>5690.0383784955002</v>
      </c>
    </row>
    <row r="1399" spans="1:11" x14ac:dyDescent="0.35">
      <c r="A1399" s="1">
        <v>39965</v>
      </c>
      <c r="B1399" t="s">
        <v>13</v>
      </c>
      <c r="C1399" t="s">
        <v>38</v>
      </c>
      <c r="D1399">
        <v>7686</v>
      </c>
      <c r="E1399">
        <v>57463</v>
      </c>
      <c r="F1399">
        <f t="shared" si="136"/>
        <v>7.4763205828779595</v>
      </c>
      <c r="G1399">
        <f t="shared" si="137"/>
        <v>339.12590163934425</v>
      </c>
      <c r="H1399">
        <v>229.29062000000005</v>
      </c>
      <c r="I1399" t="s">
        <v>38</v>
      </c>
      <c r="J1399">
        <f t="shared" si="138"/>
        <v>5.0549078483245165</v>
      </c>
      <c r="K1399">
        <v>5690.0383784955002</v>
      </c>
    </row>
    <row r="1400" spans="1:11" x14ac:dyDescent="0.35">
      <c r="A1400" s="1">
        <v>39995</v>
      </c>
      <c r="B1400" t="s">
        <v>13</v>
      </c>
      <c r="C1400" t="s">
        <v>38</v>
      </c>
      <c r="D1400">
        <v>7586</v>
      </c>
      <c r="E1400">
        <v>54396</v>
      </c>
      <c r="F1400">
        <f t="shared" si="136"/>
        <v>7.170577379383074</v>
      </c>
      <c r="G1400">
        <f t="shared" si="137"/>
        <v>325.25738992881622</v>
      </c>
      <c r="H1400">
        <v>256.59428571428572</v>
      </c>
      <c r="I1400" t="s">
        <v>38</v>
      </c>
      <c r="J1400">
        <f t="shared" si="138"/>
        <v>5.6568405139833713</v>
      </c>
      <c r="K1400">
        <v>5690.0383784955002</v>
      </c>
    </row>
    <row r="1401" spans="1:11" x14ac:dyDescent="0.35">
      <c r="A1401" s="1">
        <v>40026</v>
      </c>
      <c r="B1401" t="s">
        <v>13</v>
      </c>
      <c r="C1401" t="s">
        <v>38</v>
      </c>
      <c r="D1401">
        <v>7036</v>
      </c>
      <c r="E1401">
        <v>59318</v>
      </c>
      <c r="F1401">
        <f t="shared" si="136"/>
        <v>8.4306424104604893</v>
      </c>
      <c r="G1401">
        <f t="shared" si="137"/>
        <v>382.41393973848778</v>
      </c>
      <c r="H1401">
        <v>357.12</v>
      </c>
      <c r="I1401" t="s">
        <v>38</v>
      </c>
      <c r="J1401">
        <f t="shared" si="138"/>
        <v>7.8730158730158735</v>
      </c>
      <c r="K1401">
        <v>5690.0383784955002</v>
      </c>
    </row>
    <row r="1402" spans="1:11" x14ac:dyDescent="0.35">
      <c r="A1402" s="1">
        <v>40057</v>
      </c>
      <c r="B1402" t="s">
        <v>13</v>
      </c>
      <c r="C1402" t="s">
        <v>38</v>
      </c>
      <c r="D1402">
        <v>7399</v>
      </c>
      <c r="E1402">
        <v>49777</v>
      </c>
      <c r="F1402">
        <f t="shared" si="136"/>
        <v>6.7275307473982968</v>
      </c>
      <c r="G1402">
        <f t="shared" si="137"/>
        <v>305.16079470198673</v>
      </c>
      <c r="H1402">
        <v>321.82899999999995</v>
      </c>
      <c r="I1402" t="s">
        <v>38</v>
      </c>
      <c r="J1402">
        <f t="shared" si="138"/>
        <v>7.0949955908289235</v>
      </c>
      <c r="K1402">
        <v>5690.0383784955002</v>
      </c>
    </row>
    <row r="1403" spans="1:11" x14ac:dyDescent="0.35">
      <c r="A1403" s="1">
        <v>40087</v>
      </c>
      <c r="B1403" t="s">
        <v>13</v>
      </c>
      <c r="C1403" t="s">
        <v>38</v>
      </c>
      <c r="D1403">
        <v>7475</v>
      </c>
      <c r="E1403">
        <v>44091</v>
      </c>
      <c r="F1403">
        <f t="shared" si="136"/>
        <v>5.8984615384615386</v>
      </c>
      <c r="G1403">
        <f t="shared" si="137"/>
        <v>267.55421538461542</v>
      </c>
      <c r="H1403">
        <v>294.14285714285717</v>
      </c>
      <c r="I1403" t="s">
        <v>38</v>
      </c>
      <c r="J1403">
        <f t="shared" si="138"/>
        <v>6.4846308893927951</v>
      </c>
      <c r="K1403">
        <v>5690.0383784955002</v>
      </c>
    </row>
    <row r="1404" spans="1:11" x14ac:dyDescent="0.35">
      <c r="A1404" s="1">
        <v>40118</v>
      </c>
      <c r="B1404" t="s">
        <v>13</v>
      </c>
      <c r="C1404" t="s">
        <v>38</v>
      </c>
      <c r="D1404">
        <v>7111</v>
      </c>
      <c r="E1404">
        <v>41953</v>
      </c>
      <c r="F1404">
        <f t="shared" si="136"/>
        <v>5.8997328083251297</v>
      </c>
      <c r="G1404">
        <f t="shared" si="137"/>
        <v>267.61188018562785</v>
      </c>
      <c r="H1404">
        <v>230.40321428571428</v>
      </c>
      <c r="I1404" t="s">
        <v>38</v>
      </c>
      <c r="J1404">
        <f t="shared" si="138"/>
        <v>5.0794359410430836</v>
      </c>
      <c r="K1404">
        <v>5690.0383784955002</v>
      </c>
    </row>
    <row r="1405" spans="1:11" x14ac:dyDescent="0.35">
      <c r="A1405" s="1">
        <v>40148</v>
      </c>
      <c r="B1405" t="s">
        <v>13</v>
      </c>
      <c r="C1405" t="s">
        <v>38</v>
      </c>
      <c r="D1405">
        <v>6743</v>
      </c>
      <c r="E1405">
        <v>37819</v>
      </c>
      <c r="F1405">
        <f t="shared" si="136"/>
        <v>5.6086311730683676</v>
      </c>
      <c r="G1405">
        <f>F1405*45.36</f>
        <v>254.40751001038115</v>
      </c>
      <c r="H1405">
        <v>400.64533333333327</v>
      </c>
      <c r="I1405" t="s">
        <v>38</v>
      </c>
      <c r="J1405">
        <f>H1405/45.36</f>
        <v>8.8325690770135203</v>
      </c>
      <c r="K1405">
        <v>5690.0383784955002</v>
      </c>
    </row>
    <row r="1406" spans="1:11" x14ac:dyDescent="0.35">
      <c r="A1406" s="1">
        <v>39814</v>
      </c>
      <c r="B1406" t="s">
        <v>14</v>
      </c>
      <c r="C1406" t="s">
        <v>40</v>
      </c>
      <c r="D1406">
        <v>22114</v>
      </c>
      <c r="E1406">
        <v>13590</v>
      </c>
      <c r="F1406">
        <f t="shared" si="136"/>
        <v>0.6145428235506919</v>
      </c>
      <c r="G1406">
        <f>F1406*562.34</f>
        <v>345.58201139549612</v>
      </c>
      <c r="H1406">
        <v>5800</v>
      </c>
      <c r="I1406" t="s">
        <v>40</v>
      </c>
      <c r="J1406">
        <f>(H1406/1000)/0.56234</f>
        <v>10.314044883878081</v>
      </c>
      <c r="K1406">
        <v>5157.162319765368</v>
      </c>
    </row>
    <row r="1407" spans="1:11" x14ac:dyDescent="0.35">
      <c r="A1407" s="1">
        <v>39845</v>
      </c>
      <c r="B1407" t="s">
        <v>14</v>
      </c>
      <c r="C1407" t="s">
        <v>40</v>
      </c>
      <c r="D1407">
        <v>39921</v>
      </c>
      <c r="E1407">
        <v>33133</v>
      </c>
      <c r="F1407">
        <f t="shared" si="136"/>
        <v>0.82996417925402666</v>
      </c>
      <c r="G1407">
        <f t="shared" ref="G1407:G1417" si="139">F1407*562.34</f>
        <v>466.72205656170939</v>
      </c>
      <c r="H1407">
        <v>5630.8</v>
      </c>
      <c r="I1407" t="s">
        <v>40</v>
      </c>
      <c r="J1407">
        <f t="shared" ref="J1407:J1417" si="140">(H1407/1000)/0.56234</f>
        <v>10.013159298644949</v>
      </c>
      <c r="K1407">
        <v>5157.162319765368</v>
      </c>
    </row>
    <row r="1408" spans="1:11" x14ac:dyDescent="0.35">
      <c r="A1408" s="1">
        <v>39873</v>
      </c>
      <c r="B1408" t="s">
        <v>14</v>
      </c>
      <c r="C1408" t="s">
        <v>40</v>
      </c>
      <c r="D1408">
        <v>37911</v>
      </c>
      <c r="E1408">
        <v>24729</v>
      </c>
      <c r="F1408">
        <f t="shared" si="136"/>
        <v>0.65229089182559152</v>
      </c>
      <c r="G1408">
        <f t="shared" si="139"/>
        <v>366.80926010920314</v>
      </c>
      <c r="H1408">
        <v>6237.333333333333</v>
      </c>
      <c r="I1408" t="s">
        <v>40</v>
      </c>
      <c r="J1408">
        <f t="shared" si="140"/>
        <v>11.091747578570498</v>
      </c>
      <c r="K1408">
        <v>5157.162319765368</v>
      </c>
    </row>
    <row r="1409" spans="1:11" x14ac:dyDescent="0.35">
      <c r="A1409" s="1">
        <v>39904</v>
      </c>
      <c r="B1409" t="s">
        <v>14</v>
      </c>
      <c r="C1409" t="s">
        <v>40</v>
      </c>
      <c r="D1409">
        <v>566</v>
      </c>
      <c r="E1409">
        <v>346</v>
      </c>
      <c r="F1409">
        <f t="shared" si="136"/>
        <v>0.61130742049469966</v>
      </c>
      <c r="G1409">
        <f t="shared" si="139"/>
        <v>343.76261484098944</v>
      </c>
      <c r="H1409">
        <v>5781</v>
      </c>
      <c r="I1409" t="s">
        <v>40</v>
      </c>
      <c r="J1409">
        <f t="shared" si="140"/>
        <v>10.280257495465378</v>
      </c>
      <c r="K1409">
        <v>5157.162319765368</v>
      </c>
    </row>
    <row r="1410" spans="1:11" x14ac:dyDescent="0.35">
      <c r="A1410" s="1">
        <v>39934</v>
      </c>
      <c r="B1410" t="s">
        <v>14</v>
      </c>
      <c r="C1410" t="s">
        <v>40</v>
      </c>
      <c r="D1410">
        <v>365</v>
      </c>
      <c r="E1410">
        <v>1595</v>
      </c>
      <c r="F1410">
        <f t="shared" si="136"/>
        <v>4.3698630136986303</v>
      </c>
      <c r="G1410">
        <f t="shared" si="139"/>
        <v>2457.3487671232879</v>
      </c>
      <c r="H1410">
        <v>6500</v>
      </c>
      <c r="I1410" t="s">
        <v>40</v>
      </c>
      <c r="J1410">
        <f t="shared" si="140"/>
        <v>11.558843404346126</v>
      </c>
      <c r="K1410">
        <v>5157.162319765368</v>
      </c>
    </row>
    <row r="1411" spans="1:11" x14ac:dyDescent="0.35">
      <c r="A1411" s="1">
        <v>39965</v>
      </c>
      <c r="B1411" t="s">
        <v>14</v>
      </c>
      <c r="C1411" t="s">
        <v>40</v>
      </c>
      <c r="D1411">
        <v>453</v>
      </c>
      <c r="E1411">
        <v>457</v>
      </c>
      <c r="F1411">
        <f t="shared" si="136"/>
        <v>1.0088300220750552</v>
      </c>
      <c r="G1411">
        <f t="shared" si="139"/>
        <v>567.30547461368656</v>
      </c>
      <c r="H1411">
        <v>6351.5</v>
      </c>
      <c r="I1411" t="s">
        <v>40</v>
      </c>
      <c r="J1411">
        <f t="shared" si="140"/>
        <v>11.294768289646834</v>
      </c>
      <c r="K1411">
        <v>5157.162319765368</v>
      </c>
    </row>
    <row r="1412" spans="1:11" x14ac:dyDescent="0.35">
      <c r="A1412" s="1">
        <v>39995</v>
      </c>
      <c r="B1412" t="s">
        <v>14</v>
      </c>
      <c r="C1412" t="s">
        <v>40</v>
      </c>
      <c r="D1412">
        <v>2980</v>
      </c>
      <c r="E1412">
        <v>3064</v>
      </c>
      <c r="F1412">
        <f t="shared" si="136"/>
        <v>1.0281879194630872</v>
      </c>
      <c r="G1412">
        <f t="shared" si="139"/>
        <v>578.19119463087247</v>
      </c>
      <c r="H1412">
        <v>5302.5</v>
      </c>
      <c r="I1412" t="s">
        <v>40</v>
      </c>
      <c r="J1412">
        <f t="shared" si="140"/>
        <v>9.4293487925454365</v>
      </c>
      <c r="K1412">
        <v>5157.162319765368</v>
      </c>
    </row>
    <row r="1413" spans="1:11" x14ac:dyDescent="0.35">
      <c r="A1413" s="1">
        <v>40026</v>
      </c>
      <c r="B1413" t="s">
        <v>14</v>
      </c>
      <c r="C1413" t="s">
        <v>40</v>
      </c>
      <c r="D1413">
        <v>25942</v>
      </c>
      <c r="E1413">
        <v>34303</v>
      </c>
      <c r="F1413">
        <f t="shared" si="136"/>
        <v>1.3222958908333975</v>
      </c>
      <c r="G1413">
        <f t="shared" si="139"/>
        <v>743.57987125125283</v>
      </c>
      <c r="H1413">
        <v>3806.4375</v>
      </c>
      <c r="I1413" t="s">
        <v>40</v>
      </c>
      <c r="J1413">
        <f t="shared" si="140"/>
        <v>6.7689253832201164</v>
      </c>
      <c r="K1413">
        <v>5157.162319765368</v>
      </c>
    </row>
    <row r="1414" spans="1:11" x14ac:dyDescent="0.35">
      <c r="A1414" s="1">
        <v>40057</v>
      </c>
      <c r="B1414" t="s">
        <v>14</v>
      </c>
      <c r="C1414" t="s">
        <v>40</v>
      </c>
      <c r="D1414">
        <v>63018</v>
      </c>
      <c r="E1414">
        <v>134990</v>
      </c>
      <c r="F1414">
        <f t="shared" si="136"/>
        <v>2.1420863880161223</v>
      </c>
      <c r="G1414">
        <f t="shared" si="139"/>
        <v>1204.5808594369862</v>
      </c>
      <c r="H1414">
        <v>3511.75</v>
      </c>
      <c r="I1414" t="s">
        <v>40</v>
      </c>
      <c r="J1414">
        <f t="shared" si="140"/>
        <v>6.2448874346480787</v>
      </c>
      <c r="K1414">
        <v>5157.162319765368</v>
      </c>
    </row>
    <row r="1415" spans="1:11" x14ac:dyDescent="0.35">
      <c r="A1415" s="1">
        <v>40087</v>
      </c>
      <c r="B1415" t="s">
        <v>14</v>
      </c>
      <c r="C1415" t="s">
        <v>40</v>
      </c>
      <c r="D1415">
        <v>66708</v>
      </c>
      <c r="E1415">
        <v>83045</v>
      </c>
      <c r="F1415">
        <f t="shared" ref="F1415:F1478" si="141">E1415/D1415</f>
        <v>1.2449031600407747</v>
      </c>
      <c r="G1415">
        <f t="shared" si="139"/>
        <v>700.05884301732931</v>
      </c>
      <c r="H1415">
        <v>3150.75</v>
      </c>
      <c r="I1415" t="s">
        <v>40</v>
      </c>
      <c r="J1415">
        <f t="shared" si="140"/>
        <v>5.6029270548067007</v>
      </c>
      <c r="K1415">
        <v>5157.162319765368</v>
      </c>
    </row>
    <row r="1416" spans="1:11" x14ac:dyDescent="0.35">
      <c r="A1416" s="1">
        <v>40118</v>
      </c>
      <c r="B1416" t="s">
        <v>14</v>
      </c>
      <c r="C1416" t="s">
        <v>40</v>
      </c>
      <c r="D1416">
        <v>28585</v>
      </c>
      <c r="E1416">
        <v>28796</v>
      </c>
      <c r="F1416">
        <f t="shared" si="141"/>
        <v>1.0073814937904495</v>
      </c>
      <c r="G1416">
        <f t="shared" si="139"/>
        <v>566.49090921812137</v>
      </c>
      <c r="H1416">
        <v>6011.1111111111104</v>
      </c>
      <c r="I1416" t="s">
        <v>40</v>
      </c>
      <c r="J1416">
        <f t="shared" si="140"/>
        <v>10.689460310685902</v>
      </c>
      <c r="K1416">
        <v>5157.162319765368</v>
      </c>
    </row>
    <row r="1417" spans="1:11" x14ac:dyDescent="0.35">
      <c r="A1417" s="1">
        <v>40148</v>
      </c>
      <c r="B1417" t="s">
        <v>14</v>
      </c>
      <c r="C1417" t="s">
        <v>40</v>
      </c>
      <c r="D1417">
        <v>54084</v>
      </c>
      <c r="E1417">
        <v>48386</v>
      </c>
      <c r="F1417">
        <f t="shared" si="141"/>
        <v>0.89464536646697734</v>
      </c>
      <c r="G1417">
        <f>F1417*562.34</f>
        <v>503.09487537904005</v>
      </c>
      <c r="H1417">
        <v>5034.5</v>
      </c>
      <c r="I1417" t="s">
        <v>40</v>
      </c>
      <c r="J1417">
        <f t="shared" si="140"/>
        <v>8.9527687875662423</v>
      </c>
      <c r="K1417">
        <v>5157.162319765368</v>
      </c>
    </row>
    <row r="1418" spans="1:11" x14ac:dyDescent="0.35">
      <c r="A1418" s="1">
        <v>39814</v>
      </c>
      <c r="B1418" t="s">
        <v>15</v>
      </c>
      <c r="C1418" t="s">
        <v>41</v>
      </c>
      <c r="D1418">
        <v>287462</v>
      </c>
      <c r="E1418">
        <v>1619468</v>
      </c>
      <c r="F1418">
        <f t="shared" si="141"/>
        <v>5.6336767990203924</v>
      </c>
      <c r="G1418">
        <f>F1418*27.21</f>
        <v>153.29234570134489</v>
      </c>
      <c r="H1418">
        <v>119.91</v>
      </c>
      <c r="I1418" t="s">
        <v>58</v>
      </c>
      <c r="J1418">
        <f>H1418/27.21</f>
        <v>4.4068357221609702</v>
      </c>
      <c r="K1418">
        <f>3650.49480347259+5603.44997573039</f>
        <v>9253.9447792029805</v>
      </c>
    </row>
    <row r="1419" spans="1:11" x14ac:dyDescent="0.35">
      <c r="A1419" s="1">
        <v>39845</v>
      </c>
      <c r="B1419" t="s">
        <v>15</v>
      </c>
      <c r="C1419" t="s">
        <v>41</v>
      </c>
      <c r="D1419">
        <v>283758</v>
      </c>
      <c r="E1419">
        <v>1547205</v>
      </c>
      <c r="F1419">
        <f t="shared" si="141"/>
        <v>5.4525511175015327</v>
      </c>
      <c r="G1419">
        <f t="shared" ref="G1419:G1429" si="142">F1419*27.21</f>
        <v>148.36391590721672</v>
      </c>
      <c r="H1419">
        <v>106.66285714285713</v>
      </c>
      <c r="I1419" t="s">
        <v>58</v>
      </c>
      <c r="J1419">
        <f t="shared" ref="J1419:J1429" si="143">H1419/27.21</f>
        <v>3.9199873995904864</v>
      </c>
      <c r="K1419">
        <f t="shared" ref="K1419:K1429" si="144">3650.49480347259+5603.44997573039</f>
        <v>9253.9447792029805</v>
      </c>
    </row>
    <row r="1420" spans="1:11" x14ac:dyDescent="0.35">
      <c r="A1420" s="1">
        <v>39873</v>
      </c>
      <c r="B1420" t="s">
        <v>15</v>
      </c>
      <c r="C1420" t="s">
        <v>41</v>
      </c>
      <c r="D1420">
        <v>288167</v>
      </c>
      <c r="E1420">
        <v>1963104</v>
      </c>
      <c r="F1420">
        <f t="shared" si="141"/>
        <v>6.8123830973012174</v>
      </c>
      <c r="G1420">
        <f t="shared" si="142"/>
        <v>185.36494407756612</v>
      </c>
      <c r="H1420">
        <v>105.59375</v>
      </c>
      <c r="I1420" t="s">
        <v>58</v>
      </c>
      <c r="J1420">
        <f t="shared" si="143"/>
        <v>3.8806964351341415</v>
      </c>
      <c r="K1420">
        <f t="shared" si="144"/>
        <v>9253.9447792029805</v>
      </c>
    </row>
    <row r="1421" spans="1:11" x14ac:dyDescent="0.35">
      <c r="A1421" s="1">
        <v>39904</v>
      </c>
      <c r="B1421" t="s">
        <v>15</v>
      </c>
      <c r="C1421" t="s">
        <v>41</v>
      </c>
      <c r="D1421">
        <v>236235</v>
      </c>
      <c r="E1421">
        <v>1869245</v>
      </c>
      <c r="F1421">
        <f t="shared" si="141"/>
        <v>7.9126505386585393</v>
      </c>
      <c r="G1421">
        <f t="shared" si="142"/>
        <v>215.30322115689887</v>
      </c>
      <c r="H1421">
        <v>100.98642857142856</v>
      </c>
      <c r="I1421" t="s">
        <v>58</v>
      </c>
      <c r="J1421">
        <f t="shared" si="143"/>
        <v>3.7113718695857609</v>
      </c>
      <c r="K1421">
        <f t="shared" si="144"/>
        <v>9253.9447792029805</v>
      </c>
    </row>
    <row r="1422" spans="1:11" x14ac:dyDescent="0.35">
      <c r="A1422" s="1">
        <v>39934</v>
      </c>
      <c r="B1422" t="s">
        <v>15</v>
      </c>
      <c r="C1422" t="s">
        <v>41</v>
      </c>
      <c r="D1422">
        <v>287757</v>
      </c>
      <c r="E1422">
        <v>1944520</v>
      </c>
      <c r="F1422">
        <f t="shared" si="141"/>
        <v>6.75750720225746</v>
      </c>
      <c r="G1422">
        <f t="shared" si="142"/>
        <v>183.8717709734255</v>
      </c>
      <c r="H1422">
        <v>105.454375</v>
      </c>
      <c r="I1422" t="s">
        <v>58</v>
      </c>
      <c r="J1422">
        <f t="shared" si="143"/>
        <v>3.8755742374127156</v>
      </c>
      <c r="K1422">
        <f t="shared" si="144"/>
        <v>9253.9447792029805</v>
      </c>
    </row>
    <row r="1423" spans="1:11" x14ac:dyDescent="0.35">
      <c r="A1423" s="1">
        <v>39965</v>
      </c>
      <c r="B1423" t="s">
        <v>15</v>
      </c>
      <c r="C1423" t="s">
        <v>41</v>
      </c>
      <c r="D1423">
        <v>291474</v>
      </c>
      <c r="E1423">
        <v>2161633</v>
      </c>
      <c r="F1423">
        <f t="shared" si="141"/>
        <v>7.4162120806658569</v>
      </c>
      <c r="G1423">
        <f t="shared" si="142"/>
        <v>201.79513071491797</v>
      </c>
      <c r="H1423">
        <v>105.06874999999999</v>
      </c>
      <c r="I1423" t="s">
        <v>58</v>
      </c>
      <c r="J1423">
        <f t="shared" si="143"/>
        <v>3.8614020580668869</v>
      </c>
      <c r="K1423">
        <f t="shared" si="144"/>
        <v>9253.9447792029805</v>
      </c>
    </row>
    <row r="1424" spans="1:11" x14ac:dyDescent="0.35">
      <c r="A1424" s="1">
        <v>39995</v>
      </c>
      <c r="B1424" t="s">
        <v>15</v>
      </c>
      <c r="C1424" t="s">
        <v>41</v>
      </c>
      <c r="D1424">
        <v>293301</v>
      </c>
      <c r="E1424">
        <v>2239597</v>
      </c>
      <c r="F1424">
        <f t="shared" si="141"/>
        <v>7.6358314496029678</v>
      </c>
      <c r="G1424">
        <f t="shared" si="142"/>
        <v>207.77097374369677</v>
      </c>
      <c r="H1424">
        <v>102.80374999999999</v>
      </c>
      <c r="I1424" t="s">
        <v>58</v>
      </c>
      <c r="J1424">
        <f t="shared" si="143"/>
        <v>3.7781606027195882</v>
      </c>
      <c r="K1424">
        <f t="shared" si="144"/>
        <v>9253.9447792029805</v>
      </c>
    </row>
    <row r="1425" spans="1:11" x14ac:dyDescent="0.35">
      <c r="A1425" s="1">
        <v>40026</v>
      </c>
      <c r="B1425" t="s">
        <v>15</v>
      </c>
      <c r="C1425" t="s">
        <v>41</v>
      </c>
      <c r="D1425">
        <v>295821</v>
      </c>
      <c r="E1425">
        <v>2302074</v>
      </c>
      <c r="F1425">
        <f t="shared" si="141"/>
        <v>7.7819830235175997</v>
      </c>
      <c r="G1425">
        <f t="shared" si="142"/>
        <v>211.74775806991389</v>
      </c>
      <c r="H1425">
        <v>101.07142857142857</v>
      </c>
      <c r="I1425" t="s">
        <v>58</v>
      </c>
      <c r="J1425">
        <f t="shared" si="143"/>
        <v>3.7144957211109357</v>
      </c>
      <c r="K1425">
        <f t="shared" si="144"/>
        <v>9253.9447792029805</v>
      </c>
    </row>
    <row r="1426" spans="1:11" x14ac:dyDescent="0.35">
      <c r="A1426" s="1">
        <v>40057</v>
      </c>
      <c r="B1426" t="s">
        <v>15</v>
      </c>
      <c r="C1426" t="s">
        <v>41</v>
      </c>
      <c r="D1426">
        <v>297169</v>
      </c>
      <c r="E1426">
        <v>1976277</v>
      </c>
      <c r="F1426">
        <f t="shared" si="141"/>
        <v>6.6503471088841701</v>
      </c>
      <c r="G1426">
        <f t="shared" si="142"/>
        <v>180.95594483273828</v>
      </c>
      <c r="H1426">
        <v>93.728750000000005</v>
      </c>
      <c r="I1426" t="s">
        <v>58</v>
      </c>
      <c r="J1426">
        <f t="shared" si="143"/>
        <v>3.444643513414186</v>
      </c>
      <c r="K1426">
        <f t="shared" si="144"/>
        <v>9253.9447792029805</v>
      </c>
    </row>
    <row r="1427" spans="1:11" x14ac:dyDescent="0.35">
      <c r="A1427" s="1">
        <v>40087</v>
      </c>
      <c r="B1427" t="s">
        <v>15</v>
      </c>
      <c r="C1427" t="s">
        <v>41</v>
      </c>
      <c r="D1427">
        <v>294781</v>
      </c>
      <c r="E1427">
        <v>1868240</v>
      </c>
      <c r="F1427">
        <f t="shared" si="141"/>
        <v>6.3377219020221789</v>
      </c>
      <c r="G1427">
        <f t="shared" si="142"/>
        <v>172.4494129540235</v>
      </c>
      <c r="H1427">
        <v>111.53285714285714</v>
      </c>
      <c r="I1427" t="s">
        <v>58</v>
      </c>
      <c r="J1427">
        <f t="shared" si="143"/>
        <v>4.0989657163857824</v>
      </c>
      <c r="K1427">
        <f t="shared" si="144"/>
        <v>9253.9447792029805</v>
      </c>
    </row>
    <row r="1428" spans="1:11" x14ac:dyDescent="0.35">
      <c r="A1428" s="1">
        <v>40118</v>
      </c>
      <c r="B1428" t="s">
        <v>15</v>
      </c>
      <c r="C1428" t="s">
        <v>41</v>
      </c>
      <c r="D1428">
        <v>293720</v>
      </c>
      <c r="E1428">
        <v>2382976</v>
      </c>
      <c r="F1428">
        <f t="shared" si="141"/>
        <v>8.1130872940215166</v>
      </c>
      <c r="G1428">
        <f t="shared" si="142"/>
        <v>220.75710527032547</v>
      </c>
      <c r="H1428">
        <v>102.28571428571429</v>
      </c>
      <c r="I1428" t="s">
        <v>58</v>
      </c>
      <c r="J1428">
        <f t="shared" si="143"/>
        <v>3.7591221714705729</v>
      </c>
      <c r="K1428">
        <f t="shared" si="144"/>
        <v>9253.9447792029805</v>
      </c>
    </row>
    <row r="1429" spans="1:11" x14ac:dyDescent="0.35">
      <c r="A1429" s="1">
        <v>40148</v>
      </c>
      <c r="B1429" t="s">
        <v>15</v>
      </c>
      <c r="C1429" t="s">
        <v>41</v>
      </c>
      <c r="D1429">
        <v>296758</v>
      </c>
      <c r="E1429">
        <v>2196169</v>
      </c>
      <c r="F1429">
        <f t="shared" si="141"/>
        <v>7.4005384859043399</v>
      </c>
      <c r="G1429">
        <f t="shared" si="142"/>
        <v>201.36865220145711</v>
      </c>
      <c r="H1429">
        <v>102.25714285714285</v>
      </c>
      <c r="I1429" t="s">
        <v>58</v>
      </c>
      <c r="J1429">
        <f t="shared" si="143"/>
        <v>3.7580721373444632</v>
      </c>
      <c r="K1429">
        <f t="shared" si="144"/>
        <v>9253.9447792029805</v>
      </c>
    </row>
    <row r="1430" spans="1:11" x14ac:dyDescent="0.35">
      <c r="A1430" s="1">
        <v>39814</v>
      </c>
      <c r="B1430" t="s">
        <v>18</v>
      </c>
      <c r="C1430" t="s">
        <v>40</v>
      </c>
      <c r="D1430">
        <v>643190</v>
      </c>
      <c r="E1430">
        <v>219577</v>
      </c>
      <c r="F1430">
        <f t="shared" si="141"/>
        <v>0.34138745938214216</v>
      </c>
      <c r="G1430">
        <f>F1430*408.15</f>
        <v>139.33729154682132</v>
      </c>
      <c r="H1430">
        <v>4369.0957142857142</v>
      </c>
      <c r="I1430" t="s">
        <v>40</v>
      </c>
      <c r="J1430">
        <f>(H1430/1000)/0.40815</f>
        <v>10.704632400553017</v>
      </c>
      <c r="K1430">
        <f>2975.62066842803+5985.05148916957</f>
        <v>8960.6721575976007</v>
      </c>
    </row>
    <row r="1431" spans="1:11" x14ac:dyDescent="0.35">
      <c r="A1431" s="1">
        <v>39845</v>
      </c>
      <c r="B1431" t="s">
        <v>18</v>
      </c>
      <c r="C1431" t="s">
        <v>40</v>
      </c>
      <c r="D1431">
        <v>663572</v>
      </c>
      <c r="E1431">
        <v>104111</v>
      </c>
      <c r="F1431">
        <f t="shared" si="141"/>
        <v>0.15689480568800371</v>
      </c>
      <c r="G1431">
        <f t="shared" ref="G1431:G1441" si="145">F1431*408.15</f>
        <v>64.03661494155871</v>
      </c>
      <c r="H1431">
        <v>3784.5957142857142</v>
      </c>
      <c r="I1431" t="s">
        <v>40</v>
      </c>
      <c r="J1431">
        <f t="shared" ref="J1431:J1441" si="146">(H1431/1000)/0.40815</f>
        <v>9.2725608582278909</v>
      </c>
      <c r="K1431">
        <f t="shared" ref="K1431:K1441" si="147">2975.62066842803+5985.05148916957</f>
        <v>8960.6721575976007</v>
      </c>
    </row>
    <row r="1432" spans="1:11" x14ac:dyDescent="0.35">
      <c r="A1432" s="1">
        <v>39873</v>
      </c>
      <c r="B1432" t="s">
        <v>18</v>
      </c>
      <c r="C1432" t="s">
        <v>40</v>
      </c>
      <c r="D1432">
        <v>667916</v>
      </c>
      <c r="E1432">
        <v>106154</v>
      </c>
      <c r="F1432">
        <f t="shared" si="141"/>
        <v>0.1589331592595476</v>
      </c>
      <c r="G1432">
        <f t="shared" si="145"/>
        <v>64.868568951784354</v>
      </c>
      <c r="H1432">
        <v>3216.7287500000002</v>
      </c>
      <c r="I1432" t="s">
        <v>40</v>
      </c>
      <c r="J1432">
        <f t="shared" si="146"/>
        <v>7.8812415778512799</v>
      </c>
      <c r="K1432">
        <f t="shared" si="147"/>
        <v>8960.6721575976007</v>
      </c>
    </row>
    <row r="1433" spans="1:11" x14ac:dyDescent="0.35">
      <c r="A1433" s="1">
        <v>39904</v>
      </c>
      <c r="B1433" t="s">
        <v>18</v>
      </c>
      <c r="C1433" t="s">
        <v>40</v>
      </c>
      <c r="D1433">
        <v>673675</v>
      </c>
      <c r="E1433">
        <v>111498</v>
      </c>
      <c r="F1433">
        <f t="shared" si="141"/>
        <v>0.16550710654247225</v>
      </c>
      <c r="G1433">
        <f t="shared" si="145"/>
        <v>67.551725535310041</v>
      </c>
      <c r="H1433">
        <v>3245.34375</v>
      </c>
      <c r="I1433" t="s">
        <v>40</v>
      </c>
      <c r="J1433">
        <f t="shared" si="146"/>
        <v>7.9513506063947075</v>
      </c>
      <c r="K1433">
        <f t="shared" si="147"/>
        <v>8960.6721575976007</v>
      </c>
    </row>
    <row r="1434" spans="1:11" x14ac:dyDescent="0.35">
      <c r="A1434" s="1">
        <v>39934</v>
      </c>
      <c r="B1434" t="s">
        <v>18</v>
      </c>
      <c r="C1434" t="s">
        <v>40</v>
      </c>
      <c r="D1434">
        <v>674830</v>
      </c>
      <c r="E1434">
        <v>132473</v>
      </c>
      <c r="F1434">
        <f t="shared" si="141"/>
        <v>0.1963057362595024</v>
      </c>
      <c r="G1434">
        <f t="shared" si="145"/>
        <v>80.122186254315906</v>
      </c>
      <c r="H1434">
        <v>2617.5837499999998</v>
      </c>
      <c r="I1434" t="s">
        <v>40</v>
      </c>
      <c r="J1434">
        <f t="shared" si="146"/>
        <v>6.4132886193801291</v>
      </c>
      <c r="K1434">
        <f t="shared" si="147"/>
        <v>8960.6721575976007</v>
      </c>
    </row>
    <row r="1435" spans="1:11" x14ac:dyDescent="0.35">
      <c r="A1435" s="1">
        <v>39965</v>
      </c>
      <c r="B1435" t="s">
        <v>18</v>
      </c>
      <c r="C1435" t="s">
        <v>40</v>
      </c>
      <c r="D1435">
        <v>680230</v>
      </c>
      <c r="E1435">
        <v>133308</v>
      </c>
      <c r="F1435">
        <f t="shared" si="141"/>
        <v>0.19597489084574335</v>
      </c>
      <c r="G1435">
        <f t="shared" si="145"/>
        <v>79.987151698690141</v>
      </c>
      <c r="H1435">
        <v>2506.9899999999998</v>
      </c>
      <c r="I1435" t="s">
        <v>40</v>
      </c>
      <c r="J1435">
        <f t="shared" si="146"/>
        <v>6.1423251255665798</v>
      </c>
      <c r="K1435">
        <f t="shared" si="147"/>
        <v>8960.6721575976007</v>
      </c>
    </row>
    <row r="1436" spans="1:11" x14ac:dyDescent="0.35">
      <c r="A1436" s="1">
        <v>39995</v>
      </c>
      <c r="B1436" t="s">
        <v>18</v>
      </c>
      <c r="C1436" t="s">
        <v>40</v>
      </c>
      <c r="D1436">
        <v>662191</v>
      </c>
      <c r="E1436">
        <v>287180</v>
      </c>
      <c r="F1436">
        <f t="shared" si="141"/>
        <v>0.43368152089049838</v>
      </c>
      <c r="G1436">
        <f t="shared" si="145"/>
        <v>177.0071127514569</v>
      </c>
      <c r="H1436">
        <v>2167.9162500000002</v>
      </c>
      <c r="I1436" t="s">
        <v>40</v>
      </c>
      <c r="J1436">
        <f t="shared" si="146"/>
        <v>5.3115674384417497</v>
      </c>
      <c r="K1436">
        <f t="shared" si="147"/>
        <v>8960.6721575976007</v>
      </c>
    </row>
    <row r="1437" spans="1:11" x14ac:dyDescent="0.35">
      <c r="A1437" s="1">
        <v>40026</v>
      </c>
      <c r="B1437" t="s">
        <v>18</v>
      </c>
      <c r="C1437" t="s">
        <v>40</v>
      </c>
      <c r="D1437">
        <v>660544</v>
      </c>
      <c r="E1437">
        <v>196376</v>
      </c>
      <c r="F1437">
        <f t="shared" si="141"/>
        <v>0.29729435132254628</v>
      </c>
      <c r="G1437">
        <f t="shared" si="145"/>
        <v>121.34068949229726</v>
      </c>
      <c r="H1437">
        <v>2036.1428571428571</v>
      </c>
      <c r="I1437" t="s">
        <v>40</v>
      </c>
      <c r="J1437">
        <f t="shared" si="146"/>
        <v>4.9887121331443272</v>
      </c>
      <c r="K1437">
        <f t="shared" si="147"/>
        <v>8960.6721575976007</v>
      </c>
    </row>
    <row r="1438" spans="1:11" x14ac:dyDescent="0.35">
      <c r="A1438" s="1">
        <v>40057</v>
      </c>
      <c r="B1438" t="s">
        <v>18</v>
      </c>
      <c r="C1438" t="s">
        <v>40</v>
      </c>
      <c r="D1438">
        <v>673919</v>
      </c>
      <c r="E1438">
        <v>150840</v>
      </c>
      <c r="F1438">
        <f t="shared" si="141"/>
        <v>0.22382511844895306</v>
      </c>
      <c r="G1438">
        <f t="shared" si="145"/>
        <v>91.354222094940184</v>
      </c>
      <c r="H1438">
        <v>2246.4787500000002</v>
      </c>
      <c r="I1438" t="s">
        <v>40</v>
      </c>
      <c r="J1438">
        <f t="shared" si="146"/>
        <v>5.5040518191841237</v>
      </c>
      <c r="K1438">
        <f t="shared" si="147"/>
        <v>8960.6721575976007</v>
      </c>
    </row>
    <row r="1439" spans="1:11" x14ac:dyDescent="0.35">
      <c r="A1439" s="1">
        <v>40087</v>
      </c>
      <c r="B1439" t="s">
        <v>18</v>
      </c>
      <c r="C1439" t="s">
        <v>40</v>
      </c>
      <c r="D1439">
        <v>676821</v>
      </c>
      <c r="E1439">
        <v>149717</v>
      </c>
      <c r="F1439">
        <f t="shared" si="141"/>
        <v>0.22120619779823616</v>
      </c>
      <c r="G1439">
        <f t="shared" si="145"/>
        <v>90.285309631350088</v>
      </c>
      <c r="H1439">
        <v>2914.4583333333335</v>
      </c>
      <c r="I1439" t="s">
        <v>40</v>
      </c>
      <c r="J1439">
        <f t="shared" si="146"/>
        <v>7.1406549879537753</v>
      </c>
      <c r="K1439">
        <f t="shared" si="147"/>
        <v>8960.6721575976007</v>
      </c>
    </row>
    <row r="1440" spans="1:11" x14ac:dyDescent="0.35">
      <c r="A1440" s="1">
        <v>40118</v>
      </c>
      <c r="B1440" t="s">
        <v>18</v>
      </c>
      <c r="C1440" t="s">
        <v>40</v>
      </c>
      <c r="D1440">
        <v>670676</v>
      </c>
      <c r="E1440">
        <v>110323</v>
      </c>
      <c r="F1440">
        <f t="shared" si="141"/>
        <v>0.16449522571256464</v>
      </c>
      <c r="G1440">
        <f t="shared" si="145"/>
        <v>67.138726374583257</v>
      </c>
      <c r="H1440">
        <v>3038.2857142857142</v>
      </c>
      <c r="I1440" t="s">
        <v>40</v>
      </c>
      <c r="J1440">
        <f t="shared" si="146"/>
        <v>7.4440419313627686</v>
      </c>
      <c r="K1440">
        <f t="shared" si="147"/>
        <v>8960.6721575976007</v>
      </c>
    </row>
    <row r="1441" spans="1:11" x14ac:dyDescent="0.35">
      <c r="A1441" s="1">
        <v>40148</v>
      </c>
      <c r="B1441" t="s">
        <v>18</v>
      </c>
      <c r="C1441" t="s">
        <v>40</v>
      </c>
      <c r="D1441">
        <v>659846</v>
      </c>
      <c r="E1441">
        <v>231280</v>
      </c>
      <c r="F1441">
        <f t="shared" si="141"/>
        <v>0.35050602716391399</v>
      </c>
      <c r="G1441">
        <f t="shared" si="145"/>
        <v>143.05903498695147</v>
      </c>
      <c r="H1441">
        <v>3687.5142857142855</v>
      </c>
      <c r="I1441" t="s">
        <v>40</v>
      </c>
      <c r="J1441">
        <f t="shared" si="146"/>
        <v>9.0347036278679038</v>
      </c>
      <c r="K1441">
        <f t="shared" si="147"/>
        <v>8960.6721575976007</v>
      </c>
    </row>
    <row r="1442" spans="1:11" x14ac:dyDescent="0.35">
      <c r="A1442" s="1">
        <v>40179</v>
      </c>
      <c r="B1442" t="s">
        <v>2</v>
      </c>
      <c r="C1442" t="s">
        <v>38</v>
      </c>
      <c r="D1442">
        <v>26886</v>
      </c>
      <c r="E1442">
        <v>85232</v>
      </c>
      <c r="F1442">
        <f t="shared" si="141"/>
        <v>3.170125715986015</v>
      </c>
      <c r="G1442">
        <f>F1442*45.36</f>
        <v>143.79690247712563</v>
      </c>
      <c r="H1442">
        <v>1983.1989743589745</v>
      </c>
      <c r="I1442" t="s">
        <v>59</v>
      </c>
      <c r="J1442">
        <f>H1442/110</f>
        <v>18.029081585081588</v>
      </c>
      <c r="K1442">
        <v>7449.8087382093318</v>
      </c>
    </row>
    <row r="1443" spans="1:11" x14ac:dyDescent="0.35">
      <c r="A1443" s="1">
        <v>40210</v>
      </c>
      <c r="B1443" t="s">
        <v>2</v>
      </c>
      <c r="C1443" t="s">
        <v>38</v>
      </c>
      <c r="D1443">
        <v>2216</v>
      </c>
      <c r="E1443">
        <v>8597</v>
      </c>
      <c r="F1443">
        <f t="shared" si="141"/>
        <v>3.8795126353790614</v>
      </c>
      <c r="G1443">
        <f t="shared" ref="G1443:G1506" si="148">F1443*45.36</f>
        <v>175.97469314079422</v>
      </c>
      <c r="H1443">
        <v>1985.3358333333333</v>
      </c>
      <c r="I1443" t="s">
        <v>59</v>
      </c>
      <c r="J1443">
        <f t="shared" ref="J1443:J1454" si="149">H1443/110</f>
        <v>18.048507575757576</v>
      </c>
      <c r="K1443">
        <v>7449.8087382093318</v>
      </c>
    </row>
    <row r="1444" spans="1:11" x14ac:dyDescent="0.35">
      <c r="A1444" s="1">
        <v>40238</v>
      </c>
      <c r="B1444" t="s">
        <v>2</v>
      </c>
      <c r="C1444" t="s">
        <v>38</v>
      </c>
      <c r="D1444">
        <v>117633</v>
      </c>
      <c r="E1444">
        <v>601251</v>
      </c>
      <c r="F1444">
        <f t="shared" si="141"/>
        <v>5.1112442936930966</v>
      </c>
      <c r="G1444">
        <f t="shared" si="148"/>
        <v>231.84604116191886</v>
      </c>
      <c r="H1444">
        <v>1942.8388888888887</v>
      </c>
      <c r="I1444" t="s">
        <v>59</v>
      </c>
      <c r="J1444">
        <f t="shared" si="149"/>
        <v>17.662171717171717</v>
      </c>
      <c r="K1444">
        <v>7449.8087382093318</v>
      </c>
    </row>
    <row r="1445" spans="1:11" x14ac:dyDescent="0.35">
      <c r="A1445" s="1">
        <v>40269</v>
      </c>
      <c r="B1445" t="s">
        <v>2</v>
      </c>
      <c r="C1445" t="s">
        <v>38</v>
      </c>
      <c r="D1445">
        <v>481235</v>
      </c>
      <c r="E1445">
        <v>2337773</v>
      </c>
      <c r="F1445">
        <f t="shared" si="141"/>
        <v>4.8578615437364281</v>
      </c>
      <c r="G1445">
        <f t="shared" si="148"/>
        <v>220.35259962388437</v>
      </c>
      <c r="H1445">
        <v>2018.6388888888889</v>
      </c>
      <c r="I1445" t="s">
        <v>59</v>
      </c>
      <c r="J1445">
        <f t="shared" si="149"/>
        <v>18.351262626262628</v>
      </c>
      <c r="K1445">
        <v>7449.8087382093318</v>
      </c>
    </row>
    <row r="1446" spans="1:11" x14ac:dyDescent="0.35">
      <c r="A1446" s="1">
        <v>40299</v>
      </c>
      <c r="B1446" t="s">
        <v>2</v>
      </c>
      <c r="C1446" t="s">
        <v>38</v>
      </c>
      <c r="D1446">
        <v>288786</v>
      </c>
      <c r="E1446">
        <v>1383253</v>
      </c>
      <c r="F1446">
        <f t="shared" si="141"/>
        <v>4.7898893990705922</v>
      </c>
      <c r="G1446">
        <f t="shared" si="148"/>
        <v>217.26938314184207</v>
      </c>
      <c r="H1446">
        <v>1843.4572222222221</v>
      </c>
      <c r="I1446" t="s">
        <v>59</v>
      </c>
      <c r="J1446">
        <f t="shared" si="149"/>
        <v>16.758702020202019</v>
      </c>
      <c r="K1446">
        <v>7449.8087382093318</v>
      </c>
    </row>
    <row r="1447" spans="1:11" x14ac:dyDescent="0.35">
      <c r="A1447" s="1">
        <v>40330</v>
      </c>
      <c r="B1447" t="s">
        <v>2</v>
      </c>
      <c r="C1447" t="s">
        <v>38</v>
      </c>
      <c r="D1447">
        <v>247443</v>
      </c>
      <c r="E1447">
        <v>1245622</v>
      </c>
      <c r="F1447">
        <f t="shared" si="141"/>
        <v>5.0339755014286123</v>
      </c>
      <c r="G1447">
        <f t="shared" si="148"/>
        <v>228.34112874480186</v>
      </c>
      <c r="H1447">
        <v>1906.5571428571432</v>
      </c>
      <c r="I1447" t="s">
        <v>59</v>
      </c>
      <c r="J1447">
        <f t="shared" si="149"/>
        <v>17.332337662337665</v>
      </c>
      <c r="K1447">
        <v>7449.8087382093318</v>
      </c>
    </row>
    <row r="1448" spans="1:11" x14ac:dyDescent="0.35">
      <c r="A1448" s="1">
        <v>40360</v>
      </c>
      <c r="B1448" t="s">
        <v>2</v>
      </c>
      <c r="C1448" t="s">
        <v>38</v>
      </c>
      <c r="D1448">
        <v>196803</v>
      </c>
      <c r="E1448">
        <v>1028010</v>
      </c>
      <c r="F1448">
        <f t="shared" si="141"/>
        <v>5.2235484215179646</v>
      </c>
      <c r="G1448">
        <f t="shared" si="148"/>
        <v>236.94015640005486</v>
      </c>
      <c r="H1448">
        <v>1738.5027777777777</v>
      </c>
      <c r="I1448" t="s">
        <v>59</v>
      </c>
      <c r="J1448">
        <f t="shared" si="149"/>
        <v>15.804570707070706</v>
      </c>
      <c r="K1448">
        <v>7449.8087382093318</v>
      </c>
    </row>
    <row r="1449" spans="1:11" x14ac:dyDescent="0.35">
      <c r="A1449" s="1">
        <v>40391</v>
      </c>
      <c r="B1449" t="s">
        <v>2</v>
      </c>
      <c r="C1449" t="s">
        <v>38</v>
      </c>
      <c r="D1449">
        <v>102792</v>
      </c>
      <c r="E1449">
        <v>421044</v>
      </c>
      <c r="F1449">
        <f t="shared" si="141"/>
        <v>4.0960775157599816</v>
      </c>
      <c r="G1449">
        <f t="shared" si="148"/>
        <v>185.79807611487277</v>
      </c>
      <c r="H1449">
        <v>1825.3533333333332</v>
      </c>
      <c r="I1449" t="s">
        <v>59</v>
      </c>
      <c r="J1449">
        <f t="shared" si="149"/>
        <v>16.594121212121212</v>
      </c>
      <c r="K1449">
        <v>7449.8087382093318</v>
      </c>
    </row>
    <row r="1450" spans="1:11" x14ac:dyDescent="0.35">
      <c r="A1450" s="1">
        <v>40422</v>
      </c>
      <c r="B1450" t="s">
        <v>2</v>
      </c>
      <c r="C1450" t="s">
        <v>38</v>
      </c>
      <c r="D1450">
        <v>226018</v>
      </c>
      <c r="E1450">
        <v>1087356</v>
      </c>
      <c r="F1450">
        <f t="shared" si="141"/>
        <v>4.8109265633710585</v>
      </c>
      <c r="G1450">
        <f t="shared" si="148"/>
        <v>218.22362891451121</v>
      </c>
      <c r="H1450">
        <v>1682.3</v>
      </c>
      <c r="I1450" t="s">
        <v>59</v>
      </c>
      <c r="J1450">
        <f t="shared" si="149"/>
        <v>15.293636363636363</v>
      </c>
      <c r="K1450">
        <v>7449.8087382093318</v>
      </c>
    </row>
    <row r="1451" spans="1:11" x14ac:dyDescent="0.35">
      <c r="A1451" s="1">
        <v>40452</v>
      </c>
      <c r="B1451" t="s">
        <v>2</v>
      </c>
      <c r="C1451" t="s">
        <v>38</v>
      </c>
      <c r="D1451">
        <v>573490</v>
      </c>
      <c r="E1451">
        <v>2358911</v>
      </c>
      <c r="F1451">
        <f t="shared" si="141"/>
        <v>4.1132556801339168</v>
      </c>
      <c r="G1451">
        <f t="shared" si="148"/>
        <v>186.57727765087446</v>
      </c>
      <c r="H1451">
        <v>1865.4305555555557</v>
      </c>
      <c r="I1451" t="s">
        <v>59</v>
      </c>
      <c r="J1451">
        <f t="shared" si="149"/>
        <v>16.958459595959596</v>
      </c>
      <c r="K1451">
        <v>7449.8087382093318</v>
      </c>
    </row>
    <row r="1452" spans="1:11" x14ac:dyDescent="0.35">
      <c r="A1452" s="1">
        <v>40483</v>
      </c>
      <c r="B1452" t="s">
        <v>2</v>
      </c>
      <c r="C1452" t="s">
        <v>38</v>
      </c>
      <c r="D1452">
        <v>429948</v>
      </c>
      <c r="E1452">
        <v>1435121</v>
      </c>
      <c r="F1452">
        <f t="shared" si="141"/>
        <v>3.3378943500144205</v>
      </c>
      <c r="G1452">
        <f t="shared" si="148"/>
        <v>151.4068877166541</v>
      </c>
      <c r="H1452">
        <v>1829.2619047619048</v>
      </c>
      <c r="I1452" t="s">
        <v>59</v>
      </c>
      <c r="J1452">
        <f t="shared" si="149"/>
        <v>16.629653679653678</v>
      </c>
      <c r="K1452">
        <v>7449.8087382093318</v>
      </c>
    </row>
    <row r="1453" spans="1:11" x14ac:dyDescent="0.35">
      <c r="A1453" s="1">
        <v>40513</v>
      </c>
      <c r="B1453" t="s">
        <v>2</v>
      </c>
      <c r="C1453" t="s">
        <v>38</v>
      </c>
      <c r="D1453">
        <v>143785</v>
      </c>
      <c r="E1453">
        <v>515175</v>
      </c>
      <c r="F1453">
        <f t="shared" si="141"/>
        <v>3.5829537156170672</v>
      </c>
      <c r="G1453">
        <f t="shared" si="148"/>
        <v>162.52278054039016</v>
      </c>
      <c r="H1453">
        <v>1979.4906666666666</v>
      </c>
      <c r="I1453" t="s">
        <v>59</v>
      </c>
      <c r="J1453">
        <f t="shared" si="149"/>
        <v>17.995369696969696</v>
      </c>
      <c r="K1453">
        <v>7449.8087382093318</v>
      </c>
    </row>
    <row r="1454" spans="1:11" x14ac:dyDescent="0.35">
      <c r="A1454" s="1">
        <v>40179</v>
      </c>
      <c r="B1454" t="s">
        <v>5</v>
      </c>
      <c r="C1454" t="s">
        <v>38</v>
      </c>
      <c r="D1454">
        <v>27954</v>
      </c>
      <c r="E1454">
        <v>47593</v>
      </c>
      <c r="F1454">
        <f t="shared" si="141"/>
        <v>1.7025470415682908</v>
      </c>
      <c r="G1454">
        <f t="shared" si="148"/>
        <v>77.227533805537675</v>
      </c>
      <c r="H1454">
        <v>599.36111111111109</v>
      </c>
      <c r="I1454" t="s">
        <v>38</v>
      </c>
      <c r="J1454">
        <f>H1454/45.36</f>
        <v>13.213428375465412</v>
      </c>
      <c r="K1454">
        <v>2162.02023182316</v>
      </c>
    </row>
    <row r="1455" spans="1:11" x14ac:dyDescent="0.35">
      <c r="A1455" s="1">
        <v>40210</v>
      </c>
      <c r="B1455" t="s">
        <v>5</v>
      </c>
      <c r="C1455" t="s">
        <v>38</v>
      </c>
      <c r="D1455">
        <v>29327</v>
      </c>
      <c r="E1455">
        <v>71920</v>
      </c>
      <c r="F1455">
        <f t="shared" si="141"/>
        <v>2.4523476659733352</v>
      </c>
      <c r="G1455">
        <f t="shared" si="148"/>
        <v>111.23849012855048</v>
      </c>
      <c r="H1455">
        <v>672.39267857142863</v>
      </c>
      <c r="I1455" t="s">
        <v>38</v>
      </c>
      <c r="J1455">
        <f t="shared" ref="J1455:J1518" si="150">H1455/45.36</f>
        <v>14.823471749811038</v>
      </c>
      <c r="K1455">
        <v>2162.02023182316</v>
      </c>
    </row>
    <row r="1456" spans="1:11" x14ac:dyDescent="0.35">
      <c r="A1456" s="1">
        <v>40238</v>
      </c>
      <c r="B1456" t="s">
        <v>5</v>
      </c>
      <c r="C1456" t="s">
        <v>38</v>
      </c>
      <c r="D1456">
        <v>13712</v>
      </c>
      <c r="E1456">
        <v>31760</v>
      </c>
      <c r="F1456">
        <f t="shared" si="141"/>
        <v>2.3162193698949824</v>
      </c>
      <c r="G1456">
        <f t="shared" si="148"/>
        <v>105.0637106184364</v>
      </c>
      <c r="H1456">
        <v>692.8144166666666</v>
      </c>
      <c r="I1456" t="s">
        <v>38</v>
      </c>
      <c r="J1456">
        <f t="shared" si="150"/>
        <v>15.273686434450322</v>
      </c>
      <c r="K1456">
        <v>2162.02023182316</v>
      </c>
    </row>
    <row r="1457" spans="1:11" x14ac:dyDescent="0.35">
      <c r="A1457" s="1">
        <v>40269</v>
      </c>
      <c r="B1457" t="s">
        <v>5</v>
      </c>
      <c r="C1457" t="s">
        <v>38</v>
      </c>
      <c r="D1457">
        <v>22615</v>
      </c>
      <c r="E1457">
        <v>50884</v>
      </c>
      <c r="F1457">
        <f t="shared" si="141"/>
        <v>2.2500110546097725</v>
      </c>
      <c r="G1457">
        <f t="shared" si="148"/>
        <v>102.06050143709928</v>
      </c>
      <c r="H1457">
        <v>670.16071428571433</v>
      </c>
      <c r="I1457" t="s">
        <v>38</v>
      </c>
      <c r="J1457">
        <f t="shared" si="150"/>
        <v>14.774266187956666</v>
      </c>
      <c r="K1457">
        <v>2162.02023182316</v>
      </c>
    </row>
    <row r="1458" spans="1:11" x14ac:dyDescent="0.35">
      <c r="A1458" s="1">
        <v>40299</v>
      </c>
      <c r="B1458" t="s">
        <v>5</v>
      </c>
      <c r="C1458" t="s">
        <v>38</v>
      </c>
      <c r="D1458">
        <v>23500</v>
      </c>
      <c r="E1458">
        <v>69328</v>
      </c>
      <c r="F1458">
        <f t="shared" si="141"/>
        <v>2.9501276595744681</v>
      </c>
      <c r="G1458">
        <f t="shared" si="148"/>
        <v>133.81779063829788</v>
      </c>
      <c r="H1458">
        <v>610.13095238095241</v>
      </c>
      <c r="I1458" t="s">
        <v>38</v>
      </c>
      <c r="J1458">
        <f t="shared" si="150"/>
        <v>13.450858738557152</v>
      </c>
      <c r="K1458">
        <v>2162.02023182316</v>
      </c>
    </row>
    <row r="1459" spans="1:11" x14ac:dyDescent="0.35">
      <c r="A1459" s="1">
        <v>40330</v>
      </c>
      <c r="B1459" t="s">
        <v>5</v>
      </c>
      <c r="C1459" t="s">
        <v>38</v>
      </c>
      <c r="D1459">
        <v>17034</v>
      </c>
      <c r="E1459">
        <v>80559</v>
      </c>
      <c r="F1459">
        <f t="shared" si="141"/>
        <v>4.7293060936949631</v>
      </c>
      <c r="G1459">
        <f t="shared" si="148"/>
        <v>214.52132441000353</v>
      </c>
      <c r="H1459">
        <v>592.04166666666663</v>
      </c>
      <c r="I1459" t="s">
        <v>38</v>
      </c>
      <c r="J1459">
        <f t="shared" si="150"/>
        <v>13.052064961787183</v>
      </c>
      <c r="K1459">
        <v>2162.02023182316</v>
      </c>
    </row>
    <row r="1460" spans="1:11" x14ac:dyDescent="0.35">
      <c r="A1460" s="1">
        <v>40360</v>
      </c>
      <c r="B1460" t="s">
        <v>5</v>
      </c>
      <c r="C1460" t="s">
        <v>38</v>
      </c>
      <c r="D1460">
        <v>20567</v>
      </c>
      <c r="E1460">
        <v>49349</v>
      </c>
      <c r="F1460">
        <f t="shared" si="141"/>
        <v>2.3994262653765741</v>
      </c>
      <c r="G1460">
        <f t="shared" si="148"/>
        <v>108.8379753974814</v>
      </c>
      <c r="H1460">
        <v>607.48095238095243</v>
      </c>
      <c r="I1460" t="s">
        <v>38</v>
      </c>
      <c r="J1460">
        <f t="shared" si="150"/>
        <v>13.392437221802302</v>
      </c>
      <c r="K1460">
        <v>2162.02023182316</v>
      </c>
    </row>
    <row r="1461" spans="1:11" x14ac:dyDescent="0.35">
      <c r="A1461" s="1">
        <v>40391</v>
      </c>
      <c r="B1461" t="s">
        <v>5</v>
      </c>
      <c r="C1461" t="s">
        <v>38</v>
      </c>
      <c r="D1461">
        <v>33529</v>
      </c>
      <c r="E1461">
        <v>94536</v>
      </c>
      <c r="F1461">
        <f t="shared" si="141"/>
        <v>2.8195293626412954</v>
      </c>
      <c r="G1461">
        <f t="shared" si="148"/>
        <v>127.89385188940916</v>
      </c>
      <c r="H1461">
        <v>675.02777777777771</v>
      </c>
      <c r="I1461" t="s">
        <v>38</v>
      </c>
      <c r="J1461">
        <f t="shared" si="150"/>
        <v>14.881564765824024</v>
      </c>
      <c r="K1461">
        <v>2162.02023182316</v>
      </c>
    </row>
    <row r="1462" spans="1:11" x14ac:dyDescent="0.35">
      <c r="A1462" s="1">
        <v>40422</v>
      </c>
      <c r="B1462" t="s">
        <v>5</v>
      </c>
      <c r="C1462" t="s">
        <v>38</v>
      </c>
      <c r="D1462">
        <v>54003</v>
      </c>
      <c r="E1462">
        <v>105246</v>
      </c>
      <c r="F1462">
        <f t="shared" si="141"/>
        <v>1.9488917282373202</v>
      </c>
      <c r="G1462">
        <f t="shared" si="148"/>
        <v>88.401728792844835</v>
      </c>
      <c r="H1462">
        <v>577.54550000000006</v>
      </c>
      <c r="I1462" t="s">
        <v>38</v>
      </c>
      <c r="J1462">
        <f t="shared" si="150"/>
        <v>12.732484567901237</v>
      </c>
      <c r="K1462">
        <v>2162.02023182316</v>
      </c>
    </row>
    <row r="1463" spans="1:11" x14ac:dyDescent="0.35">
      <c r="A1463" s="1">
        <v>40452</v>
      </c>
      <c r="B1463" t="s">
        <v>5</v>
      </c>
      <c r="C1463" t="s">
        <v>38</v>
      </c>
      <c r="D1463">
        <v>33312</v>
      </c>
      <c r="E1463">
        <v>62532</v>
      </c>
      <c r="F1463">
        <f t="shared" si="141"/>
        <v>1.8771613832853027</v>
      </c>
      <c r="G1463">
        <f t="shared" si="148"/>
        <v>85.148040345821329</v>
      </c>
      <c r="H1463">
        <v>531.68721549999998</v>
      </c>
      <c r="I1463" t="s">
        <v>38</v>
      </c>
      <c r="J1463">
        <f t="shared" si="150"/>
        <v>11.721499459876544</v>
      </c>
      <c r="K1463">
        <v>2162.02023182316</v>
      </c>
    </row>
    <row r="1464" spans="1:11" x14ac:dyDescent="0.35">
      <c r="A1464" s="1">
        <v>40483</v>
      </c>
      <c r="B1464" t="s">
        <v>5</v>
      </c>
      <c r="C1464" t="s">
        <v>38</v>
      </c>
      <c r="D1464">
        <v>30660</v>
      </c>
      <c r="E1464">
        <v>63338</v>
      </c>
      <c r="F1464">
        <f t="shared" si="141"/>
        <v>2.0658186562296152</v>
      </c>
      <c r="G1464">
        <f t="shared" si="148"/>
        <v>93.70553424657534</v>
      </c>
      <c r="H1464">
        <v>567.45000000000005</v>
      </c>
      <c r="I1464" t="s">
        <v>38</v>
      </c>
      <c r="J1464">
        <f t="shared" si="150"/>
        <v>12.509920634920636</v>
      </c>
      <c r="K1464">
        <v>2162.02023182316</v>
      </c>
    </row>
    <row r="1465" spans="1:11" x14ac:dyDescent="0.35">
      <c r="A1465" s="1">
        <v>40513</v>
      </c>
      <c r="B1465" t="s">
        <v>5</v>
      </c>
      <c r="C1465" t="s">
        <v>38</v>
      </c>
      <c r="D1465">
        <v>25426</v>
      </c>
      <c r="E1465">
        <v>46285</v>
      </c>
      <c r="F1465">
        <f t="shared" si="141"/>
        <v>1.8203807126563361</v>
      </c>
      <c r="G1465">
        <f t="shared" si="148"/>
        <v>82.572469126091406</v>
      </c>
      <c r="H1465">
        <v>565.06272222222231</v>
      </c>
      <c r="I1465" t="s">
        <v>38</v>
      </c>
      <c r="J1465">
        <f t="shared" si="150"/>
        <v>12.457291054281797</v>
      </c>
      <c r="K1465">
        <v>2162.02023182316</v>
      </c>
    </row>
    <row r="1466" spans="1:11" x14ac:dyDescent="0.35">
      <c r="A1466" s="1">
        <v>40179</v>
      </c>
      <c r="B1466" t="s">
        <v>7</v>
      </c>
      <c r="C1466" t="s">
        <v>38</v>
      </c>
      <c r="D1466">
        <v>8441</v>
      </c>
      <c r="E1466">
        <v>97919</v>
      </c>
      <c r="F1466">
        <f t="shared" si="141"/>
        <v>11.600402795877265</v>
      </c>
      <c r="G1466">
        <f t="shared" si="148"/>
        <v>526.19427082099276</v>
      </c>
      <c r="H1466">
        <v>419.54166666666663</v>
      </c>
      <c r="I1466" t="s">
        <v>38</v>
      </c>
      <c r="J1466">
        <f t="shared" si="150"/>
        <v>9.2491549088771308</v>
      </c>
      <c r="K1466">
        <v>4521.4268874999998</v>
      </c>
    </row>
    <row r="1467" spans="1:11" x14ac:dyDescent="0.35">
      <c r="A1467" s="1">
        <v>40210</v>
      </c>
      <c r="B1467" t="s">
        <v>7</v>
      </c>
      <c r="C1467" t="s">
        <v>38</v>
      </c>
      <c r="D1467">
        <v>9954</v>
      </c>
      <c r="E1467">
        <v>105464</v>
      </c>
      <c r="F1467">
        <f t="shared" si="141"/>
        <v>10.595137633112317</v>
      </c>
      <c r="G1467">
        <f t="shared" si="148"/>
        <v>480.59544303797469</v>
      </c>
      <c r="H1467">
        <v>508.60714285714283</v>
      </c>
      <c r="I1467" t="s">
        <v>38</v>
      </c>
      <c r="J1467">
        <f t="shared" si="150"/>
        <v>11.212679516250944</v>
      </c>
      <c r="K1467">
        <v>4521.4268874999998</v>
      </c>
    </row>
    <row r="1468" spans="1:11" x14ac:dyDescent="0.35">
      <c r="A1468" s="1">
        <v>40238</v>
      </c>
      <c r="B1468" t="s">
        <v>7</v>
      </c>
      <c r="C1468" t="s">
        <v>38</v>
      </c>
      <c r="D1468">
        <v>9985</v>
      </c>
      <c r="E1468">
        <v>106102</v>
      </c>
      <c r="F1468">
        <f t="shared" si="141"/>
        <v>10.626139208813219</v>
      </c>
      <c r="G1468">
        <f t="shared" si="148"/>
        <v>482.00167451176765</v>
      </c>
      <c r="H1468">
        <v>607.10416666666663</v>
      </c>
      <c r="I1468" t="s">
        <v>38</v>
      </c>
      <c r="J1468">
        <f t="shared" si="150"/>
        <v>13.384130658436213</v>
      </c>
      <c r="K1468">
        <v>4521.4268874999998</v>
      </c>
    </row>
    <row r="1469" spans="1:11" x14ac:dyDescent="0.35">
      <c r="A1469" s="1">
        <v>40269</v>
      </c>
      <c r="B1469" t="s">
        <v>7</v>
      </c>
      <c r="C1469" t="s">
        <v>38</v>
      </c>
      <c r="D1469">
        <v>14508</v>
      </c>
      <c r="E1469">
        <v>169744</v>
      </c>
      <c r="F1469">
        <f t="shared" si="141"/>
        <v>11.700027570995314</v>
      </c>
      <c r="G1469">
        <f t="shared" si="148"/>
        <v>530.71325062034737</v>
      </c>
      <c r="H1469">
        <v>409.73660714285722</v>
      </c>
      <c r="I1469" t="s">
        <v>38</v>
      </c>
      <c r="J1469">
        <f t="shared" si="150"/>
        <v>9.0329939846308918</v>
      </c>
      <c r="K1469">
        <v>4521.4268874999998</v>
      </c>
    </row>
    <row r="1470" spans="1:11" x14ac:dyDescent="0.35">
      <c r="A1470" s="1">
        <v>40299</v>
      </c>
      <c r="B1470" t="s">
        <v>7</v>
      </c>
      <c r="C1470" t="s">
        <v>38</v>
      </c>
      <c r="D1470">
        <v>7756</v>
      </c>
      <c r="E1470">
        <v>92556</v>
      </c>
      <c r="F1470">
        <f t="shared" si="141"/>
        <v>11.933470861268695</v>
      </c>
      <c r="G1470">
        <f t="shared" si="148"/>
        <v>541.30223826714803</v>
      </c>
      <c r="H1470">
        <v>410.54464285714283</v>
      </c>
      <c r="I1470" t="s">
        <v>38</v>
      </c>
      <c r="J1470">
        <f t="shared" si="150"/>
        <v>9.0508078231292508</v>
      </c>
      <c r="K1470">
        <v>4521.4268874999998</v>
      </c>
    </row>
    <row r="1471" spans="1:11" x14ac:dyDescent="0.35">
      <c r="A1471" s="1">
        <v>40330</v>
      </c>
      <c r="B1471" t="s">
        <v>7</v>
      </c>
      <c r="C1471" t="s">
        <v>38</v>
      </c>
      <c r="D1471">
        <v>13159</v>
      </c>
      <c r="E1471">
        <v>148828</v>
      </c>
      <c r="F1471">
        <f t="shared" si="141"/>
        <v>11.309977961851205</v>
      </c>
      <c r="G1471">
        <f t="shared" si="148"/>
        <v>513.0206003495706</v>
      </c>
      <c r="H1471">
        <v>369.5</v>
      </c>
      <c r="I1471" t="s">
        <v>38</v>
      </c>
      <c r="J1471">
        <f t="shared" si="150"/>
        <v>8.1459435626102294</v>
      </c>
      <c r="K1471">
        <v>4521.4268874999998</v>
      </c>
    </row>
    <row r="1472" spans="1:11" x14ac:dyDescent="0.35">
      <c r="A1472" s="1">
        <v>40360</v>
      </c>
      <c r="B1472" t="s">
        <v>7</v>
      </c>
      <c r="C1472" t="s">
        <v>38</v>
      </c>
      <c r="D1472">
        <v>4896</v>
      </c>
      <c r="E1472">
        <v>50889</v>
      </c>
      <c r="F1472">
        <f t="shared" si="141"/>
        <v>10.393995098039216</v>
      </c>
      <c r="G1472">
        <f t="shared" si="148"/>
        <v>471.47161764705885</v>
      </c>
      <c r="H1472">
        <v>352.60624999999999</v>
      </c>
      <c r="I1472" t="s">
        <v>38</v>
      </c>
      <c r="J1472">
        <f t="shared" si="150"/>
        <v>7.7735063932980601</v>
      </c>
      <c r="K1472">
        <v>4521.4268874999998</v>
      </c>
    </row>
    <row r="1473" spans="1:11" x14ac:dyDescent="0.35">
      <c r="A1473" s="1">
        <v>40391</v>
      </c>
      <c r="B1473" t="s">
        <v>7</v>
      </c>
      <c r="C1473" t="s">
        <v>38</v>
      </c>
      <c r="D1473">
        <v>6231</v>
      </c>
      <c r="E1473">
        <v>74031</v>
      </c>
      <c r="F1473">
        <f t="shared" si="141"/>
        <v>11.881078478574867</v>
      </c>
      <c r="G1473">
        <f t="shared" si="148"/>
        <v>538.92571978815602</v>
      </c>
      <c r="H1473">
        <v>402.52500000000003</v>
      </c>
      <c r="I1473" t="s">
        <v>38</v>
      </c>
      <c r="J1473">
        <f t="shared" si="150"/>
        <v>8.8740079365079367</v>
      </c>
      <c r="K1473">
        <v>4521.4268874999998</v>
      </c>
    </row>
    <row r="1474" spans="1:11" x14ac:dyDescent="0.35">
      <c r="A1474" s="1">
        <v>40422</v>
      </c>
      <c r="B1474" t="s">
        <v>7</v>
      </c>
      <c r="C1474" t="s">
        <v>38</v>
      </c>
      <c r="D1474">
        <v>5904</v>
      </c>
      <c r="E1474">
        <v>72002</v>
      </c>
      <c r="F1474">
        <f t="shared" si="141"/>
        <v>12.195460704607045</v>
      </c>
      <c r="G1474">
        <f t="shared" si="148"/>
        <v>553.18609756097555</v>
      </c>
      <c r="H1474">
        <v>375.3496428571429</v>
      </c>
      <c r="I1474" t="s">
        <v>38</v>
      </c>
      <c r="J1474">
        <f t="shared" si="150"/>
        <v>8.2749039430587068</v>
      </c>
      <c r="K1474">
        <v>4521.4268874999998</v>
      </c>
    </row>
    <row r="1475" spans="1:11" x14ac:dyDescent="0.35">
      <c r="A1475" s="1">
        <v>40452</v>
      </c>
      <c r="B1475" t="s">
        <v>7</v>
      </c>
      <c r="C1475" t="s">
        <v>38</v>
      </c>
      <c r="D1475">
        <v>8040</v>
      </c>
      <c r="E1475">
        <v>91911</v>
      </c>
      <c r="F1475">
        <f t="shared" si="141"/>
        <v>11.431716417910447</v>
      </c>
      <c r="G1475">
        <f t="shared" si="148"/>
        <v>518.54265671641792</v>
      </c>
      <c r="H1475">
        <v>243.90625</v>
      </c>
      <c r="I1475" t="s">
        <v>38</v>
      </c>
      <c r="J1475">
        <f t="shared" si="150"/>
        <v>5.3771219135802468</v>
      </c>
      <c r="K1475">
        <v>4521.4268874999998</v>
      </c>
    </row>
    <row r="1476" spans="1:11" x14ac:dyDescent="0.35">
      <c r="A1476" s="1">
        <v>40483</v>
      </c>
      <c r="B1476" t="s">
        <v>7</v>
      </c>
      <c r="C1476" t="s">
        <v>38</v>
      </c>
      <c r="D1476">
        <v>8067</v>
      </c>
      <c r="E1476">
        <v>95484</v>
      </c>
      <c r="F1476">
        <f t="shared" si="141"/>
        <v>11.836370397917442</v>
      </c>
      <c r="G1476">
        <f t="shared" si="148"/>
        <v>536.89776124953517</v>
      </c>
      <c r="H1476">
        <v>353.92361111111114</v>
      </c>
      <c r="I1476" t="s">
        <v>38</v>
      </c>
      <c r="J1476">
        <f t="shared" si="150"/>
        <v>7.8025487458357841</v>
      </c>
      <c r="K1476">
        <v>4521.4268874999998</v>
      </c>
    </row>
    <row r="1477" spans="1:11" x14ac:dyDescent="0.35">
      <c r="A1477" s="1">
        <v>40513</v>
      </c>
      <c r="B1477" t="s">
        <v>7</v>
      </c>
      <c r="C1477" t="s">
        <v>38</v>
      </c>
      <c r="D1477">
        <v>7332</v>
      </c>
      <c r="E1477">
        <v>71117</v>
      </c>
      <c r="F1477">
        <f t="shared" si="141"/>
        <v>9.6995362793235138</v>
      </c>
      <c r="G1477">
        <f t="shared" si="148"/>
        <v>439.97096563011456</v>
      </c>
      <c r="H1477">
        <v>387.81666666666666</v>
      </c>
      <c r="I1477" t="s">
        <v>38</v>
      </c>
      <c r="J1477">
        <f t="shared" si="150"/>
        <v>8.5497501469723698</v>
      </c>
      <c r="K1477">
        <v>4521.4268874999998</v>
      </c>
    </row>
    <row r="1478" spans="1:11" x14ac:dyDescent="0.35">
      <c r="A1478" s="1">
        <v>40179</v>
      </c>
      <c r="B1478" t="s">
        <v>8</v>
      </c>
      <c r="C1478" t="s">
        <v>38</v>
      </c>
      <c r="D1478">
        <v>7779</v>
      </c>
      <c r="E1478">
        <v>74760</v>
      </c>
      <c r="F1478">
        <f t="shared" si="141"/>
        <v>9.6104897801774012</v>
      </c>
      <c r="G1478">
        <f t="shared" si="148"/>
        <v>435.9318164288469</v>
      </c>
      <c r="H1478">
        <v>967.6</v>
      </c>
      <c r="I1478" t="s">
        <v>38</v>
      </c>
      <c r="J1478">
        <f t="shared" si="150"/>
        <v>21.331569664903</v>
      </c>
      <c r="K1478">
        <v>7599.7694060736012</v>
      </c>
    </row>
    <row r="1479" spans="1:11" x14ac:dyDescent="0.35">
      <c r="A1479" s="1">
        <v>40210</v>
      </c>
      <c r="B1479" t="s">
        <v>8</v>
      </c>
      <c r="C1479" t="s">
        <v>38</v>
      </c>
      <c r="D1479">
        <v>8825</v>
      </c>
      <c r="E1479">
        <v>83837</v>
      </c>
      <c r="F1479">
        <f t="shared" ref="F1479:F1542" si="151">E1479/D1479</f>
        <v>9.4999433427762039</v>
      </c>
      <c r="G1479">
        <f t="shared" si="148"/>
        <v>430.91743002832862</v>
      </c>
      <c r="H1479">
        <v>1045</v>
      </c>
      <c r="I1479" t="s">
        <v>38</v>
      </c>
      <c r="J1479">
        <f t="shared" si="150"/>
        <v>23.037918871252206</v>
      </c>
      <c r="K1479">
        <v>7599.7694060736012</v>
      </c>
    </row>
    <row r="1480" spans="1:11" x14ac:dyDescent="0.35">
      <c r="A1480" s="1">
        <v>40238</v>
      </c>
      <c r="B1480" t="s">
        <v>8</v>
      </c>
      <c r="C1480" t="s">
        <v>38</v>
      </c>
      <c r="D1480">
        <v>7250</v>
      </c>
      <c r="E1480">
        <v>69830</v>
      </c>
      <c r="F1480">
        <f t="shared" si="151"/>
        <v>9.6317241379310339</v>
      </c>
      <c r="G1480">
        <f t="shared" si="148"/>
        <v>436.89500689655171</v>
      </c>
      <c r="H1480">
        <v>1105.6500000000001</v>
      </c>
      <c r="I1480" t="s">
        <v>38</v>
      </c>
      <c r="J1480">
        <f t="shared" si="150"/>
        <v>24.375000000000004</v>
      </c>
      <c r="K1480">
        <v>7599.7694060736012</v>
      </c>
    </row>
    <row r="1481" spans="1:11" x14ac:dyDescent="0.35">
      <c r="A1481" s="1">
        <v>40269</v>
      </c>
      <c r="B1481" t="s">
        <v>8</v>
      </c>
      <c r="C1481" t="s">
        <v>38</v>
      </c>
      <c r="D1481">
        <v>4452</v>
      </c>
      <c r="E1481">
        <v>44876</v>
      </c>
      <c r="F1481">
        <f t="shared" si="151"/>
        <v>10.079964061096137</v>
      </c>
      <c r="G1481">
        <f t="shared" si="148"/>
        <v>457.22716981132072</v>
      </c>
      <c r="H1481">
        <v>1084.78125</v>
      </c>
      <c r="I1481" t="s">
        <v>38</v>
      </c>
      <c r="J1481">
        <f t="shared" si="150"/>
        <v>23.914930555555557</v>
      </c>
      <c r="K1481">
        <v>7599.7694060736012</v>
      </c>
    </row>
    <row r="1482" spans="1:11" x14ac:dyDescent="0.35">
      <c r="A1482" s="1">
        <v>40299</v>
      </c>
      <c r="B1482" t="s">
        <v>8</v>
      </c>
      <c r="C1482" t="s">
        <v>38</v>
      </c>
      <c r="D1482">
        <v>6112</v>
      </c>
      <c r="E1482">
        <v>66620</v>
      </c>
      <c r="F1482">
        <f t="shared" si="151"/>
        <v>10.899869109947645</v>
      </c>
      <c r="G1482">
        <f t="shared" si="148"/>
        <v>494.41806282722513</v>
      </c>
      <c r="H1482">
        <v>1050.9045833333334</v>
      </c>
      <c r="I1482" t="s">
        <v>38</v>
      </c>
      <c r="J1482">
        <f t="shared" si="150"/>
        <v>23.168090461493243</v>
      </c>
      <c r="K1482">
        <v>7599.7694060736012</v>
      </c>
    </row>
    <row r="1483" spans="1:11" x14ac:dyDescent="0.35">
      <c r="A1483" s="1">
        <v>40330</v>
      </c>
      <c r="B1483" t="s">
        <v>8</v>
      </c>
      <c r="C1483" t="s">
        <v>38</v>
      </c>
      <c r="D1483">
        <v>4217</v>
      </c>
      <c r="E1483">
        <v>46387</v>
      </c>
      <c r="F1483">
        <f t="shared" si="151"/>
        <v>11</v>
      </c>
      <c r="G1483">
        <f t="shared" si="148"/>
        <v>498.96</v>
      </c>
      <c r="H1483">
        <v>1254.375</v>
      </c>
      <c r="I1483" t="s">
        <v>38</v>
      </c>
      <c r="J1483">
        <f t="shared" si="150"/>
        <v>27.653769841269842</v>
      </c>
      <c r="K1483">
        <v>7599.7694060736012</v>
      </c>
    </row>
    <row r="1484" spans="1:11" x14ac:dyDescent="0.35">
      <c r="A1484" s="1">
        <v>40360</v>
      </c>
      <c r="B1484" t="s">
        <v>8</v>
      </c>
      <c r="C1484" t="s">
        <v>38</v>
      </c>
      <c r="D1484">
        <v>2884</v>
      </c>
      <c r="E1484">
        <v>25186</v>
      </c>
      <c r="F1484">
        <f t="shared" si="151"/>
        <v>8.733009708737864</v>
      </c>
      <c r="G1484">
        <f t="shared" si="148"/>
        <v>396.12932038834953</v>
      </c>
      <c r="H1484">
        <v>1395.1333333333334</v>
      </c>
      <c r="I1484" t="s">
        <v>38</v>
      </c>
      <c r="J1484">
        <f t="shared" si="150"/>
        <v>30.756907701352148</v>
      </c>
      <c r="K1484">
        <v>7599.7694060736012</v>
      </c>
    </row>
    <row r="1485" spans="1:11" x14ac:dyDescent="0.35">
      <c r="A1485" s="1">
        <v>40391</v>
      </c>
      <c r="B1485" t="s">
        <v>8</v>
      </c>
      <c r="C1485" t="s">
        <v>38</v>
      </c>
      <c r="D1485">
        <v>2537</v>
      </c>
      <c r="E1485">
        <v>22710</v>
      </c>
      <c r="F1485">
        <f t="shared" si="151"/>
        <v>8.9515175404020493</v>
      </c>
      <c r="G1485">
        <f t="shared" si="148"/>
        <v>406.04083563263697</v>
      </c>
      <c r="H1485">
        <v>1166.9791666666665</v>
      </c>
      <c r="I1485" t="s">
        <v>38</v>
      </c>
      <c r="J1485">
        <f t="shared" si="150"/>
        <v>25.727053938859491</v>
      </c>
      <c r="K1485">
        <v>7599.7694060736012</v>
      </c>
    </row>
    <row r="1486" spans="1:11" x14ac:dyDescent="0.35">
      <c r="A1486" s="1">
        <v>40422</v>
      </c>
      <c r="B1486" t="s">
        <v>8</v>
      </c>
      <c r="C1486" t="s">
        <v>38</v>
      </c>
      <c r="D1486">
        <v>2507</v>
      </c>
      <c r="E1486">
        <v>25583</v>
      </c>
      <c r="F1486">
        <f t="shared" si="151"/>
        <v>10.204627044276027</v>
      </c>
      <c r="G1486">
        <f t="shared" si="148"/>
        <v>462.88188272836055</v>
      </c>
      <c r="H1486">
        <v>1361.5</v>
      </c>
      <c r="I1486" t="s">
        <v>38</v>
      </c>
      <c r="J1486">
        <f t="shared" si="150"/>
        <v>30.015432098765434</v>
      </c>
      <c r="K1486">
        <v>7599.7694060736012</v>
      </c>
    </row>
    <row r="1487" spans="1:11" x14ac:dyDescent="0.35">
      <c r="A1487" s="1">
        <v>40452</v>
      </c>
      <c r="B1487" t="s">
        <v>8</v>
      </c>
      <c r="C1487" t="s">
        <v>38</v>
      </c>
      <c r="D1487">
        <v>5103</v>
      </c>
      <c r="E1487">
        <v>48836</v>
      </c>
      <c r="F1487">
        <f t="shared" si="151"/>
        <v>9.5700568293160888</v>
      </c>
      <c r="G1487">
        <f t="shared" si="148"/>
        <v>434.09777777777776</v>
      </c>
      <c r="H1487">
        <v>1198.4375</v>
      </c>
      <c r="I1487" t="s">
        <v>38</v>
      </c>
      <c r="J1487">
        <f t="shared" si="150"/>
        <v>26.420579805996471</v>
      </c>
      <c r="K1487">
        <v>7599.7694060736012</v>
      </c>
    </row>
    <row r="1488" spans="1:11" x14ac:dyDescent="0.35">
      <c r="A1488" s="1">
        <v>40483</v>
      </c>
      <c r="B1488" t="s">
        <v>8</v>
      </c>
      <c r="C1488" t="s">
        <v>38</v>
      </c>
      <c r="D1488">
        <v>5932</v>
      </c>
      <c r="E1488">
        <v>44087</v>
      </c>
      <c r="F1488">
        <f t="shared" si="151"/>
        <v>7.4320633850303439</v>
      </c>
      <c r="G1488">
        <f t="shared" si="148"/>
        <v>337.11839514497638</v>
      </c>
      <c r="H1488">
        <v>1152.0999999999999</v>
      </c>
      <c r="I1488" t="s">
        <v>38</v>
      </c>
      <c r="J1488">
        <f t="shared" si="150"/>
        <v>25.399029982363313</v>
      </c>
      <c r="K1488">
        <v>7599.7694060736012</v>
      </c>
    </row>
    <row r="1489" spans="1:11" x14ac:dyDescent="0.35">
      <c r="A1489" s="1">
        <v>40513</v>
      </c>
      <c r="B1489" t="s">
        <v>8</v>
      </c>
      <c r="C1489" t="s">
        <v>38</v>
      </c>
      <c r="D1489">
        <v>4227</v>
      </c>
      <c r="E1489">
        <v>41611</v>
      </c>
      <c r="F1489">
        <f t="shared" si="151"/>
        <v>9.8440974686538922</v>
      </c>
      <c r="G1489">
        <f t="shared" si="148"/>
        <v>446.52826117814055</v>
      </c>
      <c r="H1489">
        <v>1022.178125</v>
      </c>
      <c r="I1489" t="s">
        <v>38</v>
      </c>
      <c r="J1489">
        <f t="shared" si="150"/>
        <v>22.534791115520282</v>
      </c>
      <c r="K1489">
        <v>7599.7694060736012</v>
      </c>
    </row>
    <row r="1490" spans="1:11" x14ac:dyDescent="0.35">
      <c r="A1490" s="1">
        <v>40179</v>
      </c>
      <c r="B1490" t="s">
        <v>9</v>
      </c>
      <c r="C1490" t="s">
        <v>38</v>
      </c>
      <c r="D1490">
        <v>3558</v>
      </c>
      <c r="E1490">
        <v>135170</v>
      </c>
      <c r="F1490">
        <f t="shared" si="151"/>
        <v>37.990444069702079</v>
      </c>
      <c r="G1490">
        <f t="shared" si="148"/>
        <v>1723.2465430016862</v>
      </c>
      <c r="H1490">
        <v>793.75</v>
      </c>
      <c r="I1490" t="s">
        <v>38</v>
      </c>
      <c r="J1490">
        <f t="shared" si="150"/>
        <v>17.498897707231041</v>
      </c>
      <c r="K1490">
        <v>20327.21</v>
      </c>
    </row>
    <row r="1491" spans="1:11" x14ac:dyDescent="0.35">
      <c r="A1491" s="1">
        <v>40210</v>
      </c>
      <c r="B1491" t="s">
        <v>9</v>
      </c>
      <c r="C1491" t="s">
        <v>38</v>
      </c>
      <c r="D1491">
        <v>3838</v>
      </c>
      <c r="E1491">
        <v>137746</v>
      </c>
      <c r="F1491">
        <f t="shared" si="151"/>
        <v>35.890046899426785</v>
      </c>
      <c r="G1491">
        <f t="shared" si="148"/>
        <v>1627.9725273579991</v>
      </c>
      <c r="H1491">
        <v>734.89583333333337</v>
      </c>
      <c r="I1491" t="s">
        <v>38</v>
      </c>
      <c r="J1491">
        <f t="shared" si="150"/>
        <v>16.20140726043504</v>
      </c>
      <c r="K1491">
        <v>20327.21</v>
      </c>
    </row>
    <row r="1492" spans="1:11" x14ac:dyDescent="0.35">
      <c r="A1492" s="1">
        <v>40238</v>
      </c>
      <c r="B1492" t="s">
        <v>9</v>
      </c>
      <c r="C1492" t="s">
        <v>38</v>
      </c>
      <c r="D1492">
        <v>2504</v>
      </c>
      <c r="E1492">
        <v>75922</v>
      </c>
      <c r="F1492">
        <f t="shared" si="151"/>
        <v>30.320287539936103</v>
      </c>
      <c r="G1492">
        <f t="shared" si="148"/>
        <v>1375.3282428115017</v>
      </c>
      <c r="H1492">
        <v>715.41666666666663</v>
      </c>
      <c r="I1492" t="s">
        <v>38</v>
      </c>
      <c r="J1492">
        <f t="shared" si="150"/>
        <v>15.771972369194591</v>
      </c>
      <c r="K1492">
        <v>20327.21</v>
      </c>
    </row>
    <row r="1493" spans="1:11" x14ac:dyDescent="0.35">
      <c r="A1493" s="1">
        <v>40269</v>
      </c>
      <c r="B1493" t="s">
        <v>9</v>
      </c>
      <c r="C1493" t="s">
        <v>38</v>
      </c>
      <c r="D1493">
        <v>4668</v>
      </c>
      <c r="E1493">
        <v>119340</v>
      </c>
      <c r="F1493">
        <f t="shared" si="151"/>
        <v>25.565552699228792</v>
      </c>
      <c r="G1493">
        <f t="shared" si="148"/>
        <v>1159.6534704370181</v>
      </c>
      <c r="H1493">
        <v>616.25</v>
      </c>
      <c r="I1493" t="s">
        <v>38</v>
      </c>
      <c r="J1493">
        <f t="shared" si="150"/>
        <v>13.585758377425044</v>
      </c>
      <c r="K1493">
        <v>20327.21</v>
      </c>
    </row>
    <row r="1494" spans="1:11" x14ac:dyDescent="0.35">
      <c r="A1494" s="1">
        <v>40299</v>
      </c>
      <c r="B1494" t="s">
        <v>9</v>
      </c>
      <c r="C1494" t="s">
        <v>38</v>
      </c>
      <c r="D1494">
        <v>2795</v>
      </c>
      <c r="E1494">
        <v>73536</v>
      </c>
      <c r="F1494">
        <f t="shared" si="151"/>
        <v>26.309838998211092</v>
      </c>
      <c r="G1494">
        <f t="shared" si="148"/>
        <v>1193.4142969588552</v>
      </c>
      <c r="H1494">
        <v>737.5</v>
      </c>
      <c r="I1494" t="s">
        <v>38</v>
      </c>
      <c r="J1494">
        <f t="shared" si="150"/>
        <v>16.258818342151677</v>
      </c>
      <c r="K1494">
        <v>20327.21</v>
      </c>
    </row>
    <row r="1495" spans="1:11" x14ac:dyDescent="0.35">
      <c r="A1495" s="1">
        <v>40330</v>
      </c>
      <c r="B1495" t="s">
        <v>9</v>
      </c>
      <c r="C1495" t="s">
        <v>38</v>
      </c>
      <c r="D1495">
        <v>2840</v>
      </c>
      <c r="E1495">
        <v>99264</v>
      </c>
      <c r="F1495">
        <f t="shared" si="151"/>
        <v>34.952112676056338</v>
      </c>
      <c r="G1495">
        <f t="shared" si="148"/>
        <v>1585.4278309859155</v>
      </c>
      <c r="H1495">
        <v>800</v>
      </c>
      <c r="I1495" t="s">
        <v>38</v>
      </c>
      <c r="J1495">
        <f t="shared" si="150"/>
        <v>17.636684303350972</v>
      </c>
      <c r="K1495">
        <v>20327.21</v>
      </c>
    </row>
    <row r="1496" spans="1:11" x14ac:dyDescent="0.35">
      <c r="A1496" s="1">
        <v>40360</v>
      </c>
      <c r="B1496" t="s">
        <v>9</v>
      </c>
      <c r="C1496" t="s">
        <v>38</v>
      </c>
      <c r="D1496">
        <v>2217</v>
      </c>
      <c r="E1496">
        <v>71681</v>
      </c>
      <c r="F1496">
        <f t="shared" si="151"/>
        <v>32.332431213351377</v>
      </c>
      <c r="G1496">
        <f t="shared" si="148"/>
        <v>1466.5990798376185</v>
      </c>
      <c r="H1496">
        <v>862.5</v>
      </c>
      <c r="I1496" t="s">
        <v>38</v>
      </c>
      <c r="J1496">
        <f t="shared" si="150"/>
        <v>19.014550264550266</v>
      </c>
      <c r="K1496">
        <v>20327.21</v>
      </c>
    </row>
    <row r="1497" spans="1:11" x14ac:dyDescent="0.35">
      <c r="A1497" s="1">
        <v>40391</v>
      </c>
      <c r="B1497" t="s">
        <v>9</v>
      </c>
      <c r="C1497" t="s">
        <v>38</v>
      </c>
      <c r="D1497">
        <v>2501</v>
      </c>
      <c r="E1497">
        <v>82741</v>
      </c>
      <c r="F1497">
        <f t="shared" si="151"/>
        <v>33.083166733306676</v>
      </c>
      <c r="G1497">
        <f t="shared" si="148"/>
        <v>1500.6524430227907</v>
      </c>
      <c r="H1497">
        <v>764.44444444444446</v>
      </c>
      <c r="I1497" t="s">
        <v>38</v>
      </c>
      <c r="J1497">
        <f t="shared" si="150"/>
        <v>16.852831667646484</v>
      </c>
      <c r="K1497">
        <v>20327.21</v>
      </c>
    </row>
    <row r="1498" spans="1:11" x14ac:dyDescent="0.35">
      <c r="A1498" s="1">
        <v>40422</v>
      </c>
      <c r="B1498" t="s">
        <v>9</v>
      </c>
      <c r="C1498" t="s">
        <v>38</v>
      </c>
      <c r="D1498">
        <v>1892</v>
      </c>
      <c r="E1498">
        <v>72170</v>
      </c>
      <c r="F1498">
        <f t="shared" si="151"/>
        <v>38.144820295983088</v>
      </c>
      <c r="G1498">
        <f t="shared" si="148"/>
        <v>1730.2490486257927</v>
      </c>
      <c r="H1498">
        <v>718.75</v>
      </c>
      <c r="I1498" t="s">
        <v>38</v>
      </c>
      <c r="J1498">
        <f t="shared" si="150"/>
        <v>15.845458553791888</v>
      </c>
      <c r="K1498">
        <v>20327.21</v>
      </c>
    </row>
    <row r="1499" spans="1:11" x14ac:dyDescent="0.35">
      <c r="A1499" s="1">
        <v>40452</v>
      </c>
      <c r="B1499" t="s">
        <v>9</v>
      </c>
      <c r="C1499" t="s">
        <v>38</v>
      </c>
      <c r="D1499">
        <v>2312</v>
      </c>
      <c r="E1499">
        <v>83116</v>
      </c>
      <c r="F1499">
        <f t="shared" si="151"/>
        <v>35.949826989619375</v>
      </c>
      <c r="G1499">
        <f t="shared" si="148"/>
        <v>1630.6841522491347</v>
      </c>
      <c r="H1499">
        <v>850</v>
      </c>
      <c r="I1499" t="s">
        <v>38</v>
      </c>
      <c r="J1499">
        <f t="shared" si="150"/>
        <v>18.738977072310405</v>
      </c>
      <c r="K1499">
        <v>20327.21</v>
      </c>
    </row>
    <row r="1500" spans="1:11" x14ac:dyDescent="0.35">
      <c r="A1500" s="1">
        <v>40483</v>
      </c>
      <c r="B1500" t="s">
        <v>9</v>
      </c>
      <c r="C1500" t="s">
        <v>38</v>
      </c>
      <c r="D1500">
        <v>3553</v>
      </c>
      <c r="E1500">
        <v>116055</v>
      </c>
      <c r="F1500">
        <f t="shared" si="151"/>
        <v>32.663945961159584</v>
      </c>
      <c r="G1500">
        <f t="shared" si="148"/>
        <v>1481.6365887981988</v>
      </c>
      <c r="H1500">
        <v>606.25</v>
      </c>
      <c r="I1500" t="s">
        <v>38</v>
      </c>
      <c r="J1500">
        <f t="shared" si="150"/>
        <v>13.365299823633157</v>
      </c>
      <c r="K1500">
        <v>20327.21</v>
      </c>
    </row>
    <row r="1501" spans="1:11" x14ac:dyDescent="0.35">
      <c r="A1501" s="1">
        <v>40513</v>
      </c>
      <c r="B1501" t="s">
        <v>9</v>
      </c>
      <c r="C1501" t="s">
        <v>38</v>
      </c>
      <c r="D1501">
        <v>2417</v>
      </c>
      <c r="E1501">
        <v>88055</v>
      </c>
      <c r="F1501">
        <f t="shared" si="151"/>
        <v>36.431526685974347</v>
      </c>
      <c r="G1501">
        <f t="shared" si="148"/>
        <v>1652.5340504757964</v>
      </c>
      <c r="H1501">
        <v>993.75</v>
      </c>
      <c r="I1501" t="s">
        <v>38</v>
      </c>
      <c r="J1501">
        <f t="shared" si="150"/>
        <v>21.908068783068785</v>
      </c>
      <c r="K1501">
        <v>20327.21</v>
      </c>
    </row>
    <row r="1502" spans="1:11" x14ac:dyDescent="0.35">
      <c r="A1502" s="1">
        <v>40179</v>
      </c>
      <c r="B1502" t="s">
        <v>10</v>
      </c>
      <c r="C1502" t="s">
        <v>38</v>
      </c>
      <c r="D1502">
        <v>5926</v>
      </c>
      <c r="E1502">
        <v>50370</v>
      </c>
      <c r="F1502">
        <f t="shared" si="151"/>
        <v>8.4998312521093489</v>
      </c>
      <c r="G1502">
        <f t="shared" si="148"/>
        <v>385.55234559568004</v>
      </c>
      <c r="H1502">
        <v>1168.6546875000001</v>
      </c>
      <c r="I1502" t="s">
        <v>38</v>
      </c>
      <c r="J1502">
        <f t="shared" si="150"/>
        <v>25.763992228835981</v>
      </c>
      <c r="K1502">
        <v>6579.6044973695998</v>
      </c>
    </row>
    <row r="1503" spans="1:11" x14ac:dyDescent="0.35">
      <c r="A1503" s="1">
        <v>40210</v>
      </c>
      <c r="B1503" t="s">
        <v>10</v>
      </c>
      <c r="C1503" t="s">
        <v>38</v>
      </c>
      <c r="D1503">
        <v>7527</v>
      </c>
      <c r="E1503">
        <v>64907</v>
      </c>
      <c r="F1503">
        <f t="shared" si="151"/>
        <v>8.6232230636375711</v>
      </c>
      <c r="G1503">
        <f t="shared" si="148"/>
        <v>391.14939816660024</v>
      </c>
      <c r="H1503">
        <v>1288.2152777777778</v>
      </c>
      <c r="I1503" t="s">
        <v>38</v>
      </c>
      <c r="J1503">
        <f t="shared" si="150"/>
        <v>28.399807711150306</v>
      </c>
      <c r="K1503">
        <v>6579.6044973695998</v>
      </c>
    </row>
    <row r="1504" spans="1:11" x14ac:dyDescent="0.35">
      <c r="A1504" s="1">
        <v>40238</v>
      </c>
      <c r="B1504" t="s">
        <v>10</v>
      </c>
      <c r="C1504" t="s">
        <v>38</v>
      </c>
      <c r="D1504">
        <v>7710</v>
      </c>
      <c r="E1504">
        <v>66999</v>
      </c>
      <c r="F1504">
        <f t="shared" si="151"/>
        <v>8.6898832684824896</v>
      </c>
      <c r="G1504">
        <f t="shared" si="148"/>
        <v>394.17310505836571</v>
      </c>
      <c r="H1504">
        <v>1212.21</v>
      </c>
      <c r="I1504" t="s">
        <v>38</v>
      </c>
      <c r="J1504">
        <f t="shared" si="150"/>
        <v>26.724206349206352</v>
      </c>
      <c r="K1504">
        <v>6579.6044973695998</v>
      </c>
    </row>
    <row r="1505" spans="1:11" x14ac:dyDescent="0.35">
      <c r="A1505" s="1">
        <v>40269</v>
      </c>
      <c r="B1505" t="s">
        <v>10</v>
      </c>
      <c r="C1505" t="s">
        <v>38</v>
      </c>
      <c r="D1505">
        <v>5200</v>
      </c>
      <c r="E1505">
        <v>62000</v>
      </c>
      <c r="F1505">
        <f t="shared" si="151"/>
        <v>11.923076923076923</v>
      </c>
      <c r="G1505">
        <f t="shared" si="148"/>
        <v>540.83076923076919</v>
      </c>
      <c r="H1505">
        <v>1255.4749999999999</v>
      </c>
      <c r="I1505" t="s">
        <v>38</v>
      </c>
      <c r="J1505">
        <f t="shared" si="150"/>
        <v>27.678020282186946</v>
      </c>
      <c r="K1505">
        <v>6579.6044973695998</v>
      </c>
    </row>
    <row r="1506" spans="1:11" x14ac:dyDescent="0.35">
      <c r="A1506" s="1">
        <v>40299</v>
      </c>
      <c r="B1506" t="s">
        <v>10</v>
      </c>
      <c r="C1506" t="s">
        <v>38</v>
      </c>
      <c r="D1506">
        <v>5041</v>
      </c>
      <c r="E1506">
        <v>47950</v>
      </c>
      <c r="F1506">
        <f t="shared" si="151"/>
        <v>9.5120015869867096</v>
      </c>
      <c r="G1506">
        <f t="shared" si="148"/>
        <v>431.46439198571716</v>
      </c>
      <c r="H1506">
        <v>1177.125</v>
      </c>
      <c r="I1506" t="s">
        <v>38</v>
      </c>
      <c r="J1506">
        <f t="shared" si="150"/>
        <v>25.950727513227513</v>
      </c>
      <c r="K1506">
        <v>6579.6044973695998</v>
      </c>
    </row>
    <row r="1507" spans="1:11" x14ac:dyDescent="0.35">
      <c r="A1507" s="1">
        <v>40330</v>
      </c>
      <c r="B1507" t="s">
        <v>10</v>
      </c>
      <c r="C1507" t="s">
        <v>38</v>
      </c>
      <c r="D1507">
        <v>5370</v>
      </c>
      <c r="E1507">
        <v>51015</v>
      </c>
      <c r="F1507">
        <f t="shared" si="151"/>
        <v>9.5</v>
      </c>
      <c r="G1507">
        <f t="shared" ref="G1507:G1549" si="152">F1507*45.36</f>
        <v>430.92</v>
      </c>
      <c r="H1507">
        <v>1312.1428571428571</v>
      </c>
      <c r="I1507" t="s">
        <v>38</v>
      </c>
      <c r="J1507">
        <f t="shared" si="150"/>
        <v>28.927311665406904</v>
      </c>
      <c r="K1507">
        <v>6579.6044973695998</v>
      </c>
    </row>
    <row r="1508" spans="1:11" x14ac:dyDescent="0.35">
      <c r="A1508" s="1">
        <v>40360</v>
      </c>
      <c r="B1508" t="s">
        <v>10</v>
      </c>
      <c r="C1508" t="s">
        <v>38</v>
      </c>
      <c r="D1508">
        <v>4625</v>
      </c>
      <c r="E1508">
        <v>43396</v>
      </c>
      <c r="F1508">
        <f t="shared" si="151"/>
        <v>9.3829189189189197</v>
      </c>
      <c r="G1508">
        <f t="shared" si="152"/>
        <v>425.60920216216221</v>
      </c>
      <c r="H1508">
        <v>1184.0485714285714</v>
      </c>
      <c r="I1508" t="s">
        <v>38</v>
      </c>
      <c r="J1508">
        <f t="shared" si="150"/>
        <v>26.103363567649282</v>
      </c>
      <c r="K1508">
        <v>6579.6044973695998</v>
      </c>
    </row>
    <row r="1509" spans="1:11" x14ac:dyDescent="0.35">
      <c r="A1509" s="1">
        <v>40391</v>
      </c>
      <c r="B1509" t="s">
        <v>10</v>
      </c>
      <c r="C1509" t="s">
        <v>38</v>
      </c>
      <c r="D1509">
        <v>3945</v>
      </c>
      <c r="E1509">
        <v>32808</v>
      </c>
      <c r="F1509">
        <f t="shared" si="151"/>
        <v>8.3163498098859314</v>
      </c>
      <c r="G1509">
        <f t="shared" si="152"/>
        <v>377.22962737642587</v>
      </c>
      <c r="H1509">
        <v>1334.25</v>
      </c>
      <c r="I1509" t="s">
        <v>38</v>
      </c>
      <c r="J1509">
        <f t="shared" si="150"/>
        <v>29.414682539682541</v>
      </c>
      <c r="K1509">
        <v>6579.6044973695998</v>
      </c>
    </row>
    <row r="1510" spans="1:11" x14ac:dyDescent="0.35">
      <c r="A1510" s="1">
        <v>40422</v>
      </c>
      <c r="B1510" t="s">
        <v>10</v>
      </c>
      <c r="C1510" t="s">
        <v>38</v>
      </c>
      <c r="D1510">
        <v>3800</v>
      </c>
      <c r="E1510">
        <v>36286</v>
      </c>
      <c r="F1510">
        <f t="shared" si="151"/>
        <v>9.548947368421052</v>
      </c>
      <c r="G1510">
        <f t="shared" si="152"/>
        <v>433.1402526315789</v>
      </c>
      <c r="H1510">
        <v>1335.1949999999999</v>
      </c>
      <c r="I1510" t="s">
        <v>38</v>
      </c>
      <c r="J1510">
        <f t="shared" si="150"/>
        <v>29.435515873015873</v>
      </c>
      <c r="K1510">
        <v>6579.6044973695998</v>
      </c>
    </row>
    <row r="1511" spans="1:11" x14ac:dyDescent="0.35">
      <c r="A1511" s="1">
        <v>40452</v>
      </c>
      <c r="B1511" t="s">
        <v>10</v>
      </c>
      <c r="C1511" t="s">
        <v>38</v>
      </c>
      <c r="D1511">
        <v>4978</v>
      </c>
      <c r="E1511">
        <v>58541</v>
      </c>
      <c r="F1511">
        <f t="shared" si="151"/>
        <v>11.759943752511049</v>
      </c>
      <c r="G1511">
        <f t="shared" si="152"/>
        <v>533.43104861390123</v>
      </c>
      <c r="H1511">
        <v>1240.1666666666667</v>
      </c>
      <c r="I1511" t="s">
        <v>38</v>
      </c>
      <c r="J1511">
        <f t="shared" si="150"/>
        <v>27.340534979423872</v>
      </c>
      <c r="K1511">
        <v>6579.6044973695998</v>
      </c>
    </row>
    <row r="1512" spans="1:11" x14ac:dyDescent="0.35">
      <c r="A1512" s="1">
        <v>40483</v>
      </c>
      <c r="B1512" t="s">
        <v>10</v>
      </c>
      <c r="C1512" t="s">
        <v>38</v>
      </c>
      <c r="D1512">
        <v>6099</v>
      </c>
      <c r="E1512">
        <v>58144</v>
      </c>
      <c r="F1512">
        <f t="shared" si="151"/>
        <v>9.5333661255943589</v>
      </c>
      <c r="G1512">
        <f t="shared" si="152"/>
        <v>432.43348745696011</v>
      </c>
      <c r="H1512">
        <v>1191.0625</v>
      </c>
      <c r="I1512" t="s">
        <v>38</v>
      </c>
      <c r="J1512">
        <f t="shared" si="150"/>
        <v>26.257991622574956</v>
      </c>
      <c r="K1512">
        <v>6579.6044973695998</v>
      </c>
    </row>
    <row r="1513" spans="1:11" x14ac:dyDescent="0.35">
      <c r="A1513" s="1">
        <v>40513</v>
      </c>
      <c r="B1513" t="s">
        <v>10</v>
      </c>
      <c r="C1513" t="s">
        <v>38</v>
      </c>
      <c r="D1513">
        <v>11267</v>
      </c>
      <c r="E1513">
        <v>80612</v>
      </c>
      <c r="F1513">
        <f t="shared" si="151"/>
        <v>7.1546995651016241</v>
      </c>
      <c r="G1513">
        <f t="shared" si="152"/>
        <v>324.53717227300967</v>
      </c>
      <c r="H1513">
        <v>1334.1</v>
      </c>
      <c r="I1513" t="s">
        <v>38</v>
      </c>
      <c r="J1513">
        <f t="shared" si="150"/>
        <v>29.411375661375661</v>
      </c>
      <c r="K1513">
        <v>6579.6044973695998</v>
      </c>
    </row>
    <row r="1514" spans="1:11" x14ac:dyDescent="0.35">
      <c r="A1514" s="1">
        <v>40179</v>
      </c>
      <c r="B1514" t="s">
        <v>11</v>
      </c>
      <c r="C1514" t="s">
        <v>38</v>
      </c>
      <c r="D1514">
        <v>35854</v>
      </c>
      <c r="E1514">
        <v>369553</v>
      </c>
      <c r="F1514">
        <f t="shared" si="151"/>
        <v>10.307162380766442</v>
      </c>
      <c r="G1514">
        <f t="shared" si="152"/>
        <v>467.53288559156584</v>
      </c>
      <c r="H1514">
        <v>255.19285714285712</v>
      </c>
      <c r="I1514" t="s">
        <v>38</v>
      </c>
      <c r="J1514">
        <f t="shared" si="150"/>
        <v>5.625944822373393</v>
      </c>
      <c r="K1514">
        <v>3734.0064399798493</v>
      </c>
    </row>
    <row r="1515" spans="1:11" x14ac:dyDescent="0.35">
      <c r="A1515" s="1">
        <v>40210</v>
      </c>
      <c r="B1515" t="s">
        <v>11</v>
      </c>
      <c r="C1515" t="s">
        <v>38</v>
      </c>
      <c r="D1515">
        <v>69287</v>
      </c>
      <c r="E1515">
        <v>822124</v>
      </c>
      <c r="F1515">
        <f t="shared" si="151"/>
        <v>11.865487032199402</v>
      </c>
      <c r="G1515">
        <f t="shared" si="152"/>
        <v>538.21849178056482</v>
      </c>
      <c r="H1515">
        <v>289.4892857142857</v>
      </c>
      <c r="I1515" t="s">
        <v>38</v>
      </c>
      <c r="J1515">
        <f t="shared" si="150"/>
        <v>6.3820389266817834</v>
      </c>
      <c r="K1515">
        <v>3734.0064399798493</v>
      </c>
    </row>
    <row r="1516" spans="1:11" x14ac:dyDescent="0.35">
      <c r="A1516" s="1">
        <v>40238</v>
      </c>
      <c r="B1516" t="s">
        <v>11</v>
      </c>
      <c r="C1516" t="s">
        <v>38</v>
      </c>
      <c r="D1516">
        <v>28504</v>
      </c>
      <c r="E1516">
        <v>318205</v>
      </c>
      <c r="F1516">
        <f t="shared" si="151"/>
        <v>11.163520909346056</v>
      </c>
      <c r="G1516">
        <f t="shared" si="152"/>
        <v>506.37730844793708</v>
      </c>
      <c r="H1516">
        <v>269.58545833333335</v>
      </c>
      <c r="I1516" t="s">
        <v>38</v>
      </c>
      <c r="J1516">
        <f t="shared" si="150"/>
        <v>5.9432420267489716</v>
      </c>
      <c r="K1516">
        <v>3734.0064399798493</v>
      </c>
    </row>
    <row r="1517" spans="1:11" x14ac:dyDescent="0.35">
      <c r="A1517" s="1">
        <v>40269</v>
      </c>
      <c r="B1517" t="s">
        <v>11</v>
      </c>
      <c r="C1517" t="s">
        <v>38</v>
      </c>
      <c r="D1517">
        <v>28921</v>
      </c>
      <c r="E1517">
        <v>305406</v>
      </c>
      <c r="F1517">
        <f t="shared" si="151"/>
        <v>10.56000829846824</v>
      </c>
      <c r="G1517">
        <f t="shared" si="152"/>
        <v>479.00197641851935</v>
      </c>
      <c r="H1517">
        <v>288.49583333333334</v>
      </c>
      <c r="I1517" t="s">
        <v>38</v>
      </c>
      <c r="J1517">
        <f t="shared" si="150"/>
        <v>6.3601374191651967</v>
      </c>
      <c r="K1517">
        <v>3734.0064399798493</v>
      </c>
    </row>
    <row r="1518" spans="1:11" x14ac:dyDescent="0.35">
      <c r="A1518" s="1">
        <v>40299</v>
      </c>
      <c r="B1518" t="s">
        <v>11</v>
      </c>
      <c r="C1518" t="s">
        <v>38</v>
      </c>
      <c r="D1518">
        <v>30226</v>
      </c>
      <c r="E1518">
        <v>468564</v>
      </c>
      <c r="F1518">
        <f t="shared" si="151"/>
        <v>15.502018130086681</v>
      </c>
      <c r="G1518">
        <f t="shared" si="152"/>
        <v>703.17154238073181</v>
      </c>
      <c r="H1518">
        <v>274.73517857142861</v>
      </c>
      <c r="I1518" t="s">
        <v>38</v>
      </c>
      <c r="J1518">
        <f t="shared" si="150"/>
        <v>6.0567720143613011</v>
      </c>
      <c r="K1518">
        <v>3734.0064399798493</v>
      </c>
    </row>
    <row r="1519" spans="1:11" x14ac:dyDescent="0.35">
      <c r="A1519" s="1">
        <v>40330</v>
      </c>
      <c r="B1519" t="s">
        <v>11</v>
      </c>
      <c r="C1519" t="s">
        <v>38</v>
      </c>
      <c r="D1519">
        <v>24780</v>
      </c>
      <c r="E1519">
        <v>282287</v>
      </c>
      <c r="F1519">
        <f t="shared" si="151"/>
        <v>11.391727199354317</v>
      </c>
      <c r="G1519">
        <f t="shared" si="152"/>
        <v>516.72874576271181</v>
      </c>
      <c r="H1519">
        <v>254.16562499999998</v>
      </c>
      <c r="I1519" t="s">
        <v>38</v>
      </c>
      <c r="J1519">
        <f t="shared" ref="J1519:J1549" si="153">H1519/45.36</f>
        <v>5.6032986111111107</v>
      </c>
      <c r="K1519">
        <v>3734.0064399798493</v>
      </c>
    </row>
    <row r="1520" spans="1:11" x14ac:dyDescent="0.35">
      <c r="A1520" s="1">
        <v>40360</v>
      </c>
      <c r="B1520" t="s">
        <v>11</v>
      </c>
      <c r="C1520" t="s">
        <v>38</v>
      </c>
      <c r="D1520">
        <v>22096</v>
      </c>
      <c r="E1520">
        <v>249567</v>
      </c>
      <c r="F1520">
        <f t="shared" si="151"/>
        <v>11.294668718320057</v>
      </c>
      <c r="G1520">
        <f t="shared" si="152"/>
        <v>512.32617306299778</v>
      </c>
      <c r="H1520">
        <v>254.73714285714286</v>
      </c>
      <c r="I1520" t="s">
        <v>38</v>
      </c>
      <c r="J1520">
        <f t="shared" si="153"/>
        <v>5.6158982111363063</v>
      </c>
      <c r="K1520">
        <v>3734.0064399798493</v>
      </c>
    </row>
    <row r="1521" spans="1:11" x14ac:dyDescent="0.35">
      <c r="A1521" s="1">
        <v>40391</v>
      </c>
      <c r="B1521" t="s">
        <v>11</v>
      </c>
      <c r="C1521" t="s">
        <v>38</v>
      </c>
      <c r="D1521">
        <v>21884</v>
      </c>
      <c r="E1521">
        <v>264037</v>
      </c>
      <c r="F1521">
        <f t="shared" si="151"/>
        <v>12.065298848473772</v>
      </c>
      <c r="G1521">
        <f t="shared" si="152"/>
        <v>547.28195576677024</v>
      </c>
      <c r="H1521">
        <v>242.61833333333331</v>
      </c>
      <c r="I1521" t="s">
        <v>38</v>
      </c>
      <c r="J1521">
        <f t="shared" si="153"/>
        <v>5.3487286890064665</v>
      </c>
      <c r="K1521">
        <v>3734.0064399798493</v>
      </c>
    </row>
    <row r="1522" spans="1:11" x14ac:dyDescent="0.35">
      <c r="A1522" s="1">
        <v>40422</v>
      </c>
      <c r="B1522" t="s">
        <v>11</v>
      </c>
      <c r="C1522" t="s">
        <v>38</v>
      </c>
      <c r="D1522">
        <v>23732</v>
      </c>
      <c r="E1522">
        <v>293225</v>
      </c>
      <c r="F1522">
        <f t="shared" si="151"/>
        <v>12.355680094387326</v>
      </c>
      <c r="G1522">
        <f t="shared" si="152"/>
        <v>560.45364908140914</v>
      </c>
      <c r="H1522">
        <v>256.05375000000004</v>
      </c>
      <c r="I1522" t="s">
        <v>38</v>
      </c>
      <c r="J1522">
        <f t="shared" si="153"/>
        <v>5.6449239417989423</v>
      </c>
      <c r="K1522">
        <v>3734.0064399798493</v>
      </c>
    </row>
    <row r="1523" spans="1:11" x14ac:dyDescent="0.35">
      <c r="A1523" s="1">
        <v>40452</v>
      </c>
      <c r="B1523" t="s">
        <v>11</v>
      </c>
      <c r="C1523" t="s">
        <v>38</v>
      </c>
      <c r="D1523">
        <v>28140</v>
      </c>
      <c r="E1523">
        <v>329519</v>
      </c>
      <c r="F1523">
        <f t="shared" si="151"/>
        <v>11.709985785358919</v>
      </c>
      <c r="G1523">
        <f t="shared" si="152"/>
        <v>531.1649552238805</v>
      </c>
      <c r="H1523">
        <v>234.3642857142857</v>
      </c>
      <c r="I1523" t="s">
        <v>38</v>
      </c>
      <c r="J1523">
        <f t="shared" si="153"/>
        <v>5.1667611489040057</v>
      </c>
      <c r="K1523">
        <v>3734.0064399798493</v>
      </c>
    </row>
    <row r="1524" spans="1:11" x14ac:dyDescent="0.35">
      <c r="A1524" s="1">
        <v>40483</v>
      </c>
      <c r="B1524" t="s">
        <v>11</v>
      </c>
      <c r="C1524" t="s">
        <v>38</v>
      </c>
      <c r="D1524">
        <v>43224</v>
      </c>
      <c r="E1524">
        <v>414950</v>
      </c>
      <c r="F1524">
        <f t="shared" si="151"/>
        <v>9.599990745881918</v>
      </c>
      <c r="G1524">
        <f t="shared" si="152"/>
        <v>435.45558023320382</v>
      </c>
      <c r="H1524">
        <v>247.17812499999999</v>
      </c>
      <c r="I1524" t="s">
        <v>38</v>
      </c>
      <c r="J1524">
        <f t="shared" si="153"/>
        <v>5.4492531966490301</v>
      </c>
      <c r="K1524">
        <v>3734.0064399798498</v>
      </c>
    </row>
    <row r="1525" spans="1:11" x14ac:dyDescent="0.35">
      <c r="A1525" s="1">
        <v>40513</v>
      </c>
      <c r="B1525" t="s">
        <v>11</v>
      </c>
      <c r="C1525" t="s">
        <v>38</v>
      </c>
      <c r="D1525">
        <v>28458</v>
      </c>
      <c r="E1525">
        <v>400240</v>
      </c>
      <c r="F1525">
        <f t="shared" si="151"/>
        <v>14.064235013001616</v>
      </c>
      <c r="G1525">
        <f t="shared" si="152"/>
        <v>637.95370018975325</v>
      </c>
      <c r="H1525">
        <v>278.02</v>
      </c>
      <c r="I1525" t="s">
        <v>38</v>
      </c>
      <c r="J1525">
        <f t="shared" si="153"/>
        <v>6.1291887125220459</v>
      </c>
      <c r="K1525">
        <v>3734.0064399798498</v>
      </c>
    </row>
    <row r="1526" spans="1:11" x14ac:dyDescent="0.35">
      <c r="A1526" s="1">
        <v>40179</v>
      </c>
      <c r="B1526" t="s">
        <v>12</v>
      </c>
      <c r="C1526" t="s">
        <v>38</v>
      </c>
      <c r="D1526">
        <v>10626</v>
      </c>
      <c r="E1526">
        <v>56405</v>
      </c>
      <c r="F1526">
        <f t="shared" si="151"/>
        <v>5.308206286467156</v>
      </c>
      <c r="G1526">
        <f t="shared" si="152"/>
        <v>240.7802371541502</v>
      </c>
      <c r="H1526">
        <v>685.1011904761906</v>
      </c>
      <c r="I1526" t="s">
        <v>38</v>
      </c>
      <c r="J1526">
        <f t="shared" si="153"/>
        <v>15.103641765348117</v>
      </c>
      <c r="K1526">
        <v>1771.212192884625</v>
      </c>
    </row>
    <row r="1527" spans="1:11" x14ac:dyDescent="0.35">
      <c r="A1527" s="1">
        <v>40210</v>
      </c>
      <c r="B1527" t="s">
        <v>12</v>
      </c>
      <c r="C1527" t="s">
        <v>38</v>
      </c>
      <c r="D1527">
        <v>12005</v>
      </c>
      <c r="E1527">
        <v>81655</v>
      </c>
      <c r="F1527">
        <f t="shared" si="151"/>
        <v>6.8017492711370267</v>
      </c>
      <c r="G1527">
        <f t="shared" si="152"/>
        <v>308.52734693877551</v>
      </c>
      <c r="H1527">
        <v>599.24166666666667</v>
      </c>
      <c r="I1527" t="s">
        <v>38</v>
      </c>
      <c r="J1527">
        <f t="shared" si="153"/>
        <v>13.210795120517343</v>
      </c>
      <c r="K1527">
        <v>1771.212192884625</v>
      </c>
    </row>
    <row r="1528" spans="1:11" x14ac:dyDescent="0.35">
      <c r="A1528" s="1">
        <v>40238</v>
      </c>
      <c r="B1528" t="s">
        <v>12</v>
      </c>
      <c r="C1528" t="s">
        <v>38</v>
      </c>
      <c r="D1528">
        <v>12486</v>
      </c>
      <c r="E1528">
        <v>91147</v>
      </c>
      <c r="F1528">
        <f t="shared" si="151"/>
        <v>7.2999359282396288</v>
      </c>
      <c r="G1528">
        <f t="shared" si="152"/>
        <v>331.12509370494956</v>
      </c>
      <c r="H1528">
        <v>640.51250000000005</v>
      </c>
      <c r="I1528" t="s">
        <v>38</v>
      </c>
      <c r="J1528">
        <f t="shared" si="153"/>
        <v>14.120645943562611</v>
      </c>
      <c r="K1528">
        <v>1771.212192884625</v>
      </c>
    </row>
    <row r="1529" spans="1:11" x14ac:dyDescent="0.35">
      <c r="A1529" s="1">
        <v>40269</v>
      </c>
      <c r="B1529" t="s">
        <v>12</v>
      </c>
      <c r="C1529" t="s">
        <v>38</v>
      </c>
      <c r="D1529">
        <v>16105</v>
      </c>
      <c r="E1529">
        <v>142334</v>
      </c>
      <c r="F1529">
        <f t="shared" si="151"/>
        <v>8.8378764358894752</v>
      </c>
      <c r="G1529">
        <f t="shared" si="152"/>
        <v>400.8860751319466</v>
      </c>
      <c r="H1529">
        <v>605.54861111111109</v>
      </c>
      <c r="I1529" t="s">
        <v>38</v>
      </c>
      <c r="J1529">
        <f t="shared" si="153"/>
        <v>13.349837105624141</v>
      </c>
      <c r="K1529">
        <v>1771.212192884625</v>
      </c>
    </row>
    <row r="1530" spans="1:11" x14ac:dyDescent="0.35">
      <c r="A1530" s="1">
        <v>40299</v>
      </c>
      <c r="B1530" t="s">
        <v>12</v>
      </c>
      <c r="C1530" t="s">
        <v>38</v>
      </c>
      <c r="D1530">
        <v>12180</v>
      </c>
      <c r="E1530">
        <v>75974</v>
      </c>
      <c r="F1530">
        <f t="shared" si="151"/>
        <v>6.2376026272577993</v>
      </c>
      <c r="G1530">
        <f t="shared" si="152"/>
        <v>282.93765517241377</v>
      </c>
      <c r="H1530">
        <v>656.42361111111109</v>
      </c>
      <c r="I1530" t="s">
        <v>38</v>
      </c>
      <c r="J1530">
        <f t="shared" si="153"/>
        <v>14.471419998040368</v>
      </c>
      <c r="K1530">
        <v>1771.212192884625</v>
      </c>
    </row>
    <row r="1531" spans="1:11" x14ac:dyDescent="0.35">
      <c r="A1531" s="1">
        <v>40330</v>
      </c>
      <c r="B1531" t="s">
        <v>12</v>
      </c>
      <c r="C1531" t="s">
        <v>38</v>
      </c>
      <c r="D1531">
        <v>9587</v>
      </c>
      <c r="E1531">
        <v>59439</v>
      </c>
      <c r="F1531">
        <f t="shared" si="151"/>
        <v>6.199958276833212</v>
      </c>
      <c r="G1531">
        <f t="shared" si="152"/>
        <v>281.23010743715452</v>
      </c>
      <c r="H1531">
        <v>643.16666666666674</v>
      </c>
      <c r="I1531" t="s">
        <v>38</v>
      </c>
      <c r="J1531">
        <f t="shared" si="153"/>
        <v>14.179159318048209</v>
      </c>
      <c r="K1531">
        <v>1771.212192884625</v>
      </c>
    </row>
    <row r="1532" spans="1:11" x14ac:dyDescent="0.35">
      <c r="A1532" s="1">
        <v>40360</v>
      </c>
      <c r="B1532" t="s">
        <v>12</v>
      </c>
      <c r="C1532" t="s">
        <v>38</v>
      </c>
      <c r="D1532">
        <v>8429</v>
      </c>
      <c r="E1532">
        <v>46161</v>
      </c>
      <c r="F1532">
        <f t="shared" si="151"/>
        <v>5.4764503499822039</v>
      </c>
      <c r="G1532">
        <f t="shared" si="152"/>
        <v>248.41178787519277</v>
      </c>
      <c r="H1532">
        <v>652.99047619047622</v>
      </c>
      <c r="I1532" t="s">
        <v>38</v>
      </c>
      <c r="J1532">
        <f t="shared" si="153"/>
        <v>14.395733602082808</v>
      </c>
      <c r="K1532">
        <v>1771.212192884625</v>
      </c>
    </row>
    <row r="1533" spans="1:11" x14ac:dyDescent="0.35">
      <c r="A1533" s="1">
        <v>40391</v>
      </c>
      <c r="B1533" t="s">
        <v>12</v>
      </c>
      <c r="C1533" t="s">
        <v>38</v>
      </c>
      <c r="D1533">
        <v>8508</v>
      </c>
      <c r="E1533">
        <v>45127</v>
      </c>
      <c r="F1533">
        <f t="shared" si="151"/>
        <v>5.3040667606958154</v>
      </c>
      <c r="G1533">
        <f t="shared" si="152"/>
        <v>240.59246826516218</v>
      </c>
      <c r="H1533">
        <v>648.88416666666672</v>
      </c>
      <c r="I1533" t="s">
        <v>38</v>
      </c>
      <c r="J1533">
        <f t="shared" si="153"/>
        <v>14.30520649617872</v>
      </c>
      <c r="K1533">
        <v>1771.212192884625</v>
      </c>
    </row>
    <row r="1534" spans="1:11" x14ac:dyDescent="0.35">
      <c r="A1534" s="1">
        <v>40422</v>
      </c>
      <c r="B1534" t="s">
        <v>12</v>
      </c>
      <c r="C1534" t="s">
        <v>38</v>
      </c>
      <c r="D1534">
        <v>9160</v>
      </c>
      <c r="E1534">
        <v>47885</v>
      </c>
      <c r="F1534">
        <f t="shared" si="151"/>
        <v>5.2276200873362448</v>
      </c>
      <c r="G1534">
        <f t="shared" si="152"/>
        <v>237.12484716157206</v>
      </c>
      <c r="H1534">
        <v>644.69047619047626</v>
      </c>
      <c r="I1534" t="s">
        <v>38</v>
      </c>
      <c r="J1534">
        <f t="shared" si="153"/>
        <v>14.212753002435544</v>
      </c>
      <c r="K1534">
        <v>1771.212192884625</v>
      </c>
    </row>
    <row r="1535" spans="1:11" x14ac:dyDescent="0.35">
      <c r="A1535" s="1">
        <v>40452</v>
      </c>
      <c r="B1535" t="s">
        <v>12</v>
      </c>
      <c r="C1535" t="s">
        <v>38</v>
      </c>
      <c r="D1535">
        <v>10853</v>
      </c>
      <c r="E1535">
        <v>66997</v>
      </c>
      <c r="F1535">
        <f t="shared" si="151"/>
        <v>6.1731318529438868</v>
      </c>
      <c r="G1535">
        <f t="shared" si="152"/>
        <v>280.01326084953467</v>
      </c>
      <c r="H1535">
        <v>503.0555555555556</v>
      </c>
      <c r="I1535" t="s">
        <v>38</v>
      </c>
      <c r="J1535">
        <f t="shared" si="153"/>
        <v>11.090290025475213</v>
      </c>
      <c r="K1535">
        <v>1771.212192884625</v>
      </c>
    </row>
    <row r="1536" spans="1:11" x14ac:dyDescent="0.35">
      <c r="A1536" s="1">
        <v>40483</v>
      </c>
      <c r="B1536" t="s">
        <v>12</v>
      </c>
      <c r="C1536" t="s">
        <v>38</v>
      </c>
      <c r="D1536">
        <v>10594</v>
      </c>
      <c r="E1536">
        <v>57762</v>
      </c>
      <c r="F1536">
        <f t="shared" si="151"/>
        <v>5.4523315084009818</v>
      </c>
      <c r="G1536">
        <f t="shared" si="152"/>
        <v>247.31775722106852</v>
      </c>
      <c r="H1536">
        <v>546.39285714285722</v>
      </c>
      <c r="I1536" t="s">
        <v>38</v>
      </c>
      <c r="J1536">
        <f t="shared" si="153"/>
        <v>12.045697908793148</v>
      </c>
      <c r="K1536">
        <v>1771.212192884625</v>
      </c>
    </row>
    <row r="1537" spans="1:11" x14ac:dyDescent="0.35">
      <c r="A1537" s="1">
        <v>40513</v>
      </c>
      <c r="B1537" t="s">
        <v>12</v>
      </c>
      <c r="C1537" t="s">
        <v>38</v>
      </c>
      <c r="D1537">
        <v>12990</v>
      </c>
      <c r="E1537">
        <v>72296</v>
      </c>
      <c r="F1537">
        <f t="shared" si="151"/>
        <v>5.5655119322555811</v>
      </c>
      <c r="G1537">
        <f t="shared" si="152"/>
        <v>252.45162124711317</v>
      </c>
      <c r="H1537">
        <v>540.95416666666665</v>
      </c>
      <c r="I1537" t="s">
        <v>38</v>
      </c>
      <c r="J1537">
        <f t="shared" si="153"/>
        <v>11.925797325102881</v>
      </c>
      <c r="K1537">
        <v>1771.212192884625</v>
      </c>
    </row>
    <row r="1538" spans="1:11" x14ac:dyDescent="0.35">
      <c r="A1538" s="1">
        <v>40179</v>
      </c>
      <c r="B1538" t="s">
        <v>13</v>
      </c>
      <c r="C1538" t="s">
        <v>38</v>
      </c>
      <c r="D1538">
        <v>5313</v>
      </c>
      <c r="E1538">
        <v>25287</v>
      </c>
      <c r="F1538">
        <f t="shared" si="151"/>
        <v>4.7594579333709772</v>
      </c>
      <c r="G1538">
        <f t="shared" si="152"/>
        <v>215.88901185770752</v>
      </c>
      <c r="H1538">
        <v>284.67750000000001</v>
      </c>
      <c r="I1538" t="s">
        <v>38</v>
      </c>
      <c r="J1538">
        <f t="shared" si="153"/>
        <v>6.2759589947089953</v>
      </c>
      <c r="K1538">
        <v>6142.3910746455731</v>
      </c>
    </row>
    <row r="1539" spans="1:11" x14ac:dyDescent="0.35">
      <c r="A1539" s="1">
        <v>40210</v>
      </c>
      <c r="B1539" t="s">
        <v>13</v>
      </c>
      <c r="C1539" t="s">
        <v>38</v>
      </c>
      <c r="D1539">
        <v>6030</v>
      </c>
      <c r="E1539">
        <v>40702</v>
      </c>
      <c r="F1539">
        <f t="shared" si="151"/>
        <v>6.7499170812603646</v>
      </c>
      <c r="G1539">
        <f t="shared" si="152"/>
        <v>306.17623880597012</v>
      </c>
      <c r="H1539">
        <v>293.67333333333335</v>
      </c>
      <c r="I1539" t="s">
        <v>38</v>
      </c>
      <c r="J1539">
        <f t="shared" si="153"/>
        <v>6.4742798353909468</v>
      </c>
      <c r="K1539">
        <v>6142.3910746455731</v>
      </c>
    </row>
    <row r="1540" spans="1:11" x14ac:dyDescent="0.35">
      <c r="A1540" s="1">
        <v>40238</v>
      </c>
      <c r="B1540" t="s">
        <v>13</v>
      </c>
      <c r="C1540" t="s">
        <v>38</v>
      </c>
      <c r="D1540">
        <v>6120</v>
      </c>
      <c r="E1540">
        <v>43146</v>
      </c>
      <c r="F1540">
        <f t="shared" si="151"/>
        <v>7.05</v>
      </c>
      <c r="G1540">
        <f t="shared" si="152"/>
        <v>319.78800000000001</v>
      </c>
      <c r="H1540">
        <v>306.37916666666661</v>
      </c>
      <c r="I1540" t="s">
        <v>38</v>
      </c>
      <c r="J1540">
        <f t="shared" si="153"/>
        <v>6.7543907995296868</v>
      </c>
      <c r="K1540">
        <v>6142.3910746455731</v>
      </c>
    </row>
    <row r="1541" spans="1:11" x14ac:dyDescent="0.35">
      <c r="A1541" s="1">
        <v>40269</v>
      </c>
      <c r="B1541" t="s">
        <v>13</v>
      </c>
      <c r="C1541" t="s">
        <v>38</v>
      </c>
      <c r="D1541">
        <v>7000</v>
      </c>
      <c r="E1541">
        <v>76500</v>
      </c>
      <c r="F1541">
        <f t="shared" si="151"/>
        <v>10.928571428571429</v>
      </c>
      <c r="G1541">
        <f t="shared" si="152"/>
        <v>495.72</v>
      </c>
      <c r="H1541">
        <v>275.02444444444438</v>
      </c>
      <c r="I1541" t="s">
        <v>38</v>
      </c>
      <c r="J1541">
        <f t="shared" si="153"/>
        <v>6.0631491279639418</v>
      </c>
      <c r="K1541">
        <v>6142.3910746455731</v>
      </c>
    </row>
    <row r="1542" spans="1:11" x14ac:dyDescent="0.35">
      <c r="A1542" s="1">
        <v>40299</v>
      </c>
      <c r="B1542" t="s">
        <v>13</v>
      </c>
      <c r="C1542" t="s">
        <v>38</v>
      </c>
      <c r="D1542">
        <v>6840</v>
      </c>
      <c r="E1542">
        <v>53352</v>
      </c>
      <c r="F1542">
        <f t="shared" si="151"/>
        <v>7.8</v>
      </c>
      <c r="G1542">
        <f t="shared" si="152"/>
        <v>353.80799999999999</v>
      </c>
      <c r="H1542">
        <v>344.45000000000005</v>
      </c>
      <c r="I1542" t="s">
        <v>38</v>
      </c>
      <c r="J1542">
        <f t="shared" si="153"/>
        <v>7.5936948853615531</v>
      </c>
      <c r="K1542">
        <v>6142.3910746455731</v>
      </c>
    </row>
    <row r="1543" spans="1:11" x14ac:dyDescent="0.35">
      <c r="A1543" s="1">
        <v>40330</v>
      </c>
      <c r="B1543" t="s">
        <v>13</v>
      </c>
      <c r="C1543" t="s">
        <v>38</v>
      </c>
      <c r="D1543">
        <v>7664</v>
      </c>
      <c r="E1543">
        <v>57526</v>
      </c>
      <c r="F1543">
        <f t="shared" ref="F1543:F1548" si="154">E1543/D1543</f>
        <v>7.5060020876826723</v>
      </c>
      <c r="G1543">
        <f t="shared" si="152"/>
        <v>340.47225469728602</v>
      </c>
      <c r="H1543">
        <v>562.29861111111109</v>
      </c>
      <c r="I1543" t="s">
        <v>38</v>
      </c>
      <c r="J1543">
        <f t="shared" si="153"/>
        <v>12.39635386047423</v>
      </c>
      <c r="K1543">
        <v>6142.3910746455731</v>
      </c>
    </row>
    <row r="1544" spans="1:11" x14ac:dyDescent="0.35">
      <c r="A1544" s="1">
        <v>40360</v>
      </c>
      <c r="B1544" t="s">
        <v>13</v>
      </c>
      <c r="C1544" t="s">
        <v>38</v>
      </c>
      <c r="D1544">
        <v>5256</v>
      </c>
      <c r="E1544">
        <v>24832</v>
      </c>
      <c r="F1544">
        <f t="shared" si="154"/>
        <v>4.724505327245053</v>
      </c>
      <c r="G1544">
        <f t="shared" si="152"/>
        <v>214.30356164383559</v>
      </c>
      <c r="H1544">
        <v>640.33333333333326</v>
      </c>
      <c r="I1544" t="s">
        <v>38</v>
      </c>
      <c r="J1544">
        <f t="shared" si="153"/>
        <v>14.116696061140503</v>
      </c>
      <c r="K1544">
        <v>6142.3910746455731</v>
      </c>
    </row>
    <row r="1545" spans="1:11" x14ac:dyDescent="0.35">
      <c r="A1545" s="1">
        <v>40391</v>
      </c>
      <c r="B1545" t="s">
        <v>13</v>
      </c>
      <c r="C1545" t="s">
        <v>38</v>
      </c>
      <c r="D1545">
        <v>4589</v>
      </c>
      <c r="E1545">
        <v>27687</v>
      </c>
      <c r="F1545">
        <f t="shared" si="154"/>
        <v>6.0333405970799738</v>
      </c>
      <c r="G1545">
        <f t="shared" si="152"/>
        <v>273.67232948354763</v>
      </c>
      <c r="H1545">
        <v>603.29999999999995</v>
      </c>
      <c r="I1545" t="s">
        <v>38</v>
      </c>
      <c r="J1545">
        <f t="shared" si="153"/>
        <v>13.300264550264549</v>
      </c>
      <c r="K1545">
        <v>6142.3910746455731</v>
      </c>
    </row>
    <row r="1546" spans="1:11" x14ac:dyDescent="0.35">
      <c r="A1546" s="1">
        <v>40422</v>
      </c>
      <c r="B1546" t="s">
        <v>13</v>
      </c>
      <c r="C1546" t="s">
        <v>38</v>
      </c>
      <c r="D1546">
        <v>4213</v>
      </c>
      <c r="E1546">
        <v>19191</v>
      </c>
      <c r="F1546">
        <f t="shared" si="154"/>
        <v>4.5551863280322813</v>
      </c>
      <c r="G1546">
        <f t="shared" si="152"/>
        <v>206.62325183954428</v>
      </c>
      <c r="H1546">
        <v>624.96428571428567</v>
      </c>
      <c r="I1546" t="s">
        <v>38</v>
      </c>
      <c r="J1546">
        <f t="shared" si="153"/>
        <v>13.777872260015116</v>
      </c>
      <c r="K1546">
        <v>6142.3910746455731</v>
      </c>
    </row>
    <row r="1547" spans="1:11" x14ac:dyDescent="0.35">
      <c r="A1547" s="1">
        <v>40452</v>
      </c>
      <c r="B1547" t="s">
        <v>13</v>
      </c>
      <c r="C1547" t="s">
        <v>38</v>
      </c>
      <c r="D1547">
        <v>7910</v>
      </c>
      <c r="E1547">
        <v>41528</v>
      </c>
      <c r="F1547">
        <f t="shared" si="154"/>
        <v>5.2500632111251582</v>
      </c>
      <c r="G1547">
        <f t="shared" si="152"/>
        <v>238.14286725663717</v>
      </c>
      <c r="H1547">
        <v>671.84027777777771</v>
      </c>
      <c r="I1547" t="s">
        <v>38</v>
      </c>
      <c r="J1547">
        <f t="shared" si="153"/>
        <v>14.811293601802859</v>
      </c>
      <c r="K1547">
        <v>6142.3910746455731</v>
      </c>
    </row>
    <row r="1548" spans="1:11" x14ac:dyDescent="0.35">
      <c r="A1548" s="1">
        <v>40483</v>
      </c>
      <c r="B1548" t="s">
        <v>13</v>
      </c>
      <c r="C1548" t="s">
        <v>38</v>
      </c>
      <c r="D1548">
        <v>7204</v>
      </c>
      <c r="E1548">
        <v>42432</v>
      </c>
      <c r="F1548">
        <f t="shared" si="154"/>
        <v>5.8900610771793449</v>
      </c>
      <c r="G1548">
        <f t="shared" si="152"/>
        <v>267.17317046085509</v>
      </c>
      <c r="H1548">
        <v>601.04761904761904</v>
      </c>
      <c r="I1548" t="s">
        <v>38</v>
      </c>
      <c r="J1548">
        <f t="shared" si="153"/>
        <v>13.25060888552952</v>
      </c>
      <c r="K1548">
        <v>6142.3910746455731</v>
      </c>
    </row>
    <row r="1549" spans="1:11" x14ac:dyDescent="0.35">
      <c r="A1549" s="1">
        <v>40513</v>
      </c>
      <c r="B1549" t="s">
        <v>13</v>
      </c>
      <c r="C1549" t="s">
        <v>38</v>
      </c>
      <c r="D1549">
        <v>7044</v>
      </c>
      <c r="E1549">
        <v>38200</v>
      </c>
      <c r="F1549">
        <f>E1549/D1549</f>
        <v>5.4230550823395802</v>
      </c>
      <c r="G1549">
        <f>F1549*45.36</f>
        <v>245.98977853492335</v>
      </c>
      <c r="H1549">
        <v>632.41666666666674</v>
      </c>
      <c r="I1549" t="s">
        <v>38</v>
      </c>
      <c r="J1549">
        <f t="shared" si="153"/>
        <v>13.94216637272193</v>
      </c>
      <c r="K1549">
        <v>6142.3910746455731</v>
      </c>
    </row>
    <row r="1550" spans="1:11" x14ac:dyDescent="0.35">
      <c r="A1550" s="1">
        <v>40179</v>
      </c>
      <c r="B1550" t="s">
        <v>14</v>
      </c>
      <c r="C1550" t="s">
        <v>40</v>
      </c>
      <c r="D1550">
        <v>73359</v>
      </c>
      <c r="E1550">
        <v>42300</v>
      </c>
      <c r="F1550">
        <f t="shared" ref="F1550:F1613" si="155">E1550/D1550</f>
        <v>0.57661636609005029</v>
      </c>
      <c r="G1550">
        <f>F1550*562.34</f>
        <v>324.25444730707892</v>
      </c>
      <c r="H1550">
        <v>6686</v>
      </c>
      <c r="I1550" t="s">
        <v>40</v>
      </c>
      <c r="J1550">
        <f>(H1550/1000)/0.56234</f>
        <v>11.889604154070492</v>
      </c>
      <c r="K1550">
        <v>6158.1190308947362</v>
      </c>
    </row>
    <row r="1551" spans="1:11" x14ac:dyDescent="0.35">
      <c r="A1551" s="1">
        <v>40210</v>
      </c>
      <c r="B1551" t="s">
        <v>14</v>
      </c>
      <c r="C1551" t="s">
        <v>40</v>
      </c>
      <c r="D1551">
        <v>80134</v>
      </c>
      <c r="E1551">
        <v>45591</v>
      </c>
      <c r="F1551">
        <f t="shared" si="155"/>
        <v>0.56893453465445376</v>
      </c>
      <c r="G1551">
        <f t="shared" ref="G1551:G1561" si="156">F1551*562.34</f>
        <v>319.93464621758557</v>
      </c>
      <c r="H1551">
        <v>7453.5</v>
      </c>
      <c r="I1551" t="s">
        <v>40</v>
      </c>
      <c r="J1551">
        <f t="shared" ref="J1551:J1562" si="157">(H1551/1000)/0.56234</f>
        <v>13.25443681758367</v>
      </c>
      <c r="K1551">
        <v>6158.1190308947362</v>
      </c>
    </row>
    <row r="1552" spans="1:11" x14ac:dyDescent="0.35">
      <c r="A1552" s="1">
        <v>40238</v>
      </c>
      <c r="B1552" t="s">
        <v>14</v>
      </c>
      <c r="C1552" t="s">
        <v>40</v>
      </c>
      <c r="D1552">
        <v>89274</v>
      </c>
      <c r="E1552">
        <v>46120</v>
      </c>
      <c r="F1552">
        <f t="shared" si="155"/>
        <v>0.51661177946546588</v>
      </c>
      <c r="G1552">
        <f t="shared" si="156"/>
        <v>290.51146806461009</v>
      </c>
      <c r="H1552">
        <v>8401.5</v>
      </c>
      <c r="I1552" t="s">
        <v>40</v>
      </c>
      <c r="J1552">
        <f t="shared" si="157"/>
        <v>14.940249671017536</v>
      </c>
      <c r="K1552">
        <v>6158.1190308947362</v>
      </c>
    </row>
    <row r="1553" spans="1:11" x14ac:dyDescent="0.35">
      <c r="A1553" s="1">
        <v>40269</v>
      </c>
      <c r="B1553" t="s">
        <v>14</v>
      </c>
      <c r="C1553" t="s">
        <v>40</v>
      </c>
      <c r="D1553">
        <v>1376</v>
      </c>
      <c r="E1553">
        <v>972</v>
      </c>
      <c r="F1553">
        <f t="shared" si="155"/>
        <v>0.70639534883720934</v>
      </c>
      <c r="G1553">
        <f t="shared" si="156"/>
        <v>397.23436046511631</v>
      </c>
      <c r="H1553">
        <v>7215.3</v>
      </c>
      <c r="I1553" t="s">
        <v>40</v>
      </c>
      <c r="J1553">
        <f t="shared" si="157"/>
        <v>12.830849663904401</v>
      </c>
      <c r="K1553">
        <v>6158.1190308947362</v>
      </c>
    </row>
    <row r="1554" spans="1:11" x14ac:dyDescent="0.35">
      <c r="A1554" s="1">
        <v>40299</v>
      </c>
      <c r="B1554" t="s">
        <v>14</v>
      </c>
      <c r="C1554" t="s">
        <v>40</v>
      </c>
      <c r="D1554">
        <v>542</v>
      </c>
      <c r="E1554">
        <v>1605</v>
      </c>
      <c r="F1554">
        <f t="shared" si="155"/>
        <v>2.9612546125461257</v>
      </c>
      <c r="G1554">
        <f t="shared" si="156"/>
        <v>1665.2319188191884</v>
      </c>
      <c r="H1554">
        <v>6000</v>
      </c>
      <c r="I1554" t="s">
        <v>40</v>
      </c>
      <c r="J1554">
        <f t="shared" si="157"/>
        <v>10.669701604011809</v>
      </c>
      <c r="K1554">
        <v>6158.1190308947362</v>
      </c>
    </row>
    <row r="1555" spans="1:11" x14ac:dyDescent="0.35">
      <c r="A1555" s="1">
        <v>40330</v>
      </c>
      <c r="B1555" t="s">
        <v>14</v>
      </c>
      <c r="C1555" t="s">
        <v>40</v>
      </c>
      <c r="D1555">
        <v>689</v>
      </c>
      <c r="E1555">
        <v>1229</v>
      </c>
      <c r="F1555">
        <f t="shared" si="155"/>
        <v>1.783744557329463</v>
      </c>
      <c r="G1555">
        <f t="shared" si="156"/>
        <v>1003.0709143686503</v>
      </c>
      <c r="H1555">
        <v>8354.25</v>
      </c>
      <c r="I1555" t="s">
        <v>40</v>
      </c>
      <c r="J1555">
        <f t="shared" si="157"/>
        <v>14.856225770885944</v>
      </c>
      <c r="K1555">
        <v>6158.1190308947362</v>
      </c>
    </row>
    <row r="1556" spans="1:11" x14ac:dyDescent="0.35">
      <c r="A1556" s="1">
        <v>40360</v>
      </c>
      <c r="B1556" t="s">
        <v>14</v>
      </c>
      <c r="C1556" t="s">
        <v>40</v>
      </c>
      <c r="D1556">
        <v>1298</v>
      </c>
      <c r="E1556">
        <v>1016</v>
      </c>
      <c r="F1556">
        <f t="shared" si="155"/>
        <v>0.78274268104776579</v>
      </c>
      <c r="G1556">
        <f t="shared" si="156"/>
        <v>440.16751926040064</v>
      </c>
      <c r="H1556">
        <v>6708.333333333333</v>
      </c>
      <c r="I1556" t="s">
        <v>40</v>
      </c>
      <c r="J1556">
        <f t="shared" si="157"/>
        <v>11.929319154485425</v>
      </c>
      <c r="K1556">
        <v>6158.1190308947362</v>
      </c>
    </row>
    <row r="1557" spans="1:11" x14ac:dyDescent="0.35">
      <c r="A1557" s="1">
        <v>40391</v>
      </c>
      <c r="B1557" t="s">
        <v>14</v>
      </c>
      <c r="C1557" t="s">
        <v>40</v>
      </c>
      <c r="D1557">
        <v>66607</v>
      </c>
      <c r="E1557">
        <v>178249</v>
      </c>
      <c r="F1557">
        <f t="shared" si="155"/>
        <v>2.6761301364721426</v>
      </c>
      <c r="G1557">
        <f t="shared" si="156"/>
        <v>1504.8950209437448</v>
      </c>
      <c r="H1557">
        <v>5065.625</v>
      </c>
      <c r="I1557" t="s">
        <v>40</v>
      </c>
      <c r="J1557">
        <f t="shared" si="157"/>
        <v>9.0081178646370521</v>
      </c>
      <c r="K1557">
        <v>6158.1190308947362</v>
      </c>
    </row>
    <row r="1558" spans="1:11" x14ac:dyDescent="0.35">
      <c r="A1558" s="1">
        <v>40422</v>
      </c>
      <c r="B1558" t="s">
        <v>14</v>
      </c>
      <c r="C1558" t="s">
        <v>40</v>
      </c>
      <c r="D1558">
        <v>48516</v>
      </c>
      <c r="E1558">
        <v>104524</v>
      </c>
      <c r="F1558">
        <f t="shared" si="155"/>
        <v>2.1544232830406465</v>
      </c>
      <c r="G1558">
        <f t="shared" si="156"/>
        <v>1211.5183889850773</v>
      </c>
      <c r="H1558">
        <v>3146.6875</v>
      </c>
      <c r="I1558" t="s">
        <v>40</v>
      </c>
      <c r="J1558">
        <f t="shared" si="157"/>
        <v>5.5957027776789845</v>
      </c>
      <c r="K1558">
        <v>6158.1190308947362</v>
      </c>
    </row>
    <row r="1559" spans="1:11" x14ac:dyDescent="0.35">
      <c r="A1559" s="1">
        <v>40452</v>
      </c>
      <c r="B1559" t="s">
        <v>14</v>
      </c>
      <c r="C1559" t="s">
        <v>40</v>
      </c>
      <c r="D1559">
        <v>68125</v>
      </c>
      <c r="E1559">
        <v>85838</v>
      </c>
      <c r="F1559">
        <f t="shared" si="155"/>
        <v>1.2600073394495412</v>
      </c>
      <c r="G1559">
        <f t="shared" si="156"/>
        <v>708.55252726605511</v>
      </c>
      <c r="H1559">
        <v>3008.2166666666662</v>
      </c>
      <c r="I1559" t="s">
        <v>40</v>
      </c>
      <c r="J1559">
        <f t="shared" si="157"/>
        <v>5.349462365591398</v>
      </c>
      <c r="K1559">
        <v>6158.1190308947362</v>
      </c>
    </row>
    <row r="1560" spans="1:11" x14ac:dyDescent="0.35">
      <c r="A1560" s="1">
        <v>40483</v>
      </c>
      <c r="B1560" t="s">
        <v>14</v>
      </c>
      <c r="C1560" t="s">
        <v>40</v>
      </c>
      <c r="D1560">
        <v>30380</v>
      </c>
      <c r="E1560">
        <v>55180</v>
      </c>
      <c r="F1560">
        <f t="shared" si="155"/>
        <v>1.8163265306122449</v>
      </c>
      <c r="G1560">
        <f t="shared" si="156"/>
        <v>1021.3930612244899</v>
      </c>
      <c r="H1560">
        <v>4361.55</v>
      </c>
      <c r="I1560" t="s">
        <v>40</v>
      </c>
      <c r="J1560">
        <f t="shared" si="157"/>
        <v>7.7560728384962845</v>
      </c>
      <c r="K1560">
        <v>6158.1190308947362</v>
      </c>
    </row>
    <row r="1561" spans="1:11" x14ac:dyDescent="0.35">
      <c r="A1561" s="1">
        <v>40513</v>
      </c>
      <c r="B1561" t="s">
        <v>14</v>
      </c>
      <c r="C1561" t="s">
        <v>40</v>
      </c>
      <c r="D1561">
        <v>43310</v>
      </c>
      <c r="E1561">
        <v>66988</v>
      </c>
      <c r="F1561">
        <f t="shared" si="155"/>
        <v>1.5467097667975063</v>
      </c>
      <c r="G1561">
        <f>F1561*562.34</f>
        <v>869.77677026090976</v>
      </c>
      <c r="H1561">
        <v>5500</v>
      </c>
      <c r="I1561" t="s">
        <v>40</v>
      </c>
      <c r="J1561">
        <f>(H1561/1000)/0.56234</f>
        <v>9.780559803677491</v>
      </c>
      <c r="K1561">
        <v>6158.1190308947362</v>
      </c>
    </row>
    <row r="1562" spans="1:11" x14ac:dyDescent="0.35">
      <c r="A1562" s="1">
        <v>40179</v>
      </c>
      <c r="B1562" t="s">
        <v>15</v>
      </c>
      <c r="C1562" t="s">
        <v>41</v>
      </c>
      <c r="D1562">
        <v>306411</v>
      </c>
      <c r="E1562">
        <v>2010967</v>
      </c>
      <c r="F1562">
        <f t="shared" si="155"/>
        <v>6.5629726086857199</v>
      </c>
      <c r="G1562">
        <f>F1562*27.21</f>
        <v>178.57848468233846</v>
      </c>
      <c r="H1562">
        <v>120.51041666666667</v>
      </c>
      <c r="I1562" t="s">
        <v>58</v>
      </c>
      <c r="J1562">
        <f>H1562/27.21</f>
        <v>4.4289017518069338</v>
      </c>
      <c r="K1562">
        <f>3877.43316484007+6620.47825712012</f>
        <v>10497.911421960191</v>
      </c>
    </row>
    <row r="1563" spans="1:11" x14ac:dyDescent="0.35">
      <c r="A1563" s="1">
        <v>40210</v>
      </c>
      <c r="B1563" t="s">
        <v>15</v>
      </c>
      <c r="C1563" t="s">
        <v>41</v>
      </c>
      <c r="D1563">
        <v>306292</v>
      </c>
      <c r="E1563">
        <v>1980177</v>
      </c>
      <c r="F1563">
        <f t="shared" si="155"/>
        <v>6.4649974534104713</v>
      </c>
      <c r="G1563">
        <f t="shared" ref="G1563:G1573" si="158">F1563*27.21</f>
        <v>175.91258070729893</v>
      </c>
      <c r="H1563">
        <v>110.88690476190474</v>
      </c>
      <c r="I1563" t="s">
        <v>58</v>
      </c>
      <c r="J1563">
        <f t="shared" ref="J1563:J1573" si="159">H1563/27.21</f>
        <v>4.0752261948513322</v>
      </c>
      <c r="K1563">
        <f t="shared" ref="K1563:K1573" si="160">3877.43316484007+6620.47825712012</f>
        <v>10497.911421960191</v>
      </c>
    </row>
    <row r="1564" spans="1:11" x14ac:dyDescent="0.35">
      <c r="A1564" s="1">
        <v>40238</v>
      </c>
      <c r="B1564" t="s">
        <v>15</v>
      </c>
      <c r="C1564" t="s">
        <v>41</v>
      </c>
      <c r="D1564">
        <v>314130</v>
      </c>
      <c r="E1564">
        <v>2213875</v>
      </c>
      <c r="F1564">
        <f t="shared" si="155"/>
        <v>7.0476395123038236</v>
      </c>
      <c r="G1564">
        <f t="shared" si="158"/>
        <v>191.76627112978704</v>
      </c>
      <c r="H1564">
        <v>121.35944444444443</v>
      </c>
      <c r="I1564" t="s">
        <v>58</v>
      </c>
      <c r="J1564">
        <f t="shared" si="159"/>
        <v>4.4601045367307766</v>
      </c>
      <c r="K1564">
        <f t="shared" si="160"/>
        <v>10497.911421960191</v>
      </c>
    </row>
    <row r="1565" spans="1:11" x14ac:dyDescent="0.35">
      <c r="A1565" s="1">
        <v>40269</v>
      </c>
      <c r="B1565" t="s">
        <v>15</v>
      </c>
      <c r="C1565" t="s">
        <v>41</v>
      </c>
      <c r="D1565">
        <v>298359</v>
      </c>
      <c r="E1565">
        <v>2088513</v>
      </c>
      <c r="F1565">
        <f t="shared" si="155"/>
        <v>7</v>
      </c>
      <c r="G1565">
        <f t="shared" si="158"/>
        <v>190.47</v>
      </c>
      <c r="H1565">
        <v>117.54916666666668</v>
      </c>
      <c r="I1565" t="s">
        <v>58</v>
      </c>
      <c r="J1565">
        <f t="shared" si="159"/>
        <v>4.3200722773490146</v>
      </c>
      <c r="K1565">
        <f t="shared" si="160"/>
        <v>10497.911421960191</v>
      </c>
    </row>
    <row r="1566" spans="1:11" x14ac:dyDescent="0.35">
      <c r="A1566" s="1">
        <v>40299</v>
      </c>
      <c r="B1566" t="s">
        <v>15</v>
      </c>
      <c r="C1566" t="s">
        <v>41</v>
      </c>
      <c r="D1566">
        <v>324561</v>
      </c>
      <c r="E1566">
        <v>2548820</v>
      </c>
      <c r="F1566">
        <f t="shared" si="155"/>
        <v>7.8531308444329415</v>
      </c>
      <c r="G1566">
        <f t="shared" si="158"/>
        <v>213.68369027702033</v>
      </c>
      <c r="H1566">
        <v>107.49722222222222</v>
      </c>
      <c r="I1566" t="s">
        <v>58</v>
      </c>
      <c r="J1566">
        <f t="shared" si="159"/>
        <v>3.9506513128343337</v>
      </c>
      <c r="K1566">
        <f t="shared" si="160"/>
        <v>10497.911421960191</v>
      </c>
    </row>
    <row r="1567" spans="1:11" x14ac:dyDescent="0.35">
      <c r="A1567" s="1">
        <v>40330</v>
      </c>
      <c r="B1567" t="s">
        <v>15</v>
      </c>
      <c r="C1567" t="s">
        <v>41</v>
      </c>
      <c r="D1567">
        <v>327581</v>
      </c>
      <c r="E1567">
        <v>3068332</v>
      </c>
      <c r="F1567">
        <f t="shared" si="155"/>
        <v>9.3666360381096592</v>
      </c>
      <c r="G1567">
        <f t="shared" si="158"/>
        <v>254.86616659696384</v>
      </c>
      <c r="H1567">
        <v>105.00104166666667</v>
      </c>
      <c r="I1567" t="s">
        <v>58</v>
      </c>
      <c r="J1567">
        <f t="shared" si="159"/>
        <v>3.8589136959451182</v>
      </c>
      <c r="K1567">
        <f t="shared" si="160"/>
        <v>10497.911421960191</v>
      </c>
    </row>
    <row r="1568" spans="1:11" x14ac:dyDescent="0.35">
      <c r="A1568" s="1">
        <v>40360</v>
      </c>
      <c r="B1568" t="s">
        <v>15</v>
      </c>
      <c r="C1568" t="s">
        <v>41</v>
      </c>
      <c r="D1568">
        <v>333439</v>
      </c>
      <c r="E1568">
        <v>2656347</v>
      </c>
      <c r="F1568">
        <f t="shared" si="155"/>
        <v>7.9665156145501879</v>
      </c>
      <c r="G1568">
        <f t="shared" si="158"/>
        <v>216.76888987191063</v>
      </c>
      <c r="H1568">
        <v>106.3263888888889</v>
      </c>
      <c r="I1568" t="s">
        <v>58</v>
      </c>
      <c r="J1568">
        <f t="shared" si="159"/>
        <v>3.9076217893748217</v>
      </c>
      <c r="K1568">
        <f t="shared" si="160"/>
        <v>10497.911421960191</v>
      </c>
    </row>
    <row r="1569" spans="1:11" x14ac:dyDescent="0.35">
      <c r="A1569" s="1">
        <v>40391</v>
      </c>
      <c r="B1569" t="s">
        <v>15</v>
      </c>
      <c r="C1569" t="s">
        <v>41</v>
      </c>
      <c r="D1569">
        <v>344111</v>
      </c>
      <c r="E1569">
        <v>3203592</v>
      </c>
      <c r="F1569">
        <f t="shared" si="155"/>
        <v>9.3097634193617758</v>
      </c>
      <c r="G1569">
        <f t="shared" si="158"/>
        <v>253.31866264083394</v>
      </c>
      <c r="H1569">
        <v>98.338000000000008</v>
      </c>
      <c r="I1569" t="s">
        <v>58</v>
      </c>
      <c r="J1569">
        <f t="shared" si="159"/>
        <v>3.6140389562660786</v>
      </c>
      <c r="K1569">
        <f t="shared" si="160"/>
        <v>10497.911421960191</v>
      </c>
    </row>
    <row r="1570" spans="1:11" x14ac:dyDescent="0.35">
      <c r="A1570" s="1">
        <v>40422</v>
      </c>
      <c r="B1570" t="s">
        <v>15</v>
      </c>
      <c r="C1570" t="s">
        <v>41</v>
      </c>
      <c r="D1570">
        <v>338309</v>
      </c>
      <c r="E1570">
        <v>2824640</v>
      </c>
      <c r="F1570">
        <f t="shared" si="155"/>
        <v>8.3492901459907962</v>
      </c>
      <c r="G1570">
        <f t="shared" si="158"/>
        <v>227.18418487240956</v>
      </c>
      <c r="H1570">
        <v>104.51041666666667</v>
      </c>
      <c r="I1570" t="s">
        <v>58</v>
      </c>
      <c r="J1570">
        <f t="shared" si="159"/>
        <v>3.8408826411858388</v>
      </c>
      <c r="K1570">
        <f t="shared" si="160"/>
        <v>10497.911421960191</v>
      </c>
    </row>
    <row r="1571" spans="1:11" x14ac:dyDescent="0.35">
      <c r="A1571" s="1">
        <v>40452</v>
      </c>
      <c r="B1571" t="s">
        <v>15</v>
      </c>
      <c r="C1571" t="s">
        <v>41</v>
      </c>
      <c r="D1571">
        <v>306938</v>
      </c>
      <c r="E1571">
        <v>2584624</v>
      </c>
      <c r="F1571">
        <f t="shared" si="155"/>
        <v>8.4206712756322126</v>
      </c>
      <c r="G1571">
        <f t="shared" si="158"/>
        <v>229.12646540995252</v>
      </c>
      <c r="H1571">
        <v>117.48809523809523</v>
      </c>
      <c r="I1571" t="s">
        <v>58</v>
      </c>
      <c r="J1571">
        <f t="shared" si="159"/>
        <v>4.3178278294044548</v>
      </c>
      <c r="K1571">
        <f t="shared" si="160"/>
        <v>10497.911421960191</v>
      </c>
    </row>
    <row r="1572" spans="1:11" x14ac:dyDescent="0.35">
      <c r="A1572" s="1">
        <v>40483</v>
      </c>
      <c r="B1572" t="s">
        <v>15</v>
      </c>
      <c r="C1572" t="s">
        <v>41</v>
      </c>
      <c r="D1572">
        <v>341438</v>
      </c>
      <c r="E1572">
        <v>2731504</v>
      </c>
      <c r="F1572">
        <f t="shared" si="155"/>
        <v>8</v>
      </c>
      <c r="G1572">
        <f t="shared" si="158"/>
        <v>217.68</v>
      </c>
      <c r="H1572">
        <v>111.11805555555556</v>
      </c>
      <c r="I1572" t="s">
        <v>58</v>
      </c>
      <c r="J1572">
        <f t="shared" si="159"/>
        <v>4.0837212626077015</v>
      </c>
      <c r="K1572">
        <f t="shared" si="160"/>
        <v>10497.911421960191</v>
      </c>
    </row>
    <row r="1573" spans="1:11" x14ac:dyDescent="0.35">
      <c r="A1573" s="1">
        <v>40513</v>
      </c>
      <c r="B1573" t="s">
        <v>15</v>
      </c>
      <c r="C1573" t="s">
        <v>41</v>
      </c>
      <c r="D1573">
        <v>338291</v>
      </c>
      <c r="E1573">
        <v>2368040</v>
      </c>
      <c r="F1573">
        <f t="shared" si="155"/>
        <v>7.000008868104679</v>
      </c>
      <c r="G1573">
        <f t="shared" si="158"/>
        <v>190.47024130112831</v>
      </c>
      <c r="H1573">
        <v>98.75</v>
      </c>
      <c r="I1573" t="s">
        <v>58</v>
      </c>
      <c r="J1573">
        <f t="shared" si="159"/>
        <v>3.6291804483645715</v>
      </c>
      <c r="K1573">
        <f t="shared" si="160"/>
        <v>10497.911421960191</v>
      </c>
    </row>
    <row r="1574" spans="1:11" x14ac:dyDescent="0.35">
      <c r="A1574" s="1">
        <v>40179</v>
      </c>
      <c r="B1574" t="s">
        <v>18</v>
      </c>
      <c r="C1574" t="s">
        <v>40</v>
      </c>
      <c r="D1574">
        <v>669729</v>
      </c>
      <c r="E1574">
        <v>104616</v>
      </c>
      <c r="F1574">
        <f t="shared" si="155"/>
        <v>0.15620646560026519</v>
      </c>
      <c r="G1574">
        <f>F1574*408.15</f>
        <v>63.755668934748236</v>
      </c>
      <c r="H1574">
        <v>4205.859375</v>
      </c>
      <c r="I1574" t="s">
        <v>40</v>
      </c>
      <c r="J1574">
        <f>(H1574/1000)/0.40815</f>
        <v>10.304690371187064</v>
      </c>
      <c r="K1574">
        <f>2961.87565998545+6331.09783692277</f>
        <v>9292.9734969082201</v>
      </c>
    </row>
    <row r="1575" spans="1:11" x14ac:dyDescent="0.35">
      <c r="A1575" s="1">
        <v>40210</v>
      </c>
      <c r="B1575" t="s">
        <v>18</v>
      </c>
      <c r="C1575" t="s">
        <v>40</v>
      </c>
      <c r="D1575">
        <v>656613</v>
      </c>
      <c r="E1575">
        <v>107113</v>
      </c>
      <c r="F1575">
        <f t="shared" si="155"/>
        <v>0.16312957556429739</v>
      </c>
      <c r="G1575">
        <f t="shared" ref="G1575:G1585" si="161">F1575*408.15</f>
        <v>66.581336266567973</v>
      </c>
      <c r="H1575">
        <v>4653.333333333333</v>
      </c>
      <c r="I1575" t="s">
        <v>40</v>
      </c>
      <c r="J1575">
        <f t="shared" ref="J1575:J1585" si="162">(H1575/1000)/0.40815</f>
        <v>11.401037200375679</v>
      </c>
      <c r="K1575">
        <f t="shared" ref="K1575:K1586" si="163">2961.87565998545+6331.09783692277</f>
        <v>9292.9734969082201</v>
      </c>
    </row>
    <row r="1576" spans="1:11" x14ac:dyDescent="0.35">
      <c r="A1576" s="1">
        <v>40238</v>
      </c>
      <c r="B1576" t="s">
        <v>18</v>
      </c>
      <c r="C1576" t="s">
        <v>40</v>
      </c>
      <c r="D1576">
        <v>654210</v>
      </c>
      <c r="E1576">
        <v>140796</v>
      </c>
      <c r="F1576">
        <f t="shared" si="155"/>
        <v>0.21521529784014307</v>
      </c>
      <c r="G1576">
        <f t="shared" si="161"/>
        <v>87.840123813454383</v>
      </c>
      <c r="H1576">
        <v>3957.3041666666668</v>
      </c>
      <c r="I1576" t="s">
        <v>40</v>
      </c>
      <c r="J1576">
        <f t="shared" si="162"/>
        <v>9.6957103189186977</v>
      </c>
      <c r="K1576">
        <f t="shared" si="163"/>
        <v>9292.9734969082201</v>
      </c>
    </row>
    <row r="1577" spans="1:11" x14ac:dyDescent="0.35">
      <c r="A1577" s="1">
        <v>40269</v>
      </c>
      <c r="B1577" t="s">
        <v>18</v>
      </c>
      <c r="C1577" t="s">
        <v>40</v>
      </c>
      <c r="D1577">
        <v>606326</v>
      </c>
      <c r="E1577">
        <v>113589</v>
      </c>
      <c r="F1577">
        <f t="shared" si="155"/>
        <v>0.18733981389549517</v>
      </c>
      <c r="G1577">
        <f t="shared" si="161"/>
        <v>76.462745041446354</v>
      </c>
      <c r="H1577">
        <v>3779.5892857142858</v>
      </c>
      <c r="I1577" t="s">
        <v>40</v>
      </c>
      <c r="J1577">
        <f t="shared" si="162"/>
        <v>9.2602947095780603</v>
      </c>
      <c r="K1577">
        <f t="shared" si="163"/>
        <v>9292.9734969082201</v>
      </c>
    </row>
    <row r="1578" spans="1:11" x14ac:dyDescent="0.35">
      <c r="A1578" s="1">
        <v>40299</v>
      </c>
      <c r="B1578" t="s">
        <v>18</v>
      </c>
      <c r="C1578" t="s">
        <v>40</v>
      </c>
      <c r="D1578">
        <v>659214</v>
      </c>
      <c r="E1578">
        <v>135450</v>
      </c>
      <c r="F1578">
        <f t="shared" si="155"/>
        <v>0.20547197116566093</v>
      </c>
      <c r="G1578">
        <f t="shared" si="161"/>
        <v>83.8633850312645</v>
      </c>
      <c r="H1578">
        <v>3397.583333333333</v>
      </c>
      <c r="I1578" t="s">
        <v>40</v>
      </c>
      <c r="J1578">
        <f t="shared" si="162"/>
        <v>8.3243497080321767</v>
      </c>
      <c r="K1578">
        <f t="shared" si="163"/>
        <v>9292.9734969082201</v>
      </c>
    </row>
    <row r="1579" spans="1:11" x14ac:dyDescent="0.35">
      <c r="A1579" s="1">
        <v>40330</v>
      </c>
      <c r="B1579" t="s">
        <v>18</v>
      </c>
      <c r="C1579" t="s">
        <v>40</v>
      </c>
      <c r="D1579">
        <v>666721</v>
      </c>
      <c r="E1579">
        <v>158098</v>
      </c>
      <c r="F1579">
        <f t="shared" si="155"/>
        <v>0.23712767409456129</v>
      </c>
      <c r="G1579">
        <f t="shared" si="161"/>
        <v>96.783660181695183</v>
      </c>
      <c r="H1579">
        <v>3290.21875</v>
      </c>
      <c r="I1579" t="s">
        <v>40</v>
      </c>
      <c r="J1579">
        <f t="shared" si="162"/>
        <v>8.0612979296827145</v>
      </c>
      <c r="K1579">
        <f t="shared" si="163"/>
        <v>9292.9734969082201</v>
      </c>
    </row>
    <row r="1580" spans="1:11" x14ac:dyDescent="0.35">
      <c r="A1580" s="1">
        <v>40360</v>
      </c>
      <c r="B1580" t="s">
        <v>18</v>
      </c>
      <c r="C1580" t="s">
        <v>40</v>
      </c>
      <c r="D1580">
        <v>697721</v>
      </c>
      <c r="E1580">
        <v>163689</v>
      </c>
      <c r="F1580">
        <f t="shared" si="155"/>
        <v>0.23460523619039703</v>
      </c>
      <c r="G1580">
        <f t="shared" si="161"/>
        <v>95.754127151110538</v>
      </c>
      <c r="H1580">
        <v>3303.5952380952381</v>
      </c>
      <c r="I1580" t="s">
        <v>40</v>
      </c>
      <c r="J1580">
        <f t="shared" si="162"/>
        <v>8.0940713906535304</v>
      </c>
      <c r="K1580">
        <f t="shared" si="163"/>
        <v>9292.9734969082201</v>
      </c>
    </row>
    <row r="1581" spans="1:11" x14ac:dyDescent="0.35">
      <c r="A1581" s="1">
        <v>40391</v>
      </c>
      <c r="B1581" t="s">
        <v>18</v>
      </c>
      <c r="C1581" t="s">
        <v>40</v>
      </c>
      <c r="D1581">
        <v>680055</v>
      </c>
      <c r="E1581">
        <v>165959</v>
      </c>
      <c r="F1581">
        <f t="shared" si="155"/>
        <v>0.24403761460470108</v>
      </c>
      <c r="G1581">
        <f t="shared" si="161"/>
        <v>99.603952400908739</v>
      </c>
      <c r="H1581">
        <v>3285.0750000000003</v>
      </c>
      <c r="I1581" t="s">
        <v>40</v>
      </c>
      <c r="J1581">
        <f t="shared" si="162"/>
        <v>8.0486953325983102</v>
      </c>
      <c r="K1581">
        <f t="shared" si="163"/>
        <v>9292.9734969082201</v>
      </c>
    </row>
    <row r="1582" spans="1:11" x14ac:dyDescent="0.35">
      <c r="A1582" s="1">
        <v>40422</v>
      </c>
      <c r="B1582" t="s">
        <v>18</v>
      </c>
      <c r="C1582" t="s">
        <v>40</v>
      </c>
      <c r="D1582">
        <v>696338</v>
      </c>
      <c r="E1582">
        <v>147333</v>
      </c>
      <c r="F1582">
        <f t="shared" si="155"/>
        <v>0.21158259351062272</v>
      </c>
      <c r="G1582">
        <f t="shared" si="161"/>
        <v>86.357435541360658</v>
      </c>
      <c r="H1582">
        <v>3468.9354166666667</v>
      </c>
      <c r="I1582" t="s">
        <v>40</v>
      </c>
      <c r="J1582">
        <f t="shared" si="162"/>
        <v>8.4991679937931313</v>
      </c>
      <c r="K1582">
        <f t="shared" si="163"/>
        <v>9292.9734969082201</v>
      </c>
    </row>
    <row r="1583" spans="1:11" x14ac:dyDescent="0.35">
      <c r="A1583" s="1">
        <v>40452</v>
      </c>
      <c r="B1583" t="s">
        <v>18</v>
      </c>
      <c r="C1583" t="s">
        <v>40</v>
      </c>
      <c r="D1583">
        <v>622690</v>
      </c>
      <c r="E1583">
        <v>108900</v>
      </c>
      <c r="F1583">
        <f t="shared" si="155"/>
        <v>0.17488638006070437</v>
      </c>
      <c r="G1583">
        <f t="shared" si="161"/>
        <v>71.379876021776482</v>
      </c>
      <c r="H1583">
        <v>3602.1309523809527</v>
      </c>
      <c r="I1583" t="s">
        <v>40</v>
      </c>
      <c r="J1583">
        <f t="shared" si="162"/>
        <v>8.8255076623323596</v>
      </c>
      <c r="K1583">
        <f t="shared" si="163"/>
        <v>9292.9734969082201</v>
      </c>
    </row>
    <row r="1584" spans="1:11" x14ac:dyDescent="0.35">
      <c r="A1584" s="1">
        <v>40483</v>
      </c>
      <c r="B1584" t="s">
        <v>18</v>
      </c>
      <c r="C1584" t="s">
        <v>40</v>
      </c>
      <c r="D1584">
        <v>696022</v>
      </c>
      <c r="E1584">
        <v>123957</v>
      </c>
      <c r="F1584">
        <f t="shared" si="155"/>
        <v>0.17809350853852321</v>
      </c>
      <c r="G1584">
        <f t="shared" si="161"/>
        <v>72.688865509998237</v>
      </c>
      <c r="H1584">
        <v>3563.3697916666665</v>
      </c>
      <c r="I1584" t="s">
        <v>40</v>
      </c>
      <c r="J1584">
        <f t="shared" si="162"/>
        <v>8.7305397321246279</v>
      </c>
      <c r="K1584">
        <f t="shared" si="163"/>
        <v>9292.9734969082201</v>
      </c>
    </row>
    <row r="1585" spans="1:11" x14ac:dyDescent="0.35">
      <c r="A1585" s="1">
        <v>40513</v>
      </c>
      <c r="B1585" t="s">
        <v>18</v>
      </c>
      <c r="C1585" t="s">
        <v>40</v>
      </c>
      <c r="D1585">
        <v>694440</v>
      </c>
      <c r="E1585">
        <v>250290</v>
      </c>
      <c r="F1585">
        <f t="shared" si="155"/>
        <v>0.36041990668740281</v>
      </c>
      <c r="G1585">
        <f t="shared" si="161"/>
        <v>147.10538491446346</v>
      </c>
      <c r="H1585">
        <v>3559.3555555555554</v>
      </c>
      <c r="I1585" t="s">
        <v>40</v>
      </c>
      <c r="J1585">
        <f t="shared" si="162"/>
        <v>8.7207045340084655</v>
      </c>
      <c r="K1585">
        <f t="shared" si="163"/>
        <v>9292.9734969082201</v>
      </c>
    </row>
    <row r="1586" spans="1:11" x14ac:dyDescent="0.35">
      <c r="A1586" s="1">
        <v>40544</v>
      </c>
      <c r="B1586" t="s">
        <v>2</v>
      </c>
      <c r="C1586" t="s">
        <v>38</v>
      </c>
      <c r="D1586">
        <v>70085</v>
      </c>
      <c r="E1586">
        <v>196212</v>
      </c>
      <c r="F1586">
        <f t="shared" si="155"/>
        <v>2.7996290219019762</v>
      </c>
      <c r="G1586">
        <f>F1586*45.36</f>
        <v>126.99117243347364</v>
      </c>
      <c r="H1586">
        <v>1840.835</v>
      </c>
      <c r="I1586" t="s">
        <v>59</v>
      </c>
      <c r="J1586">
        <f>H1586/110</f>
        <v>16.734863636363638</v>
      </c>
      <c r="K1586">
        <v>7569</v>
      </c>
    </row>
    <row r="1587" spans="1:11" x14ac:dyDescent="0.35">
      <c r="A1587" s="1">
        <v>40575</v>
      </c>
      <c r="B1587" t="s">
        <v>2</v>
      </c>
      <c r="C1587" t="s">
        <v>38</v>
      </c>
      <c r="D1587">
        <v>7231</v>
      </c>
      <c r="E1587">
        <v>18255</v>
      </c>
      <c r="F1587">
        <f t="shared" si="155"/>
        <v>2.5245470889226937</v>
      </c>
      <c r="G1587">
        <f t="shared" ref="G1587:G1650" si="164">F1587*45.36</f>
        <v>114.51345595353338</v>
      </c>
      <c r="H1587">
        <v>1175</v>
      </c>
      <c r="I1587" t="s">
        <v>59</v>
      </c>
      <c r="J1587">
        <f t="shared" ref="J1587:J1597" si="165">H1587/110</f>
        <v>10.681818181818182</v>
      </c>
      <c r="K1587">
        <v>7569</v>
      </c>
    </row>
    <row r="1588" spans="1:11" x14ac:dyDescent="0.35">
      <c r="A1588" s="1">
        <v>40603</v>
      </c>
      <c r="B1588" t="s">
        <v>2</v>
      </c>
      <c r="C1588" t="s">
        <v>38</v>
      </c>
      <c r="D1588">
        <v>5095</v>
      </c>
      <c r="E1588">
        <v>19111</v>
      </c>
      <c r="F1588">
        <f t="shared" si="155"/>
        <v>3.7509322865554466</v>
      </c>
      <c r="G1588">
        <f t="shared" si="164"/>
        <v>170.14228851815506</v>
      </c>
      <c r="H1588">
        <v>1800</v>
      </c>
      <c r="I1588" t="s">
        <v>59</v>
      </c>
      <c r="J1588">
        <f t="shared" si="165"/>
        <v>16.363636363636363</v>
      </c>
      <c r="K1588">
        <v>7569</v>
      </c>
    </row>
    <row r="1589" spans="1:11" x14ac:dyDescent="0.35">
      <c r="A1589" s="1">
        <v>40634</v>
      </c>
      <c r="B1589" t="s">
        <v>2</v>
      </c>
      <c r="C1589" t="s">
        <v>38</v>
      </c>
      <c r="D1589">
        <v>139719</v>
      </c>
      <c r="E1589">
        <v>647357</v>
      </c>
      <c r="F1589">
        <f t="shared" si="155"/>
        <v>4.6332782227184559</v>
      </c>
      <c r="G1589">
        <f t="shared" si="164"/>
        <v>210.16550018250916</v>
      </c>
      <c r="H1589">
        <v>1916.6666666666667</v>
      </c>
      <c r="I1589" t="s">
        <v>59</v>
      </c>
      <c r="J1589">
        <f t="shared" si="165"/>
        <v>17.424242424242426</v>
      </c>
      <c r="K1589">
        <v>7569</v>
      </c>
    </row>
    <row r="1590" spans="1:11" x14ac:dyDescent="0.35">
      <c r="A1590" s="1">
        <v>40664</v>
      </c>
      <c r="B1590" t="s">
        <v>2</v>
      </c>
      <c r="C1590" t="s">
        <v>38</v>
      </c>
      <c r="D1590">
        <v>558778</v>
      </c>
      <c r="E1590">
        <v>2551300</v>
      </c>
      <c r="F1590">
        <f t="shared" si="155"/>
        <v>4.5658562076531286</v>
      </c>
      <c r="G1590">
        <f t="shared" si="164"/>
        <v>207.1072375791459</v>
      </c>
      <c r="H1590">
        <v>1777.0833333333333</v>
      </c>
      <c r="I1590" t="s">
        <v>59</v>
      </c>
      <c r="J1590">
        <f t="shared" si="165"/>
        <v>16.155303030303031</v>
      </c>
      <c r="K1590">
        <v>7569</v>
      </c>
    </row>
    <row r="1591" spans="1:11" x14ac:dyDescent="0.35">
      <c r="A1591" s="1">
        <v>40695</v>
      </c>
      <c r="B1591" t="s">
        <v>2</v>
      </c>
      <c r="C1591" t="s">
        <v>38</v>
      </c>
      <c r="D1591">
        <v>341452</v>
      </c>
      <c r="E1591">
        <v>1767242</v>
      </c>
      <c r="F1591">
        <f t="shared" si="155"/>
        <v>5.1756674437402621</v>
      </c>
      <c r="G1591">
        <f t="shared" si="164"/>
        <v>234.76827524805827</v>
      </c>
      <c r="H1591">
        <v>1851.4575</v>
      </c>
      <c r="I1591" t="s">
        <v>59</v>
      </c>
      <c r="J1591">
        <f t="shared" si="165"/>
        <v>16.831431818181819</v>
      </c>
      <c r="K1591">
        <v>7569</v>
      </c>
    </row>
    <row r="1592" spans="1:11" x14ac:dyDescent="0.35">
      <c r="A1592" s="1">
        <v>40725</v>
      </c>
      <c r="B1592" t="s">
        <v>2</v>
      </c>
      <c r="C1592" t="s">
        <v>38</v>
      </c>
      <c r="D1592">
        <v>231532</v>
      </c>
      <c r="E1592">
        <v>1218316</v>
      </c>
      <c r="F1592">
        <f t="shared" si="155"/>
        <v>5.2619767461949101</v>
      </c>
      <c r="G1592">
        <f t="shared" si="164"/>
        <v>238.68326520740112</v>
      </c>
      <c r="H1592">
        <v>1592.5258333333334</v>
      </c>
      <c r="I1592" t="s">
        <v>59</v>
      </c>
      <c r="J1592">
        <f t="shared" si="165"/>
        <v>14.477507575757576</v>
      </c>
      <c r="K1592">
        <v>7569</v>
      </c>
    </row>
    <row r="1593" spans="1:11" x14ac:dyDescent="0.35">
      <c r="A1593" s="1">
        <v>40756</v>
      </c>
      <c r="B1593" t="s">
        <v>2</v>
      </c>
      <c r="C1593" t="s">
        <v>38</v>
      </c>
      <c r="D1593">
        <v>65234</v>
      </c>
      <c r="E1593">
        <v>282592</v>
      </c>
      <c r="F1593">
        <f t="shared" si="155"/>
        <v>4.331974123923108</v>
      </c>
      <c r="G1593">
        <f t="shared" si="164"/>
        <v>196.49834626115216</v>
      </c>
      <c r="H1593">
        <v>1632.6348333333333</v>
      </c>
      <c r="I1593" t="s">
        <v>59</v>
      </c>
      <c r="J1593">
        <f t="shared" si="165"/>
        <v>14.842134848484848</v>
      </c>
      <c r="K1593">
        <v>7569</v>
      </c>
    </row>
    <row r="1594" spans="1:11" x14ac:dyDescent="0.35">
      <c r="A1594" s="1">
        <v>40787</v>
      </c>
      <c r="B1594" t="s">
        <v>2</v>
      </c>
      <c r="C1594" t="s">
        <v>38</v>
      </c>
      <c r="D1594">
        <v>188255</v>
      </c>
      <c r="E1594">
        <v>847292</v>
      </c>
      <c r="F1594">
        <f t="shared" si="155"/>
        <v>4.5007675758943986</v>
      </c>
      <c r="G1594">
        <f t="shared" si="164"/>
        <v>204.15481724256992</v>
      </c>
      <c r="H1594">
        <v>1772.65625</v>
      </c>
      <c r="I1594" t="s">
        <v>59</v>
      </c>
      <c r="J1594">
        <f t="shared" si="165"/>
        <v>16.115056818181817</v>
      </c>
      <c r="K1594">
        <v>7569</v>
      </c>
    </row>
    <row r="1595" spans="1:11" x14ac:dyDescent="0.35">
      <c r="A1595" s="1">
        <v>40817</v>
      </c>
      <c r="B1595" t="s">
        <v>2</v>
      </c>
      <c r="C1595" t="s">
        <v>38</v>
      </c>
      <c r="D1595">
        <v>448124</v>
      </c>
      <c r="E1595">
        <v>1988009</v>
      </c>
      <c r="F1595">
        <f t="shared" si="155"/>
        <v>4.4362921869839598</v>
      </c>
      <c r="G1595">
        <f t="shared" si="164"/>
        <v>201.23021360159242</v>
      </c>
      <c r="H1595">
        <v>1585.23</v>
      </c>
      <c r="I1595" t="s">
        <v>59</v>
      </c>
      <c r="J1595">
        <f t="shared" si="165"/>
        <v>14.411181818181818</v>
      </c>
      <c r="K1595">
        <v>7569</v>
      </c>
    </row>
    <row r="1596" spans="1:11" x14ac:dyDescent="0.35">
      <c r="A1596" s="1">
        <v>40848</v>
      </c>
      <c r="B1596" t="s">
        <v>2</v>
      </c>
      <c r="C1596" t="s">
        <v>38</v>
      </c>
      <c r="D1596">
        <v>513017</v>
      </c>
      <c r="E1596">
        <v>1868598</v>
      </c>
      <c r="F1596">
        <f t="shared" si="155"/>
        <v>3.6423705257330652</v>
      </c>
      <c r="G1596">
        <f t="shared" si="164"/>
        <v>165.21792704725183</v>
      </c>
      <c r="H1596">
        <v>1639.585</v>
      </c>
      <c r="I1596" t="s">
        <v>59</v>
      </c>
      <c r="J1596">
        <f t="shared" si="165"/>
        <v>14.905318181818183</v>
      </c>
      <c r="K1596">
        <v>7569</v>
      </c>
    </row>
    <row r="1597" spans="1:11" x14ac:dyDescent="0.35">
      <c r="A1597" s="1">
        <v>40878</v>
      </c>
      <c r="B1597" t="s">
        <v>2</v>
      </c>
      <c r="C1597" t="s">
        <v>38</v>
      </c>
      <c r="D1597">
        <v>209809</v>
      </c>
      <c r="E1597">
        <v>746266</v>
      </c>
      <c r="F1597">
        <f t="shared" si="155"/>
        <v>3.5568826885405298</v>
      </c>
      <c r="G1597">
        <f t="shared" si="164"/>
        <v>161.34019875219843</v>
      </c>
      <c r="H1597">
        <v>1689</v>
      </c>
      <c r="I1597" t="s">
        <v>59</v>
      </c>
      <c r="J1597">
        <f t="shared" si="165"/>
        <v>15.354545454545455</v>
      </c>
      <c r="K1597">
        <v>7569</v>
      </c>
    </row>
    <row r="1598" spans="1:11" x14ac:dyDescent="0.35">
      <c r="A1598" s="1">
        <v>40544</v>
      </c>
      <c r="B1598" t="s">
        <v>5</v>
      </c>
      <c r="C1598" t="s">
        <v>38</v>
      </c>
      <c r="D1598">
        <v>29758</v>
      </c>
      <c r="E1598">
        <v>49623</v>
      </c>
      <c r="F1598">
        <f t="shared" si="155"/>
        <v>1.667551582767659</v>
      </c>
      <c r="G1598">
        <f t="shared" si="164"/>
        <v>75.64013979434101</v>
      </c>
      <c r="H1598">
        <v>552.50369999999998</v>
      </c>
      <c r="I1598" t="s">
        <v>38</v>
      </c>
      <c r="J1598">
        <f>H1598/45.36</f>
        <v>12.180416666666666</v>
      </c>
      <c r="K1598">
        <v>2249.6320342848003</v>
      </c>
    </row>
    <row r="1599" spans="1:11" x14ac:dyDescent="0.35">
      <c r="A1599" s="1">
        <v>40575</v>
      </c>
      <c r="B1599" t="s">
        <v>5</v>
      </c>
      <c r="C1599" t="s">
        <v>38</v>
      </c>
      <c r="D1599">
        <v>29767</v>
      </c>
      <c r="E1599">
        <v>72080</v>
      </c>
      <c r="F1599">
        <f t="shared" si="155"/>
        <v>2.4214734437464305</v>
      </c>
      <c r="G1599">
        <f t="shared" si="164"/>
        <v>109.83803540833809</v>
      </c>
      <c r="H1599">
        <v>576.10361249999994</v>
      </c>
      <c r="I1599" t="s">
        <v>38</v>
      </c>
      <c r="J1599">
        <f t="shared" ref="J1599:J1662" si="166">H1599/45.36</f>
        <v>12.700696924603173</v>
      </c>
      <c r="K1599">
        <v>2249.6320342848003</v>
      </c>
    </row>
    <row r="1600" spans="1:11" x14ac:dyDescent="0.35">
      <c r="A1600" s="1">
        <v>40603</v>
      </c>
      <c r="B1600" t="s">
        <v>5</v>
      </c>
      <c r="C1600" t="s">
        <v>38</v>
      </c>
      <c r="D1600">
        <v>14294</v>
      </c>
      <c r="E1600">
        <v>32143</v>
      </c>
      <c r="F1600">
        <f t="shared" si="155"/>
        <v>2.2487057506646146</v>
      </c>
      <c r="G1600">
        <f t="shared" si="164"/>
        <v>102.00129285014692</v>
      </c>
      <c r="H1600">
        <v>619.96500000000003</v>
      </c>
      <c r="I1600" t="s">
        <v>38</v>
      </c>
      <c r="J1600">
        <f t="shared" si="166"/>
        <v>13.667658730158731</v>
      </c>
      <c r="K1600">
        <v>2249.6320342848003</v>
      </c>
    </row>
    <row r="1601" spans="1:11" x14ac:dyDescent="0.35">
      <c r="A1601" s="1">
        <v>40634</v>
      </c>
      <c r="B1601" t="s">
        <v>5</v>
      </c>
      <c r="C1601" t="s">
        <v>38</v>
      </c>
      <c r="D1601">
        <v>31820</v>
      </c>
      <c r="E1601">
        <v>83029</v>
      </c>
      <c r="F1601">
        <f t="shared" si="155"/>
        <v>2.6093337523570082</v>
      </c>
      <c r="G1601">
        <f t="shared" si="164"/>
        <v>118.35937900691388</v>
      </c>
      <c r="H1601">
        <v>695.83333333333326</v>
      </c>
      <c r="I1601" t="s">
        <v>38</v>
      </c>
      <c r="J1601">
        <f t="shared" si="166"/>
        <v>15.340241034685478</v>
      </c>
      <c r="K1601">
        <v>2249.6320342848003</v>
      </c>
    </row>
    <row r="1602" spans="1:11" x14ac:dyDescent="0.35">
      <c r="A1602" s="1">
        <v>40664</v>
      </c>
      <c r="B1602" t="s">
        <v>5</v>
      </c>
      <c r="C1602" t="s">
        <v>38</v>
      </c>
      <c r="D1602">
        <v>26300</v>
      </c>
      <c r="E1602">
        <v>72300</v>
      </c>
      <c r="F1602">
        <f t="shared" si="155"/>
        <v>2.7490494296577945</v>
      </c>
      <c r="G1602">
        <f t="shared" si="164"/>
        <v>124.69688212927755</v>
      </c>
      <c r="H1602">
        <v>702.68111111111102</v>
      </c>
      <c r="I1602" t="s">
        <v>38</v>
      </c>
      <c r="J1602">
        <f t="shared" si="166"/>
        <v>15.491206153243189</v>
      </c>
      <c r="K1602">
        <v>2249.6320342848003</v>
      </c>
    </row>
    <row r="1603" spans="1:11" x14ac:dyDescent="0.35">
      <c r="A1603" s="1">
        <v>40695</v>
      </c>
      <c r="B1603" t="s">
        <v>5</v>
      </c>
      <c r="C1603" t="s">
        <v>38</v>
      </c>
      <c r="D1603">
        <v>12087</v>
      </c>
      <c r="E1603">
        <v>40152</v>
      </c>
      <c r="F1603">
        <f t="shared" si="155"/>
        <v>3.3219161082154383</v>
      </c>
      <c r="G1603">
        <f t="shared" si="164"/>
        <v>150.68211466865228</v>
      </c>
      <c r="H1603">
        <v>640.03946666666661</v>
      </c>
      <c r="I1603" t="s">
        <v>38</v>
      </c>
      <c r="J1603">
        <f t="shared" si="166"/>
        <v>14.110217519106406</v>
      </c>
      <c r="K1603">
        <v>2249.6320342848003</v>
      </c>
    </row>
    <row r="1604" spans="1:11" x14ac:dyDescent="0.35">
      <c r="A1604" s="1">
        <v>40725</v>
      </c>
      <c r="B1604" t="s">
        <v>5</v>
      </c>
      <c r="C1604" t="s">
        <v>38</v>
      </c>
      <c r="D1604">
        <v>20944</v>
      </c>
      <c r="E1604">
        <v>49628</v>
      </c>
      <c r="F1604">
        <f t="shared" si="155"/>
        <v>2.3695569136745607</v>
      </c>
      <c r="G1604">
        <f t="shared" si="164"/>
        <v>107.48310160427808</v>
      </c>
      <c r="H1604">
        <v>739.6</v>
      </c>
      <c r="I1604" t="s">
        <v>38</v>
      </c>
      <c r="J1604">
        <f t="shared" si="166"/>
        <v>16.305114638447971</v>
      </c>
      <c r="K1604">
        <v>2249.6320342848003</v>
      </c>
    </row>
    <row r="1605" spans="1:11" x14ac:dyDescent="0.35">
      <c r="A1605" s="1">
        <v>40756</v>
      </c>
      <c r="B1605" t="s">
        <v>5</v>
      </c>
      <c r="C1605" t="s">
        <v>38</v>
      </c>
      <c r="D1605">
        <v>37685</v>
      </c>
      <c r="E1605">
        <v>94659</v>
      </c>
      <c r="F1605">
        <f t="shared" si="155"/>
        <v>2.5118482154703461</v>
      </c>
      <c r="G1605">
        <f t="shared" si="164"/>
        <v>113.9374350537349</v>
      </c>
      <c r="H1605">
        <v>604.21866666666676</v>
      </c>
      <c r="I1605" t="s">
        <v>38</v>
      </c>
      <c r="J1605">
        <f t="shared" si="166"/>
        <v>13.320517342739567</v>
      </c>
      <c r="K1605">
        <v>2249.6320342848003</v>
      </c>
    </row>
    <row r="1606" spans="1:11" x14ac:dyDescent="0.35">
      <c r="A1606" s="1">
        <v>40787</v>
      </c>
      <c r="B1606" t="s">
        <v>5</v>
      </c>
      <c r="C1606" t="s">
        <v>38</v>
      </c>
      <c r="D1606">
        <v>54321</v>
      </c>
      <c r="E1606">
        <v>105321</v>
      </c>
      <c r="F1606">
        <f t="shared" si="155"/>
        <v>1.9388634229855857</v>
      </c>
      <c r="G1606">
        <f t="shared" si="164"/>
        <v>87.946844866626165</v>
      </c>
      <c r="H1606">
        <v>552.94598333333329</v>
      </c>
      <c r="I1606" t="s">
        <v>38</v>
      </c>
      <c r="J1606">
        <f t="shared" si="166"/>
        <v>12.190167181069958</v>
      </c>
      <c r="K1606">
        <v>2249.6320342848003</v>
      </c>
    </row>
    <row r="1607" spans="1:11" x14ac:dyDescent="0.35">
      <c r="A1607" s="1">
        <v>40817</v>
      </c>
      <c r="B1607" t="s">
        <v>5</v>
      </c>
      <c r="C1607" t="s">
        <v>38</v>
      </c>
      <c r="D1607">
        <v>33960.333333333336</v>
      </c>
      <c r="E1607">
        <v>71306</v>
      </c>
      <c r="F1607">
        <f t="shared" si="155"/>
        <v>2.0996849265319342</v>
      </c>
      <c r="G1607">
        <f t="shared" si="164"/>
        <v>95.241708267488534</v>
      </c>
      <c r="H1607">
        <v>610.27890000000002</v>
      </c>
      <c r="I1607" t="s">
        <v>38</v>
      </c>
      <c r="J1607">
        <f t="shared" si="166"/>
        <v>13.45412037037037</v>
      </c>
      <c r="K1607">
        <v>2249.6320342848003</v>
      </c>
    </row>
    <row r="1608" spans="1:11" x14ac:dyDescent="0.35">
      <c r="A1608" s="1">
        <v>40848</v>
      </c>
      <c r="B1608" t="s">
        <v>5</v>
      </c>
      <c r="C1608" t="s">
        <v>38</v>
      </c>
      <c r="D1608">
        <v>30754</v>
      </c>
      <c r="E1608">
        <v>64413</v>
      </c>
      <c r="F1608">
        <f t="shared" si="155"/>
        <v>2.0944592573323795</v>
      </c>
      <c r="G1608">
        <f t="shared" si="164"/>
        <v>95.004671912596734</v>
      </c>
      <c r="H1608">
        <v>655.41599999999994</v>
      </c>
      <c r="I1608" t="s">
        <v>38</v>
      </c>
      <c r="J1608">
        <f t="shared" si="166"/>
        <v>14.449206349206348</v>
      </c>
      <c r="K1608">
        <v>2249.6320342848003</v>
      </c>
    </row>
    <row r="1609" spans="1:11" x14ac:dyDescent="0.35">
      <c r="A1609" s="1">
        <v>40878</v>
      </c>
      <c r="B1609" t="s">
        <v>5</v>
      </c>
      <c r="C1609" t="s">
        <v>38</v>
      </c>
      <c r="D1609">
        <v>25445</v>
      </c>
      <c r="E1609">
        <v>46457</v>
      </c>
      <c r="F1609">
        <f t="shared" si="155"/>
        <v>1.8257810964826096</v>
      </c>
      <c r="G1609">
        <f t="shared" si="164"/>
        <v>82.81743053645117</v>
      </c>
      <c r="H1609">
        <v>696.66666666666663</v>
      </c>
      <c r="I1609" t="s">
        <v>38</v>
      </c>
      <c r="J1609">
        <f t="shared" si="166"/>
        <v>15.358612580834803</v>
      </c>
      <c r="K1609">
        <v>2249.6320342848003</v>
      </c>
    </row>
    <row r="1610" spans="1:11" x14ac:dyDescent="0.35">
      <c r="A1610" s="1">
        <v>40544</v>
      </c>
      <c r="B1610" t="s">
        <v>7</v>
      </c>
      <c r="C1610" t="s">
        <v>38</v>
      </c>
      <c r="D1610">
        <v>7236</v>
      </c>
      <c r="E1610">
        <v>90099</v>
      </c>
      <c r="F1610">
        <f t="shared" si="155"/>
        <v>12.451492537313433</v>
      </c>
      <c r="G1610">
        <f t="shared" si="164"/>
        <v>564.79970149253734</v>
      </c>
      <c r="H1610">
        <v>444.74200000000002</v>
      </c>
      <c r="I1610" t="s">
        <v>38</v>
      </c>
      <c r="J1610">
        <f t="shared" si="166"/>
        <v>9.8047178130511465</v>
      </c>
      <c r="K1610">
        <v>4921.4416007500004</v>
      </c>
    </row>
    <row r="1611" spans="1:11" x14ac:dyDescent="0.35">
      <c r="A1611" s="1">
        <v>40575</v>
      </c>
      <c r="B1611" t="s">
        <v>7</v>
      </c>
      <c r="C1611" t="s">
        <v>38</v>
      </c>
      <c r="D1611">
        <v>8954</v>
      </c>
      <c r="E1611">
        <v>98782</v>
      </c>
      <c r="F1611">
        <f t="shared" si="155"/>
        <v>11.032164395800759</v>
      </c>
      <c r="G1611">
        <f t="shared" si="164"/>
        <v>500.41897699352245</v>
      </c>
      <c r="H1611">
        <v>476.75</v>
      </c>
      <c r="I1611" t="s">
        <v>38</v>
      </c>
      <c r="J1611">
        <f t="shared" si="166"/>
        <v>10.510361552028218</v>
      </c>
      <c r="K1611">
        <v>4921.4416007500004</v>
      </c>
    </row>
    <row r="1612" spans="1:11" x14ac:dyDescent="0.35">
      <c r="A1612" s="1">
        <v>40603</v>
      </c>
      <c r="B1612" t="s">
        <v>7</v>
      </c>
      <c r="C1612" t="s">
        <v>38</v>
      </c>
      <c r="D1612">
        <v>9164</v>
      </c>
      <c r="E1612">
        <v>106841</v>
      </c>
      <c r="F1612">
        <f t="shared" si="155"/>
        <v>11.658773461370581</v>
      </c>
      <c r="G1612">
        <f t="shared" si="164"/>
        <v>528.84196420776959</v>
      </c>
      <c r="H1612">
        <v>541.04250000000002</v>
      </c>
      <c r="I1612" t="s">
        <v>38</v>
      </c>
      <c r="J1612">
        <f t="shared" si="166"/>
        <v>11.927744708994709</v>
      </c>
      <c r="K1612">
        <v>4921.4416007500004</v>
      </c>
    </row>
    <row r="1613" spans="1:11" x14ac:dyDescent="0.35">
      <c r="A1613" s="1">
        <v>40634</v>
      </c>
      <c r="B1613" t="s">
        <v>7</v>
      </c>
      <c r="C1613" t="s">
        <v>38</v>
      </c>
      <c r="D1613">
        <v>7848</v>
      </c>
      <c r="E1613">
        <v>67944</v>
      </c>
      <c r="F1613">
        <f t="shared" si="155"/>
        <v>8.6574923547400608</v>
      </c>
      <c r="G1613">
        <f t="shared" si="164"/>
        <v>392.70385321100918</v>
      </c>
      <c r="H1613">
        <v>479.296875</v>
      </c>
      <c r="I1613" t="s">
        <v>38</v>
      </c>
      <c r="J1613">
        <f t="shared" si="166"/>
        <v>10.56650958994709</v>
      </c>
      <c r="K1613">
        <v>4921.4416007500004</v>
      </c>
    </row>
    <row r="1614" spans="1:11" x14ac:dyDescent="0.35">
      <c r="A1614" s="1">
        <v>40664</v>
      </c>
      <c r="B1614" t="s">
        <v>7</v>
      </c>
      <c r="C1614" t="s">
        <v>38</v>
      </c>
      <c r="D1614">
        <v>8124</v>
      </c>
      <c r="E1614">
        <v>93214</v>
      </c>
      <c r="F1614">
        <f t="shared" ref="F1614:F1620" si="167">E1614/D1614</f>
        <v>11.473904480551452</v>
      </c>
      <c r="G1614">
        <f t="shared" si="164"/>
        <v>520.4563072378138</v>
      </c>
      <c r="H1614">
        <v>396.41916000000003</v>
      </c>
      <c r="I1614" t="s">
        <v>38</v>
      </c>
      <c r="J1614">
        <f t="shared" si="166"/>
        <v>8.7393994708994711</v>
      </c>
      <c r="K1614">
        <v>4921.4416007500004</v>
      </c>
    </row>
    <row r="1615" spans="1:11" x14ac:dyDescent="0.35">
      <c r="A1615" s="1">
        <v>40695</v>
      </c>
      <c r="B1615" t="s">
        <v>7</v>
      </c>
      <c r="C1615" t="s">
        <v>38</v>
      </c>
      <c r="D1615">
        <v>8698</v>
      </c>
      <c r="E1615">
        <v>98456</v>
      </c>
      <c r="F1615">
        <f t="shared" si="167"/>
        <v>11.319383766383076</v>
      </c>
      <c r="G1615">
        <f t="shared" si="164"/>
        <v>513.44724764313628</v>
      </c>
      <c r="H1615">
        <v>481.65000000000003</v>
      </c>
      <c r="I1615" t="s">
        <v>38</v>
      </c>
      <c r="J1615">
        <f t="shared" si="166"/>
        <v>10.618386243386244</v>
      </c>
      <c r="K1615">
        <v>4921.4416007500004</v>
      </c>
    </row>
    <row r="1616" spans="1:11" x14ac:dyDescent="0.35">
      <c r="A1616" s="1">
        <v>40725</v>
      </c>
      <c r="B1616" t="s">
        <v>7</v>
      </c>
      <c r="C1616" t="s">
        <v>38</v>
      </c>
      <c r="D1616">
        <v>4917</v>
      </c>
      <c r="E1616">
        <v>51738</v>
      </c>
      <c r="F1616">
        <f t="shared" si="167"/>
        <v>10.522269676632092</v>
      </c>
      <c r="G1616">
        <f t="shared" si="164"/>
        <v>477.2901525320317</v>
      </c>
      <c r="H1616">
        <v>661.45749999999998</v>
      </c>
      <c r="I1616" t="s">
        <v>38</v>
      </c>
      <c r="J1616">
        <f t="shared" si="166"/>
        <v>14.582396384479718</v>
      </c>
      <c r="K1616">
        <v>4921.4416007500004</v>
      </c>
    </row>
    <row r="1617" spans="1:11" x14ac:dyDescent="0.35">
      <c r="A1617" s="1">
        <v>40756</v>
      </c>
      <c r="B1617" t="s">
        <v>7</v>
      </c>
      <c r="C1617" t="s">
        <v>38</v>
      </c>
      <c r="D1617">
        <v>6592</v>
      </c>
      <c r="E1617">
        <v>84069</v>
      </c>
      <c r="F1617">
        <f t="shared" si="167"/>
        <v>12.753185679611651</v>
      </c>
      <c r="G1617">
        <f t="shared" si="164"/>
        <v>578.48450242718445</v>
      </c>
      <c r="H1617">
        <v>360.095775</v>
      </c>
      <c r="I1617" t="s">
        <v>38</v>
      </c>
      <c r="J1617">
        <f t="shared" si="166"/>
        <v>7.9386193783068784</v>
      </c>
      <c r="K1617">
        <v>4921.4416007500004</v>
      </c>
    </row>
    <row r="1618" spans="1:11" x14ac:dyDescent="0.35">
      <c r="A1618" s="1">
        <v>40787</v>
      </c>
      <c r="B1618" t="s">
        <v>7</v>
      </c>
      <c r="C1618" t="s">
        <v>38</v>
      </c>
      <c r="D1618">
        <v>6147</v>
      </c>
      <c r="E1618">
        <v>74328</v>
      </c>
      <c r="F1618">
        <f t="shared" si="167"/>
        <v>12.091752074182528</v>
      </c>
      <c r="G1618">
        <f t="shared" si="164"/>
        <v>548.48187408491947</v>
      </c>
      <c r="H1618">
        <v>413.65625</v>
      </c>
      <c r="I1618" t="s">
        <v>38</v>
      </c>
      <c r="J1618">
        <f t="shared" si="166"/>
        <v>9.1194058641975317</v>
      </c>
      <c r="K1618">
        <v>4921.4416007500004</v>
      </c>
    </row>
    <row r="1619" spans="1:11" x14ac:dyDescent="0.35">
      <c r="A1619" s="1">
        <v>40817</v>
      </c>
      <c r="B1619" t="s">
        <v>7</v>
      </c>
      <c r="C1619" t="s">
        <v>38</v>
      </c>
      <c r="D1619">
        <v>8088.333333333333</v>
      </c>
      <c r="E1619">
        <v>91913</v>
      </c>
      <c r="F1619">
        <f t="shared" si="167"/>
        <v>11.363651349680611</v>
      </c>
      <c r="G1619">
        <f t="shared" si="164"/>
        <v>515.45522522151248</v>
      </c>
      <c r="H1619">
        <v>352.5</v>
      </c>
      <c r="I1619" t="s">
        <v>38</v>
      </c>
      <c r="J1619">
        <f t="shared" si="166"/>
        <v>7.7711640211640214</v>
      </c>
      <c r="K1619">
        <v>4921.4416007500004</v>
      </c>
    </row>
    <row r="1620" spans="1:11" x14ac:dyDescent="0.35">
      <c r="A1620" s="1">
        <v>40848</v>
      </c>
      <c r="B1620" t="s">
        <v>7</v>
      </c>
      <c r="C1620" t="s">
        <v>38</v>
      </c>
      <c r="D1620">
        <v>8089</v>
      </c>
      <c r="E1620">
        <v>95641</v>
      </c>
      <c r="F1620">
        <f t="shared" si="167"/>
        <v>11.823587588082582</v>
      </c>
      <c r="G1620">
        <f t="shared" si="164"/>
        <v>536.31793299542585</v>
      </c>
      <c r="H1620">
        <v>201.82499999999999</v>
      </c>
      <c r="I1620" t="s">
        <v>38</v>
      </c>
      <c r="J1620">
        <f t="shared" si="166"/>
        <v>4.4494047619047619</v>
      </c>
      <c r="K1620">
        <v>4921.4416007500004</v>
      </c>
    </row>
    <row r="1621" spans="1:11" x14ac:dyDescent="0.35">
      <c r="A1621" s="1">
        <v>40878</v>
      </c>
      <c r="B1621" t="s">
        <v>7</v>
      </c>
      <c r="C1621" t="s">
        <v>38</v>
      </c>
      <c r="D1621">
        <v>7518</v>
      </c>
      <c r="E1621">
        <v>72041</v>
      </c>
      <c r="F1621">
        <f>E1621/D1621</f>
        <v>9.5824687416866183</v>
      </c>
      <c r="G1621">
        <f t="shared" si="164"/>
        <v>434.660782122905</v>
      </c>
      <c r="H1621">
        <v>170.65277777777774</v>
      </c>
      <c r="I1621" t="s">
        <v>38</v>
      </c>
      <c r="J1621">
        <f t="shared" si="166"/>
        <v>3.7621864589457177</v>
      </c>
      <c r="K1621">
        <v>4921.4416007500004</v>
      </c>
    </row>
    <row r="1622" spans="1:11" x14ac:dyDescent="0.35">
      <c r="A1622" s="1">
        <v>40544</v>
      </c>
      <c r="B1622" t="s">
        <v>8</v>
      </c>
      <c r="C1622" t="s">
        <v>38</v>
      </c>
      <c r="D1622">
        <v>7100</v>
      </c>
      <c r="E1622">
        <v>76001</v>
      </c>
      <c r="F1622">
        <f t="shared" ref="F1622:F1668" si="168">E1622/D1622</f>
        <v>10.704366197183099</v>
      </c>
      <c r="G1622">
        <f t="shared" si="164"/>
        <v>485.55005070422533</v>
      </c>
      <c r="H1622">
        <v>1019.15</v>
      </c>
      <c r="I1622" t="s">
        <v>38</v>
      </c>
      <c r="J1622">
        <f t="shared" si="166"/>
        <v>22.468033509700177</v>
      </c>
      <c r="K1622">
        <v>8263.3527360768003</v>
      </c>
    </row>
    <row r="1623" spans="1:11" x14ac:dyDescent="0.35">
      <c r="A1623" s="1">
        <v>40575</v>
      </c>
      <c r="B1623" t="s">
        <v>8</v>
      </c>
      <c r="C1623" t="s">
        <v>38</v>
      </c>
      <c r="D1623">
        <v>10641</v>
      </c>
      <c r="E1623">
        <v>83964</v>
      </c>
      <c r="F1623">
        <f t="shared" si="168"/>
        <v>7.8906117846067101</v>
      </c>
      <c r="G1623">
        <f t="shared" si="164"/>
        <v>357.91815054976036</v>
      </c>
      <c r="H1623">
        <v>1047.2</v>
      </c>
      <c r="I1623" t="s">
        <v>38</v>
      </c>
      <c r="J1623">
        <f t="shared" si="166"/>
        <v>23.086419753086421</v>
      </c>
      <c r="K1623">
        <v>8263.3527360768003</v>
      </c>
    </row>
    <row r="1624" spans="1:11" x14ac:dyDescent="0.35">
      <c r="A1624" s="1">
        <v>40603</v>
      </c>
      <c r="B1624" t="s">
        <v>8</v>
      </c>
      <c r="C1624" t="s">
        <v>38</v>
      </c>
      <c r="D1624">
        <v>7978</v>
      </c>
      <c r="E1624">
        <v>83878</v>
      </c>
      <c r="F1624">
        <f t="shared" si="168"/>
        <v>10.513662572073201</v>
      </c>
      <c r="G1624">
        <f t="shared" si="164"/>
        <v>476.89973426924041</v>
      </c>
      <c r="H1624">
        <v>1188.5</v>
      </c>
      <c r="I1624" t="s">
        <v>38</v>
      </c>
      <c r="J1624">
        <f t="shared" si="166"/>
        <v>26.201499118165785</v>
      </c>
      <c r="K1624">
        <v>8263.3527360768003</v>
      </c>
    </row>
    <row r="1625" spans="1:11" x14ac:dyDescent="0.35">
      <c r="A1625" s="1">
        <v>40634</v>
      </c>
      <c r="B1625" t="s">
        <v>8</v>
      </c>
      <c r="C1625" t="s">
        <v>38</v>
      </c>
      <c r="D1625">
        <v>5571</v>
      </c>
      <c r="E1625">
        <v>53666</v>
      </c>
      <c r="F1625">
        <f t="shared" si="168"/>
        <v>9.6330999820499006</v>
      </c>
      <c r="G1625">
        <f t="shared" si="164"/>
        <v>436.95741518578347</v>
      </c>
      <c r="H1625">
        <v>1039.125</v>
      </c>
      <c r="I1625" t="s">
        <v>38</v>
      </c>
      <c r="J1625">
        <f t="shared" si="166"/>
        <v>22.908399470899472</v>
      </c>
      <c r="K1625">
        <v>8263.3527360768003</v>
      </c>
    </row>
    <row r="1626" spans="1:11" x14ac:dyDescent="0.35">
      <c r="A1626" s="1">
        <v>40664</v>
      </c>
      <c r="B1626" t="s">
        <v>8</v>
      </c>
      <c r="C1626" t="s">
        <v>38</v>
      </c>
      <c r="D1626">
        <v>6612</v>
      </c>
      <c r="E1626">
        <v>65625</v>
      </c>
      <c r="F1626">
        <f t="shared" si="168"/>
        <v>9.9251361161524496</v>
      </c>
      <c r="G1626">
        <f t="shared" si="164"/>
        <v>450.20417422867513</v>
      </c>
      <c r="H1626">
        <v>1118.8599999999999</v>
      </c>
      <c r="I1626" t="s">
        <v>38</v>
      </c>
      <c r="J1626">
        <f t="shared" si="166"/>
        <v>24.666225749559082</v>
      </c>
      <c r="K1626">
        <v>8263.3527360768003</v>
      </c>
    </row>
    <row r="1627" spans="1:11" x14ac:dyDescent="0.35">
      <c r="A1627" s="1">
        <v>40695</v>
      </c>
      <c r="B1627" t="s">
        <v>8</v>
      </c>
      <c r="C1627" t="s">
        <v>38</v>
      </c>
      <c r="D1627">
        <v>4698</v>
      </c>
      <c r="E1627">
        <v>41025</v>
      </c>
      <c r="F1627">
        <f t="shared" si="168"/>
        <v>8.7324393358876122</v>
      </c>
      <c r="G1627">
        <f t="shared" si="164"/>
        <v>396.10344827586209</v>
      </c>
      <c r="H1627">
        <v>1119.875</v>
      </c>
      <c r="I1627" t="s">
        <v>38</v>
      </c>
      <c r="J1627">
        <f t="shared" si="166"/>
        <v>24.688602292768959</v>
      </c>
      <c r="K1627">
        <v>8263.3527360768003</v>
      </c>
    </row>
    <row r="1628" spans="1:11" x14ac:dyDescent="0.35">
      <c r="A1628" s="1">
        <v>40725</v>
      </c>
      <c r="B1628" t="s">
        <v>8</v>
      </c>
      <c r="C1628" t="s">
        <v>38</v>
      </c>
      <c r="D1628">
        <v>2939</v>
      </c>
      <c r="E1628">
        <v>25783</v>
      </c>
      <c r="F1628">
        <f t="shared" si="168"/>
        <v>8.7727118067369858</v>
      </c>
      <c r="G1628">
        <f t="shared" si="164"/>
        <v>397.9302075535897</v>
      </c>
      <c r="H1628">
        <v>1297.6666666666667</v>
      </c>
      <c r="I1628" t="s">
        <v>38</v>
      </c>
      <c r="J1628">
        <f t="shared" si="166"/>
        <v>28.608171663727223</v>
      </c>
      <c r="K1628">
        <v>8263.3527360768003</v>
      </c>
    </row>
    <row r="1629" spans="1:11" x14ac:dyDescent="0.35">
      <c r="A1629" s="1">
        <v>40756</v>
      </c>
      <c r="B1629" t="s">
        <v>8</v>
      </c>
      <c r="C1629" t="s">
        <v>38</v>
      </c>
      <c r="D1629">
        <v>2268</v>
      </c>
      <c r="E1629">
        <v>23115</v>
      </c>
      <c r="F1629">
        <f t="shared" si="168"/>
        <v>10.191798941798941</v>
      </c>
      <c r="G1629">
        <f t="shared" si="164"/>
        <v>462.29999999999995</v>
      </c>
      <c r="H1629">
        <v>1144.6099999999999</v>
      </c>
      <c r="I1629" t="s">
        <v>38</v>
      </c>
      <c r="J1629">
        <f t="shared" si="166"/>
        <v>25.23390652557319</v>
      </c>
      <c r="K1629">
        <v>8263.3527360768003</v>
      </c>
    </row>
    <row r="1630" spans="1:11" x14ac:dyDescent="0.35">
      <c r="A1630" s="1">
        <v>40787</v>
      </c>
      <c r="B1630" t="s">
        <v>8</v>
      </c>
      <c r="C1630" t="s">
        <v>38</v>
      </c>
      <c r="D1630">
        <v>3088</v>
      </c>
      <c r="E1630">
        <v>27175</v>
      </c>
      <c r="F1630">
        <f t="shared" si="168"/>
        <v>8.8001943005181342</v>
      </c>
      <c r="G1630">
        <f t="shared" si="164"/>
        <v>399.17681347150256</v>
      </c>
      <c r="H1630">
        <v>1053.734375</v>
      </c>
      <c r="I1630" t="s">
        <v>38</v>
      </c>
      <c r="J1630">
        <f t="shared" si="166"/>
        <v>23.230475639329807</v>
      </c>
      <c r="K1630">
        <v>8263.3527360768003</v>
      </c>
    </row>
    <row r="1631" spans="1:11" x14ac:dyDescent="0.35">
      <c r="A1631" s="1">
        <v>40817</v>
      </c>
      <c r="B1631" t="s">
        <v>8</v>
      </c>
      <c r="C1631" t="s">
        <v>38</v>
      </c>
      <c r="D1631">
        <v>5533</v>
      </c>
      <c r="E1631">
        <v>54464</v>
      </c>
      <c r="F1631">
        <f t="shared" si="168"/>
        <v>9.8434845472618839</v>
      </c>
      <c r="G1631">
        <f t="shared" si="164"/>
        <v>446.50045906379904</v>
      </c>
      <c r="H1631">
        <v>1005</v>
      </c>
      <c r="I1631" t="s">
        <v>38</v>
      </c>
      <c r="J1631">
        <f t="shared" si="166"/>
        <v>22.156084656084655</v>
      </c>
      <c r="K1631">
        <v>8263.3527360768003</v>
      </c>
    </row>
    <row r="1632" spans="1:11" x14ac:dyDescent="0.35">
      <c r="A1632" s="1">
        <v>40848</v>
      </c>
      <c r="B1632" t="s">
        <v>8</v>
      </c>
      <c r="C1632" t="s">
        <v>38</v>
      </c>
      <c r="D1632">
        <v>6001</v>
      </c>
      <c r="E1632">
        <v>45100</v>
      </c>
      <c r="F1632">
        <f t="shared" si="168"/>
        <v>7.5154140976503916</v>
      </c>
      <c r="G1632">
        <f t="shared" si="164"/>
        <v>340.89918346942176</v>
      </c>
      <c r="H1632">
        <v>1113.75</v>
      </c>
      <c r="I1632" t="s">
        <v>38</v>
      </c>
      <c r="J1632">
        <f t="shared" si="166"/>
        <v>24.553571428571431</v>
      </c>
      <c r="K1632">
        <v>8263.3527360768003</v>
      </c>
    </row>
    <row r="1633" spans="1:11" x14ac:dyDescent="0.35">
      <c r="A1633" s="1">
        <v>40878</v>
      </c>
      <c r="B1633" t="s">
        <v>8</v>
      </c>
      <c r="C1633" t="s">
        <v>38</v>
      </c>
      <c r="D1633">
        <v>4354</v>
      </c>
      <c r="E1633">
        <v>41819</v>
      </c>
      <c r="F1633">
        <f t="shared" si="168"/>
        <v>9.6047312815801558</v>
      </c>
      <c r="G1633">
        <f t="shared" si="164"/>
        <v>435.67061093247588</v>
      </c>
      <c r="H1633">
        <v>1077.9166666666667</v>
      </c>
      <c r="I1633" t="s">
        <v>38</v>
      </c>
      <c r="J1633">
        <f t="shared" si="166"/>
        <v>23.763594944150501</v>
      </c>
      <c r="K1633">
        <v>8263.3527360768003</v>
      </c>
    </row>
    <row r="1634" spans="1:11" x14ac:dyDescent="0.35">
      <c r="A1634" s="1">
        <v>40544</v>
      </c>
      <c r="B1634" t="s">
        <v>9</v>
      </c>
      <c r="C1634" t="s">
        <v>38</v>
      </c>
      <c r="D1634">
        <v>2938</v>
      </c>
      <c r="E1634">
        <v>125730</v>
      </c>
      <c r="F1634">
        <f t="shared" si="168"/>
        <v>42.794417971409125</v>
      </c>
      <c r="G1634">
        <f t="shared" si="164"/>
        <v>1941.1547991831178</v>
      </c>
      <c r="H1634">
        <v>1008</v>
      </c>
      <c r="I1634" t="s">
        <v>38</v>
      </c>
      <c r="J1634">
        <f t="shared" si="166"/>
        <v>22.222222222222221</v>
      </c>
      <c r="K1634" s="3">
        <v>22831.198995686034</v>
      </c>
    </row>
    <row r="1635" spans="1:11" x14ac:dyDescent="0.35">
      <c r="A1635" s="1">
        <v>40575</v>
      </c>
      <c r="B1635" t="s">
        <v>9</v>
      </c>
      <c r="C1635" t="s">
        <v>38</v>
      </c>
      <c r="D1635">
        <v>3842</v>
      </c>
      <c r="E1635">
        <v>137889</v>
      </c>
      <c r="F1635">
        <f t="shared" si="168"/>
        <v>35.889901093180633</v>
      </c>
      <c r="G1635">
        <f t="shared" si="164"/>
        <v>1627.9659135866734</v>
      </c>
      <c r="H1635">
        <v>1035</v>
      </c>
      <c r="I1635" t="s">
        <v>38</v>
      </c>
      <c r="J1635">
        <f t="shared" si="166"/>
        <v>22.817460317460316</v>
      </c>
      <c r="K1635" s="3">
        <v>22831.198995686034</v>
      </c>
    </row>
    <row r="1636" spans="1:11" x14ac:dyDescent="0.35">
      <c r="A1636" s="1">
        <v>40603</v>
      </c>
      <c r="B1636" t="s">
        <v>9</v>
      </c>
      <c r="C1636" t="s">
        <v>38</v>
      </c>
      <c r="D1636">
        <v>2528</v>
      </c>
      <c r="E1636">
        <v>75998</v>
      </c>
      <c r="F1636">
        <f t="shared" si="168"/>
        <v>30.0625</v>
      </c>
      <c r="G1636">
        <f t="shared" si="164"/>
        <v>1363.635</v>
      </c>
      <c r="H1636">
        <v>911.25</v>
      </c>
      <c r="I1636" t="s">
        <v>38</v>
      </c>
      <c r="J1636">
        <f t="shared" si="166"/>
        <v>20.089285714285715</v>
      </c>
      <c r="K1636" s="3">
        <v>22831.198995686034</v>
      </c>
    </row>
    <row r="1637" spans="1:11" x14ac:dyDescent="0.35">
      <c r="A1637" s="1">
        <v>40634</v>
      </c>
      <c r="B1637" t="s">
        <v>9</v>
      </c>
      <c r="C1637" t="s">
        <v>38</v>
      </c>
      <c r="D1637">
        <v>4745</v>
      </c>
      <c r="E1637">
        <v>119524</v>
      </c>
      <c r="F1637">
        <f t="shared" si="168"/>
        <v>25.189462592202318</v>
      </c>
      <c r="G1637">
        <f t="shared" si="164"/>
        <v>1142.5940231822972</v>
      </c>
      <c r="H1637">
        <v>987.5</v>
      </c>
      <c r="I1637" t="s">
        <v>38</v>
      </c>
      <c r="J1637">
        <f t="shared" si="166"/>
        <v>21.770282186948855</v>
      </c>
      <c r="K1637" s="3">
        <v>22831.198995686034</v>
      </c>
    </row>
    <row r="1638" spans="1:11" x14ac:dyDescent="0.35">
      <c r="A1638" s="1">
        <v>40664</v>
      </c>
      <c r="B1638" t="s">
        <v>9</v>
      </c>
      <c r="C1638" t="s">
        <v>38</v>
      </c>
      <c r="D1638">
        <v>3257</v>
      </c>
      <c r="E1638">
        <v>92925</v>
      </c>
      <c r="F1638">
        <f t="shared" si="168"/>
        <v>28.530856616518268</v>
      </c>
      <c r="G1638">
        <f t="shared" si="164"/>
        <v>1294.1596561252686</v>
      </c>
      <c r="H1638">
        <v>735.3</v>
      </c>
      <c r="I1638" t="s">
        <v>38</v>
      </c>
      <c r="J1638">
        <f t="shared" si="166"/>
        <v>16.210317460317459</v>
      </c>
      <c r="K1638" s="3">
        <v>22831.198995686034</v>
      </c>
    </row>
    <row r="1639" spans="1:11" x14ac:dyDescent="0.35">
      <c r="A1639" s="1">
        <v>40695</v>
      </c>
      <c r="B1639" t="s">
        <v>9</v>
      </c>
      <c r="C1639" t="s">
        <v>38</v>
      </c>
      <c r="D1639">
        <v>2878</v>
      </c>
      <c r="E1639">
        <v>81025</v>
      </c>
      <c r="F1639">
        <f t="shared" si="168"/>
        <v>28.153231410701878</v>
      </c>
      <c r="G1639">
        <f t="shared" si="164"/>
        <v>1277.0305767894372</v>
      </c>
      <c r="H1639">
        <v>862.5</v>
      </c>
      <c r="I1639" t="s">
        <v>38</v>
      </c>
      <c r="J1639">
        <f t="shared" si="166"/>
        <v>19.014550264550266</v>
      </c>
      <c r="K1639" s="3">
        <v>22831.198995686034</v>
      </c>
    </row>
    <row r="1640" spans="1:11" x14ac:dyDescent="0.35">
      <c r="A1640" s="1">
        <v>40725</v>
      </c>
      <c r="B1640" t="s">
        <v>9</v>
      </c>
      <c r="C1640" t="s">
        <v>38</v>
      </c>
      <c r="D1640">
        <v>2219</v>
      </c>
      <c r="E1640">
        <v>74170</v>
      </c>
      <c r="F1640">
        <f t="shared" si="168"/>
        <v>33.424966200991435</v>
      </c>
      <c r="G1640">
        <f t="shared" si="164"/>
        <v>1516.1564668769715</v>
      </c>
      <c r="H1640">
        <v>850</v>
      </c>
      <c r="I1640" t="s">
        <v>38</v>
      </c>
      <c r="J1640">
        <f t="shared" si="166"/>
        <v>18.738977072310405</v>
      </c>
      <c r="K1640" s="3">
        <v>22831.198995686034</v>
      </c>
    </row>
    <row r="1641" spans="1:11" x14ac:dyDescent="0.35">
      <c r="A1641" s="1">
        <v>40756</v>
      </c>
      <c r="B1641" t="s">
        <v>9</v>
      </c>
      <c r="C1641" t="s">
        <v>38</v>
      </c>
      <c r="D1641">
        <v>2543</v>
      </c>
      <c r="E1641">
        <v>94845</v>
      </c>
      <c r="F1641">
        <f t="shared" si="168"/>
        <v>37.296500196618169</v>
      </c>
      <c r="G1641">
        <f t="shared" si="164"/>
        <v>1691.7692489186002</v>
      </c>
      <c r="H1641">
        <v>720</v>
      </c>
      <c r="I1641" t="s">
        <v>38</v>
      </c>
      <c r="J1641">
        <f t="shared" si="166"/>
        <v>15.873015873015873</v>
      </c>
      <c r="K1641" s="3">
        <v>22831.198995686034</v>
      </c>
    </row>
    <row r="1642" spans="1:11" x14ac:dyDescent="0.35">
      <c r="A1642" s="1">
        <v>40787</v>
      </c>
      <c r="B1642" t="s">
        <v>9</v>
      </c>
      <c r="C1642" t="s">
        <v>38</v>
      </c>
      <c r="D1642">
        <v>2269</v>
      </c>
      <c r="E1642">
        <v>81491</v>
      </c>
      <c r="F1642">
        <f t="shared" si="168"/>
        <v>35.914940502423974</v>
      </c>
      <c r="G1642">
        <f t="shared" si="164"/>
        <v>1629.1017011899514</v>
      </c>
      <c r="H1642">
        <v>787.5</v>
      </c>
      <c r="I1642" t="s">
        <v>38</v>
      </c>
      <c r="J1642">
        <f t="shared" si="166"/>
        <v>17.361111111111111</v>
      </c>
      <c r="K1642" s="3">
        <v>22831.198995686034</v>
      </c>
    </row>
    <row r="1643" spans="1:11" x14ac:dyDescent="0.35">
      <c r="A1643" s="1">
        <v>40817</v>
      </c>
      <c r="B1643" t="s">
        <v>9</v>
      </c>
      <c r="C1643" t="s">
        <v>38</v>
      </c>
      <c r="D1643">
        <v>2682.3333333333335</v>
      </c>
      <c r="E1643">
        <v>91172</v>
      </c>
      <c r="F1643">
        <f t="shared" si="168"/>
        <v>33.989809867031191</v>
      </c>
      <c r="G1643">
        <f t="shared" si="164"/>
        <v>1541.7777755685347</v>
      </c>
      <c r="H1643">
        <v>694.16525000000001</v>
      </c>
      <c r="I1643" t="s">
        <v>38</v>
      </c>
      <c r="J1643">
        <f t="shared" si="166"/>
        <v>15.303466710758379</v>
      </c>
      <c r="K1643" s="3">
        <v>22831.198995686034</v>
      </c>
    </row>
    <row r="1644" spans="1:11" x14ac:dyDescent="0.35">
      <c r="A1644" s="1">
        <v>40848</v>
      </c>
      <c r="B1644" t="s">
        <v>9</v>
      </c>
      <c r="C1644" t="s">
        <v>38</v>
      </c>
      <c r="D1644">
        <v>3615</v>
      </c>
      <c r="E1644">
        <v>117950</v>
      </c>
      <c r="F1644">
        <f t="shared" si="168"/>
        <v>32.627939142461962</v>
      </c>
      <c r="G1644">
        <f t="shared" si="164"/>
        <v>1480.0033195020746</v>
      </c>
      <c r="H1644">
        <v>814.58500000000004</v>
      </c>
      <c r="I1644" t="s">
        <v>38</v>
      </c>
      <c r="J1644">
        <f t="shared" si="166"/>
        <v>17.95822310405644</v>
      </c>
      <c r="K1644" s="3">
        <v>22831.198995686034</v>
      </c>
    </row>
    <row r="1645" spans="1:11" x14ac:dyDescent="0.35">
      <c r="A1645" s="1">
        <v>40878</v>
      </c>
      <c r="B1645" t="s">
        <v>9</v>
      </c>
      <c r="C1645" t="s">
        <v>38</v>
      </c>
      <c r="D1645">
        <v>2541</v>
      </c>
      <c r="E1645">
        <v>88212</v>
      </c>
      <c r="F1645">
        <f t="shared" si="168"/>
        <v>34.715466351829988</v>
      </c>
      <c r="G1645">
        <f t="shared" si="164"/>
        <v>1574.6935537190082</v>
      </c>
      <c r="H1645">
        <v>754.37512500000003</v>
      </c>
      <c r="I1645" t="s">
        <v>38</v>
      </c>
      <c r="J1645">
        <f t="shared" si="166"/>
        <v>16.630844907407408</v>
      </c>
      <c r="K1645" s="3">
        <v>22831.198995686034</v>
      </c>
    </row>
    <row r="1646" spans="1:11" x14ac:dyDescent="0.35">
      <c r="A1646" s="1">
        <v>40544</v>
      </c>
      <c r="B1646" t="s">
        <v>10</v>
      </c>
      <c r="C1646" t="s">
        <v>38</v>
      </c>
      <c r="D1646">
        <v>7592</v>
      </c>
      <c r="E1646">
        <v>41359</v>
      </c>
      <c r="F1646">
        <f t="shared" si="168"/>
        <v>5.447708113804004</v>
      </c>
      <c r="G1646">
        <f t="shared" si="164"/>
        <v>247.10804004214961</v>
      </c>
      <c r="H1646">
        <v>1260.1666666666667</v>
      </c>
      <c r="I1646" t="s">
        <v>38</v>
      </c>
      <c r="J1646">
        <f t="shared" si="166"/>
        <v>27.781452087007644</v>
      </c>
      <c r="K1646">
        <v>6908.3833517736002</v>
      </c>
    </row>
    <row r="1647" spans="1:11" x14ac:dyDescent="0.35">
      <c r="A1647" s="1">
        <v>40575</v>
      </c>
      <c r="B1647" t="s">
        <v>10</v>
      </c>
      <c r="C1647" t="s">
        <v>38</v>
      </c>
      <c r="D1647">
        <v>7619</v>
      </c>
      <c r="E1647">
        <v>64970</v>
      </c>
      <c r="F1647">
        <f t="shared" si="168"/>
        <v>8.527365796036225</v>
      </c>
      <c r="G1647">
        <f t="shared" si="164"/>
        <v>386.80131250820318</v>
      </c>
      <c r="H1647">
        <v>1183.3333333333333</v>
      </c>
      <c r="I1647" t="s">
        <v>38</v>
      </c>
      <c r="J1647">
        <f t="shared" si="166"/>
        <v>26.087595532039977</v>
      </c>
      <c r="K1647">
        <v>6908.3833517736002</v>
      </c>
    </row>
    <row r="1648" spans="1:11" x14ac:dyDescent="0.35">
      <c r="A1648" s="1">
        <v>40603</v>
      </c>
      <c r="B1648" t="s">
        <v>10</v>
      </c>
      <c r="C1648" t="s">
        <v>38</v>
      </c>
      <c r="D1648">
        <v>7719</v>
      </c>
      <c r="E1648">
        <v>67236</v>
      </c>
      <c r="F1648">
        <f t="shared" si="168"/>
        <v>8.7104547221142639</v>
      </c>
      <c r="G1648">
        <f t="shared" si="164"/>
        <v>395.10622619510298</v>
      </c>
      <c r="H1648">
        <v>1115.325</v>
      </c>
      <c r="I1648" t="s">
        <v>38</v>
      </c>
      <c r="J1648">
        <f t="shared" si="166"/>
        <v>24.588293650793652</v>
      </c>
      <c r="K1648">
        <v>6908.3833517736002</v>
      </c>
    </row>
    <row r="1649" spans="1:11" x14ac:dyDescent="0.35">
      <c r="A1649" s="1">
        <v>40634</v>
      </c>
      <c r="B1649" t="s">
        <v>10</v>
      </c>
      <c r="C1649" t="s">
        <v>38</v>
      </c>
      <c r="D1649">
        <v>6955</v>
      </c>
      <c r="E1649">
        <v>62164</v>
      </c>
      <c r="F1649">
        <f t="shared" si="168"/>
        <v>8.9380301941049609</v>
      </c>
      <c r="G1649">
        <f t="shared" si="164"/>
        <v>405.429049604601</v>
      </c>
      <c r="H1649">
        <v>1086.57</v>
      </c>
      <c r="I1649" t="s">
        <v>38</v>
      </c>
      <c r="J1649">
        <f t="shared" si="166"/>
        <v>23.954365079365079</v>
      </c>
      <c r="K1649">
        <v>6908.3833517736002</v>
      </c>
    </row>
    <row r="1650" spans="1:11" x14ac:dyDescent="0.35">
      <c r="A1650" s="1">
        <v>40664</v>
      </c>
      <c r="B1650" t="s">
        <v>10</v>
      </c>
      <c r="C1650" t="s">
        <v>38</v>
      </c>
      <c r="D1650">
        <v>6532</v>
      </c>
      <c r="E1650">
        <v>107911</v>
      </c>
      <c r="F1650">
        <f t="shared" si="168"/>
        <v>16.520361298224127</v>
      </c>
      <c r="G1650">
        <f t="shared" si="164"/>
        <v>749.36358848744646</v>
      </c>
      <c r="H1650">
        <v>1120.3005000000001</v>
      </c>
      <c r="I1650" t="s">
        <v>38</v>
      </c>
      <c r="J1650">
        <f t="shared" si="166"/>
        <v>24.697982804232804</v>
      </c>
      <c r="K1650">
        <v>6908.3833517736002</v>
      </c>
    </row>
    <row r="1651" spans="1:11" x14ac:dyDescent="0.35">
      <c r="A1651" s="1">
        <v>40695</v>
      </c>
      <c r="B1651" t="s">
        <v>10</v>
      </c>
      <c r="C1651" t="s">
        <v>38</v>
      </c>
      <c r="D1651">
        <v>7601</v>
      </c>
      <c r="E1651">
        <v>61100</v>
      </c>
      <c r="F1651">
        <f t="shared" si="168"/>
        <v>8.0384159978950134</v>
      </c>
      <c r="G1651">
        <f t="shared" ref="G1651:G1693" si="169">F1651*45.36</f>
        <v>364.62254966451781</v>
      </c>
      <c r="H1651">
        <v>1137.1875</v>
      </c>
      <c r="I1651" t="s">
        <v>38</v>
      </c>
      <c r="J1651">
        <f t="shared" si="166"/>
        <v>25.070271164021165</v>
      </c>
      <c r="K1651">
        <v>6908.3833517736002</v>
      </c>
    </row>
    <row r="1652" spans="1:11" x14ac:dyDescent="0.35">
      <c r="A1652" s="1">
        <v>40725</v>
      </c>
      <c r="B1652" t="s">
        <v>10</v>
      </c>
      <c r="C1652" t="s">
        <v>38</v>
      </c>
      <c r="D1652">
        <v>4870</v>
      </c>
      <c r="E1652">
        <v>44112</v>
      </c>
      <c r="F1652">
        <f t="shared" si="168"/>
        <v>9.0579055441478431</v>
      </c>
      <c r="G1652">
        <f t="shared" si="169"/>
        <v>410.86659548254613</v>
      </c>
      <c r="H1652">
        <v>1203.5250000000001</v>
      </c>
      <c r="I1652" t="s">
        <v>38</v>
      </c>
      <c r="J1652">
        <f t="shared" si="166"/>
        <v>26.532738095238098</v>
      </c>
      <c r="K1652">
        <v>6908.3833517736002</v>
      </c>
    </row>
    <row r="1653" spans="1:11" x14ac:dyDescent="0.35">
      <c r="A1653" s="1">
        <v>40756</v>
      </c>
      <c r="B1653" t="s">
        <v>10</v>
      </c>
      <c r="C1653" t="s">
        <v>38</v>
      </c>
      <c r="D1653">
        <v>4235</v>
      </c>
      <c r="E1653">
        <v>39020</v>
      </c>
      <c r="F1653">
        <f t="shared" si="168"/>
        <v>9.213695395513577</v>
      </c>
      <c r="G1653">
        <f t="shared" si="169"/>
        <v>417.93322314049584</v>
      </c>
      <c r="H1653">
        <v>1263.5</v>
      </c>
      <c r="I1653" t="s">
        <v>38</v>
      </c>
      <c r="J1653">
        <f t="shared" si="166"/>
        <v>27.85493827160494</v>
      </c>
      <c r="K1653">
        <v>6908.3833517736002</v>
      </c>
    </row>
    <row r="1654" spans="1:11" x14ac:dyDescent="0.35">
      <c r="A1654" s="1">
        <v>40787</v>
      </c>
      <c r="B1654" t="s">
        <v>10</v>
      </c>
      <c r="C1654" t="s">
        <v>38</v>
      </c>
      <c r="D1654">
        <v>4381</v>
      </c>
      <c r="E1654">
        <v>40166</v>
      </c>
      <c r="F1654">
        <f t="shared" si="168"/>
        <v>9.1682264323213882</v>
      </c>
      <c r="G1654">
        <f t="shared" si="169"/>
        <v>415.87075097009819</v>
      </c>
      <c r="H1654">
        <v>1281.5</v>
      </c>
      <c r="I1654" t="s">
        <v>38</v>
      </c>
      <c r="J1654">
        <f t="shared" si="166"/>
        <v>28.251763668430335</v>
      </c>
      <c r="K1654">
        <v>6908.3833517736002</v>
      </c>
    </row>
    <row r="1655" spans="1:11" x14ac:dyDescent="0.35">
      <c r="A1655" s="1">
        <v>40817</v>
      </c>
      <c r="B1655" t="s">
        <v>10</v>
      </c>
      <c r="C1655" t="s">
        <v>38</v>
      </c>
      <c r="D1655">
        <v>4986.666666666667</v>
      </c>
      <c r="E1655">
        <v>58056</v>
      </c>
      <c r="F1655">
        <f t="shared" si="168"/>
        <v>11.642245989304811</v>
      </c>
      <c r="G1655">
        <f t="shared" si="169"/>
        <v>528.09227807486627</v>
      </c>
      <c r="H1655">
        <v>1218.2216666666666</v>
      </c>
      <c r="I1655" t="s">
        <v>38</v>
      </c>
      <c r="J1655">
        <f t="shared" si="166"/>
        <v>26.856738683127571</v>
      </c>
      <c r="K1655">
        <v>6908.3833517736002</v>
      </c>
    </row>
    <row r="1656" spans="1:11" x14ac:dyDescent="0.35">
      <c r="A1656" s="1">
        <v>40848</v>
      </c>
      <c r="B1656" t="s">
        <v>10</v>
      </c>
      <c r="C1656" t="s">
        <v>38</v>
      </c>
      <c r="D1656">
        <v>6100</v>
      </c>
      <c r="E1656">
        <v>58210</v>
      </c>
      <c r="F1656">
        <f t="shared" si="168"/>
        <v>9.5426229508196716</v>
      </c>
      <c r="G1656">
        <f t="shared" si="169"/>
        <v>432.85337704918032</v>
      </c>
      <c r="H1656">
        <v>1268.25</v>
      </c>
      <c r="I1656" t="s">
        <v>38</v>
      </c>
      <c r="J1656">
        <f t="shared" si="166"/>
        <v>27.959656084656086</v>
      </c>
      <c r="K1656">
        <v>6908.3833517736002</v>
      </c>
    </row>
    <row r="1657" spans="1:11" x14ac:dyDescent="0.35">
      <c r="A1657" s="1">
        <v>40878</v>
      </c>
      <c r="B1657" t="s">
        <v>10</v>
      </c>
      <c r="C1657" t="s">
        <v>38</v>
      </c>
      <c r="D1657">
        <v>11547</v>
      </c>
      <c r="E1657">
        <v>81413</v>
      </c>
      <c r="F1657">
        <f t="shared" si="168"/>
        <v>7.0505759071620338</v>
      </c>
      <c r="G1657">
        <f t="shared" si="169"/>
        <v>319.81412314886984</v>
      </c>
      <c r="H1657">
        <v>1053.6666666666665</v>
      </c>
      <c r="I1657" t="s">
        <v>38</v>
      </c>
      <c r="J1657">
        <f t="shared" si="166"/>
        <v>23.228982951205172</v>
      </c>
      <c r="K1657">
        <v>6908.3833517736002</v>
      </c>
    </row>
    <row r="1658" spans="1:11" x14ac:dyDescent="0.35">
      <c r="A1658" s="1">
        <v>40544</v>
      </c>
      <c r="B1658" t="s">
        <v>11</v>
      </c>
      <c r="C1658" t="s">
        <v>38</v>
      </c>
      <c r="D1658">
        <v>36780</v>
      </c>
      <c r="E1658">
        <v>335899</v>
      </c>
      <c r="F1658">
        <f t="shared" si="168"/>
        <v>9.1326536160957037</v>
      </c>
      <c r="G1658">
        <f t="shared" si="169"/>
        <v>414.25716802610111</v>
      </c>
      <c r="H1658">
        <v>363.31494000000009</v>
      </c>
      <c r="I1658" t="s">
        <v>38</v>
      </c>
      <c r="J1658">
        <f t="shared" si="166"/>
        <v>8.0095886243386261</v>
      </c>
      <c r="K1658">
        <v>4283.9889411321165</v>
      </c>
    </row>
    <row r="1659" spans="1:11" x14ac:dyDescent="0.35">
      <c r="A1659" s="1">
        <v>40575</v>
      </c>
      <c r="B1659" t="s">
        <v>11</v>
      </c>
      <c r="C1659" t="s">
        <v>38</v>
      </c>
      <c r="D1659">
        <v>68412</v>
      </c>
      <c r="E1659">
        <v>515160</v>
      </c>
      <c r="F1659">
        <f t="shared" si="168"/>
        <v>7.5302578495000878</v>
      </c>
      <c r="G1659">
        <f t="shared" si="169"/>
        <v>341.57249605332396</v>
      </c>
      <c r="H1659">
        <v>369.75</v>
      </c>
      <c r="I1659" t="s">
        <v>38</v>
      </c>
      <c r="J1659">
        <f t="shared" si="166"/>
        <v>8.151455026455027</v>
      </c>
      <c r="K1659">
        <v>4283.9889411321165</v>
      </c>
    </row>
    <row r="1660" spans="1:11" x14ac:dyDescent="0.35">
      <c r="A1660" s="1">
        <v>40603</v>
      </c>
      <c r="B1660" t="s">
        <v>11</v>
      </c>
      <c r="C1660" t="s">
        <v>38</v>
      </c>
      <c r="D1660">
        <v>26508</v>
      </c>
      <c r="E1660">
        <v>269801</v>
      </c>
      <c r="F1660">
        <f t="shared" si="168"/>
        <v>10.178097178210352</v>
      </c>
      <c r="G1660">
        <f t="shared" si="169"/>
        <v>461.67848800362157</v>
      </c>
      <c r="H1660">
        <v>421.113</v>
      </c>
      <c r="I1660" t="s">
        <v>38</v>
      </c>
      <c r="J1660">
        <f t="shared" si="166"/>
        <v>9.2837962962962965</v>
      </c>
      <c r="K1660">
        <v>4283.9889411321165</v>
      </c>
    </row>
    <row r="1661" spans="1:11" x14ac:dyDescent="0.35">
      <c r="A1661" s="1">
        <v>40634</v>
      </c>
      <c r="B1661" t="s">
        <v>11</v>
      </c>
      <c r="C1661" t="s">
        <v>38</v>
      </c>
      <c r="D1661">
        <v>23206</v>
      </c>
      <c r="E1661">
        <v>262478</v>
      </c>
      <c r="F1661">
        <f t="shared" si="168"/>
        <v>11.310781694389382</v>
      </c>
      <c r="G1661">
        <f t="shared" si="169"/>
        <v>513.05705765750236</v>
      </c>
      <c r="H1661">
        <v>801.59142857142865</v>
      </c>
      <c r="I1661" t="s">
        <v>38</v>
      </c>
      <c r="J1661">
        <f t="shared" si="166"/>
        <v>17.671768707482997</v>
      </c>
      <c r="K1661">
        <v>4283.9889411321165</v>
      </c>
    </row>
    <row r="1662" spans="1:11" x14ac:dyDescent="0.35">
      <c r="A1662" s="1">
        <v>40664</v>
      </c>
      <c r="B1662" t="s">
        <v>11</v>
      </c>
      <c r="C1662" t="s">
        <v>38</v>
      </c>
      <c r="D1662">
        <v>27488</v>
      </c>
      <c r="E1662">
        <v>495222</v>
      </c>
      <c r="F1662">
        <f t="shared" si="168"/>
        <v>18.015934225844006</v>
      </c>
      <c r="G1662">
        <f t="shared" si="169"/>
        <v>817.20277648428407</v>
      </c>
      <c r="H1662">
        <v>793.6123</v>
      </c>
      <c r="I1662" t="s">
        <v>38</v>
      </c>
      <c r="J1662">
        <f t="shared" si="166"/>
        <v>17.495861992945326</v>
      </c>
      <c r="K1662">
        <v>4283.9889411321165</v>
      </c>
    </row>
    <row r="1663" spans="1:11" x14ac:dyDescent="0.35">
      <c r="A1663" s="1">
        <v>40695</v>
      </c>
      <c r="B1663" t="s">
        <v>11</v>
      </c>
      <c r="C1663" t="s">
        <v>38</v>
      </c>
      <c r="D1663">
        <v>25398</v>
      </c>
      <c r="E1663">
        <v>275300</v>
      </c>
      <c r="F1663">
        <f t="shared" si="168"/>
        <v>10.839436176076857</v>
      </c>
      <c r="G1663">
        <f t="shared" si="169"/>
        <v>491.67682494684624</v>
      </c>
      <c r="H1663">
        <v>493.96</v>
      </c>
      <c r="I1663" t="s">
        <v>38</v>
      </c>
      <c r="J1663">
        <f t="shared" ref="J1663:J1694" si="170">H1663/45.36</f>
        <v>10.889770723104055</v>
      </c>
      <c r="K1663">
        <v>4283.9889411321165</v>
      </c>
    </row>
    <row r="1664" spans="1:11" x14ac:dyDescent="0.35">
      <c r="A1664" s="1">
        <v>40725</v>
      </c>
      <c r="B1664" t="s">
        <v>11</v>
      </c>
      <c r="C1664" t="s">
        <v>38</v>
      </c>
      <c r="D1664">
        <v>23689</v>
      </c>
      <c r="E1664">
        <v>259654</v>
      </c>
      <c r="F1664">
        <f t="shared" si="168"/>
        <v>10.960952340748872</v>
      </c>
      <c r="G1664">
        <f t="shared" si="169"/>
        <v>497.18879817636883</v>
      </c>
      <c r="H1664">
        <v>802.4</v>
      </c>
      <c r="I1664" t="s">
        <v>38</v>
      </c>
      <c r="J1664">
        <f t="shared" si="170"/>
        <v>17.689594356261022</v>
      </c>
      <c r="K1664">
        <v>4283.9889411321165</v>
      </c>
    </row>
    <row r="1665" spans="1:11" x14ac:dyDescent="0.35">
      <c r="A1665" s="1">
        <v>40756</v>
      </c>
      <c r="B1665" t="s">
        <v>11</v>
      </c>
      <c r="C1665" t="s">
        <v>38</v>
      </c>
      <c r="D1665">
        <v>21735</v>
      </c>
      <c r="E1665">
        <v>265321</v>
      </c>
      <c r="F1665">
        <f t="shared" si="168"/>
        <v>12.207085346215781</v>
      </c>
      <c r="G1665">
        <f t="shared" si="169"/>
        <v>553.71339130434785</v>
      </c>
      <c r="H1665">
        <v>718.08879999999999</v>
      </c>
      <c r="I1665" t="s">
        <v>38</v>
      </c>
      <c r="J1665">
        <f t="shared" si="170"/>
        <v>15.830881834215168</v>
      </c>
      <c r="K1665">
        <v>4283.9889411321165</v>
      </c>
    </row>
    <row r="1666" spans="1:11" x14ac:dyDescent="0.35">
      <c r="A1666" s="1">
        <v>40787</v>
      </c>
      <c r="B1666" t="s">
        <v>11</v>
      </c>
      <c r="C1666" t="s">
        <v>38</v>
      </c>
      <c r="D1666">
        <v>21918</v>
      </c>
      <c r="E1666">
        <v>286627</v>
      </c>
      <c r="F1666">
        <f t="shared" si="168"/>
        <v>13.077242449128571</v>
      </c>
      <c r="G1666">
        <f t="shared" si="169"/>
        <v>593.18371749247194</v>
      </c>
      <c r="H1666">
        <v>669.73454444444428</v>
      </c>
      <c r="I1666" t="s">
        <v>38</v>
      </c>
      <c r="J1666">
        <f t="shared" si="170"/>
        <v>14.764870909269055</v>
      </c>
      <c r="K1666">
        <v>4283.9889411321165</v>
      </c>
    </row>
    <row r="1667" spans="1:11" x14ac:dyDescent="0.35">
      <c r="A1667" s="1">
        <v>40817</v>
      </c>
      <c r="B1667" t="s">
        <v>11</v>
      </c>
      <c r="C1667" t="s">
        <v>38</v>
      </c>
      <c r="D1667">
        <v>26784.333333333332</v>
      </c>
      <c r="E1667">
        <v>293305</v>
      </c>
      <c r="F1667">
        <f t="shared" si="168"/>
        <v>10.950617898522768</v>
      </c>
      <c r="G1667">
        <f t="shared" si="169"/>
        <v>496.72002787699279</v>
      </c>
      <c r="H1667">
        <v>589.8424</v>
      </c>
      <c r="I1667" t="s">
        <v>38</v>
      </c>
      <c r="J1667">
        <f t="shared" si="170"/>
        <v>13.003580246913581</v>
      </c>
      <c r="K1667">
        <v>4283.9889411321165</v>
      </c>
    </row>
    <row r="1668" spans="1:11" x14ac:dyDescent="0.35">
      <c r="A1668" s="1">
        <v>40848</v>
      </c>
      <c r="B1668" t="s">
        <v>11</v>
      </c>
      <c r="C1668" t="s">
        <v>38</v>
      </c>
      <c r="D1668">
        <v>43598</v>
      </c>
      <c r="E1668">
        <v>416415</v>
      </c>
      <c r="F1668">
        <f t="shared" si="168"/>
        <v>9.551240882609294</v>
      </c>
      <c r="G1668">
        <f t="shared" si="169"/>
        <v>433.24428643515756</v>
      </c>
      <c r="H1668">
        <v>290.15971199999996</v>
      </c>
      <c r="I1668" t="s">
        <v>38</v>
      </c>
      <c r="J1668">
        <f t="shared" si="170"/>
        <v>6.3968190476190463</v>
      </c>
      <c r="K1668">
        <v>4283.9889411321165</v>
      </c>
    </row>
    <row r="1669" spans="1:11" x14ac:dyDescent="0.35">
      <c r="A1669" s="1">
        <v>40878</v>
      </c>
      <c r="B1669" t="s">
        <v>11</v>
      </c>
      <c r="C1669" t="s">
        <v>38</v>
      </c>
      <c r="D1669">
        <v>27898</v>
      </c>
      <c r="E1669">
        <v>398755</v>
      </c>
      <c r="F1669">
        <f>E1669/D1669</f>
        <v>14.293318517456449</v>
      </c>
      <c r="G1669">
        <f t="shared" si="169"/>
        <v>648.3449279518245</v>
      </c>
      <c r="H1669">
        <v>258.75</v>
      </c>
      <c r="I1669" t="s">
        <v>38</v>
      </c>
      <c r="J1669">
        <f t="shared" si="170"/>
        <v>5.7043650793650791</v>
      </c>
      <c r="K1669">
        <v>4283.9889411321165</v>
      </c>
    </row>
    <row r="1670" spans="1:11" x14ac:dyDescent="0.35">
      <c r="A1670" s="1">
        <v>40544</v>
      </c>
      <c r="B1670" t="s">
        <v>12</v>
      </c>
      <c r="C1670" t="s">
        <v>38</v>
      </c>
      <c r="D1670">
        <v>10301</v>
      </c>
      <c r="E1670">
        <v>62830</v>
      </c>
      <c r="F1670">
        <f t="shared" ref="F1670:F1680" si="171">E1670/D1670</f>
        <v>6.0994078244830598</v>
      </c>
      <c r="G1670">
        <f t="shared" si="169"/>
        <v>276.6691389185516</v>
      </c>
      <c r="H1670">
        <v>591.25</v>
      </c>
      <c r="I1670" t="s">
        <v>38</v>
      </c>
      <c r="J1670">
        <f t="shared" si="170"/>
        <v>13.034611992945326</v>
      </c>
      <c r="K1670">
        <v>2009.79</v>
      </c>
    </row>
    <row r="1671" spans="1:11" x14ac:dyDescent="0.35">
      <c r="A1671" s="1">
        <v>40575</v>
      </c>
      <c r="B1671" t="s">
        <v>12</v>
      </c>
      <c r="C1671" t="s">
        <v>38</v>
      </c>
      <c r="D1671">
        <v>12016</v>
      </c>
      <c r="E1671">
        <v>81703</v>
      </c>
      <c r="F1671">
        <f t="shared" si="171"/>
        <v>6.7995173102529964</v>
      </c>
      <c r="G1671">
        <f t="shared" si="169"/>
        <v>308.4261051930759</v>
      </c>
      <c r="H1671">
        <v>592.5</v>
      </c>
      <c r="I1671" t="s">
        <v>38</v>
      </c>
      <c r="J1671">
        <f t="shared" si="170"/>
        <v>13.062169312169312</v>
      </c>
      <c r="K1671">
        <v>2009.79</v>
      </c>
    </row>
    <row r="1672" spans="1:11" x14ac:dyDescent="0.35">
      <c r="A1672" s="1">
        <v>40603</v>
      </c>
      <c r="B1672" t="s">
        <v>12</v>
      </c>
      <c r="C1672" t="s">
        <v>38</v>
      </c>
      <c r="D1672">
        <v>13240</v>
      </c>
      <c r="E1672">
        <v>91668</v>
      </c>
      <c r="F1672">
        <f t="shared" si="171"/>
        <v>6.9235649546827798</v>
      </c>
      <c r="G1672">
        <f t="shared" si="169"/>
        <v>314.05290634441087</v>
      </c>
      <c r="H1672">
        <v>643.88400000000001</v>
      </c>
      <c r="I1672" t="s">
        <v>38</v>
      </c>
      <c r="J1672">
        <f t="shared" si="170"/>
        <v>14.194973544973546</v>
      </c>
      <c r="K1672">
        <v>2009.79</v>
      </c>
    </row>
    <row r="1673" spans="1:11" x14ac:dyDescent="0.35">
      <c r="A1673" s="1">
        <v>40634</v>
      </c>
      <c r="B1673" t="s">
        <v>12</v>
      </c>
      <c r="C1673" t="s">
        <v>38</v>
      </c>
      <c r="D1673">
        <v>12099</v>
      </c>
      <c r="E1673">
        <v>70884</v>
      </c>
      <c r="F1673">
        <f t="shared" si="171"/>
        <v>5.8586660054549959</v>
      </c>
      <c r="G1673">
        <f t="shared" si="169"/>
        <v>265.74909000743861</v>
      </c>
      <c r="H1673">
        <v>742.5</v>
      </c>
      <c r="I1673" t="s">
        <v>38</v>
      </c>
      <c r="J1673">
        <f t="shared" si="170"/>
        <v>16.36904761904762</v>
      </c>
      <c r="K1673">
        <v>2009.79</v>
      </c>
    </row>
    <row r="1674" spans="1:11" x14ac:dyDescent="0.35">
      <c r="A1674" s="1">
        <v>40664</v>
      </c>
      <c r="B1674" t="s">
        <v>12</v>
      </c>
      <c r="C1674" t="s">
        <v>38</v>
      </c>
      <c r="D1674">
        <v>12615</v>
      </c>
      <c r="E1674">
        <v>76625</v>
      </c>
      <c r="F1674">
        <f t="shared" si="171"/>
        <v>6.0741181133571143</v>
      </c>
      <c r="G1674">
        <f t="shared" si="169"/>
        <v>275.52199762187871</v>
      </c>
      <c r="H1674">
        <v>760.76333333333332</v>
      </c>
      <c r="I1674" t="s">
        <v>38</v>
      </c>
      <c r="J1674">
        <f t="shared" si="170"/>
        <v>16.771678424456201</v>
      </c>
      <c r="K1674">
        <v>2009.79</v>
      </c>
    </row>
    <row r="1675" spans="1:11" x14ac:dyDescent="0.35">
      <c r="A1675" s="1">
        <v>40695</v>
      </c>
      <c r="B1675" t="s">
        <v>12</v>
      </c>
      <c r="C1675" t="s">
        <v>38</v>
      </c>
      <c r="D1675">
        <v>8950</v>
      </c>
      <c r="E1675">
        <v>51200</v>
      </c>
      <c r="F1675">
        <f t="shared" si="171"/>
        <v>5.7206703910614527</v>
      </c>
      <c r="G1675">
        <f t="shared" si="169"/>
        <v>259.48960893854752</v>
      </c>
      <c r="H1675">
        <v>792.36166666666668</v>
      </c>
      <c r="I1675" t="s">
        <v>38</v>
      </c>
      <c r="J1675">
        <f t="shared" si="170"/>
        <v>17.468290711346267</v>
      </c>
      <c r="K1675">
        <v>2009.79</v>
      </c>
    </row>
    <row r="1676" spans="1:11" x14ac:dyDescent="0.35">
      <c r="A1676" s="1">
        <v>40725</v>
      </c>
      <c r="B1676" t="s">
        <v>12</v>
      </c>
      <c r="C1676" t="s">
        <v>38</v>
      </c>
      <c r="D1676">
        <v>10206</v>
      </c>
      <c r="E1676">
        <v>78251</v>
      </c>
      <c r="F1676">
        <f t="shared" si="171"/>
        <v>7.6671565745639816</v>
      </c>
      <c r="G1676">
        <f t="shared" si="169"/>
        <v>347.78222222222217</v>
      </c>
      <c r="H1676">
        <v>761.91599999999994</v>
      </c>
      <c r="I1676" t="s">
        <v>38</v>
      </c>
      <c r="J1676">
        <f t="shared" si="170"/>
        <v>16.797089947089948</v>
      </c>
      <c r="K1676">
        <v>2009.79</v>
      </c>
    </row>
    <row r="1677" spans="1:11" x14ac:dyDescent="0.35">
      <c r="A1677" s="1">
        <v>40756</v>
      </c>
      <c r="B1677" t="s">
        <v>12</v>
      </c>
      <c r="C1677" t="s">
        <v>38</v>
      </c>
      <c r="D1677">
        <v>9145</v>
      </c>
      <c r="E1677">
        <v>45468</v>
      </c>
      <c r="F1677">
        <f t="shared" si="171"/>
        <v>4.9718972115910329</v>
      </c>
      <c r="G1677">
        <f t="shared" si="169"/>
        <v>225.52525751776926</v>
      </c>
      <c r="H1677">
        <v>553.62120000000004</v>
      </c>
      <c r="I1677" t="s">
        <v>38</v>
      </c>
      <c r="J1677">
        <f t="shared" si="170"/>
        <v>12.205052910052911</v>
      </c>
      <c r="K1677">
        <v>2009.79</v>
      </c>
    </row>
    <row r="1678" spans="1:11" x14ac:dyDescent="0.35">
      <c r="A1678" s="1">
        <v>40787</v>
      </c>
      <c r="B1678" t="s">
        <v>12</v>
      </c>
      <c r="C1678" t="s">
        <v>38</v>
      </c>
      <c r="D1678">
        <v>11500</v>
      </c>
      <c r="E1678">
        <v>84083</v>
      </c>
      <c r="F1678">
        <f t="shared" si="171"/>
        <v>7.3115652173913039</v>
      </c>
      <c r="G1678">
        <f t="shared" si="169"/>
        <v>331.65259826086952</v>
      </c>
      <c r="H1678">
        <v>538.36833333333334</v>
      </c>
      <c r="I1678" t="s">
        <v>38</v>
      </c>
      <c r="J1678">
        <f t="shared" si="170"/>
        <v>11.868790417401529</v>
      </c>
      <c r="K1678">
        <v>2009.79</v>
      </c>
    </row>
    <row r="1679" spans="1:11" x14ac:dyDescent="0.35">
      <c r="A1679" s="1">
        <v>40817</v>
      </c>
      <c r="B1679" t="s">
        <v>12</v>
      </c>
      <c r="C1679" t="s">
        <v>38</v>
      </c>
      <c r="D1679">
        <v>11635</v>
      </c>
      <c r="E1679">
        <v>67075</v>
      </c>
      <c r="F1679">
        <f t="shared" si="171"/>
        <v>5.7649333906317146</v>
      </c>
      <c r="G1679">
        <f t="shared" si="169"/>
        <v>261.49737859905457</v>
      </c>
      <c r="H1679">
        <v>539.58400000000006</v>
      </c>
      <c r="I1679" t="s">
        <v>38</v>
      </c>
      <c r="J1679">
        <f t="shared" si="170"/>
        <v>11.895590828924163</v>
      </c>
      <c r="K1679">
        <v>2009.79</v>
      </c>
    </row>
    <row r="1680" spans="1:11" x14ac:dyDescent="0.35">
      <c r="A1680" s="1">
        <v>40848</v>
      </c>
      <c r="B1680" t="s">
        <v>12</v>
      </c>
      <c r="C1680" t="s">
        <v>38</v>
      </c>
      <c r="D1680">
        <v>10959</v>
      </c>
      <c r="E1680">
        <v>61171</v>
      </c>
      <c r="F1680">
        <f t="shared" si="171"/>
        <v>5.5818049092070448</v>
      </c>
      <c r="G1680">
        <f t="shared" si="169"/>
        <v>253.19067068163156</v>
      </c>
      <c r="H1680">
        <v>542.91599999999994</v>
      </c>
      <c r="I1680" t="s">
        <v>38</v>
      </c>
      <c r="J1680">
        <f t="shared" si="170"/>
        <v>11.969047619047618</v>
      </c>
      <c r="K1680">
        <v>2009.79</v>
      </c>
    </row>
    <row r="1681" spans="1:11" x14ac:dyDescent="0.35">
      <c r="A1681" s="1">
        <v>40878</v>
      </c>
      <c r="B1681" t="s">
        <v>12</v>
      </c>
      <c r="C1681" t="s">
        <v>38</v>
      </c>
      <c r="D1681">
        <v>13494</v>
      </c>
      <c r="E1681">
        <v>73269</v>
      </c>
      <c r="F1681">
        <f>E1681/D1681</f>
        <v>5.4297465540240104</v>
      </c>
      <c r="G1681">
        <f t="shared" si="169"/>
        <v>246.29330369052911</v>
      </c>
      <c r="H1681">
        <v>511.66666666666669</v>
      </c>
      <c r="I1681" t="s">
        <v>38</v>
      </c>
      <c r="J1681">
        <f t="shared" si="170"/>
        <v>11.280129335684892</v>
      </c>
      <c r="K1681">
        <v>2009.79</v>
      </c>
    </row>
    <row r="1682" spans="1:11" x14ac:dyDescent="0.35">
      <c r="A1682" s="1">
        <v>40544</v>
      </c>
      <c r="B1682" t="s">
        <v>13</v>
      </c>
      <c r="C1682" t="s">
        <v>38</v>
      </c>
      <c r="D1682">
        <v>6042</v>
      </c>
      <c r="E1682">
        <v>39356</v>
      </c>
      <c r="F1682">
        <f t="shared" ref="F1682:F1745" si="172">E1682/D1682</f>
        <v>6.5137371731214833</v>
      </c>
      <c r="G1682">
        <f t="shared" si="169"/>
        <v>295.46311817279047</v>
      </c>
      <c r="H1682">
        <v>403.85399999999998</v>
      </c>
      <c r="I1682" t="s">
        <v>38</v>
      </c>
      <c r="J1682">
        <f t="shared" si="170"/>
        <v>8.9033068783068785</v>
      </c>
      <c r="K1682">
        <v>6922.0219999999999</v>
      </c>
    </row>
    <row r="1683" spans="1:11" x14ac:dyDescent="0.35">
      <c r="A1683" s="1">
        <v>40575</v>
      </c>
      <c r="B1683" t="s">
        <v>13</v>
      </c>
      <c r="C1683" t="s">
        <v>38</v>
      </c>
      <c r="D1683">
        <v>6210</v>
      </c>
      <c r="E1683">
        <v>40843</v>
      </c>
      <c r="F1683">
        <f t="shared" si="172"/>
        <v>6.5769726247987119</v>
      </c>
      <c r="G1683">
        <f t="shared" si="169"/>
        <v>298.33147826086957</v>
      </c>
      <c r="H1683">
        <v>507.608</v>
      </c>
      <c r="I1683" t="s">
        <v>38</v>
      </c>
      <c r="J1683">
        <f t="shared" si="170"/>
        <v>11.190652557319224</v>
      </c>
      <c r="K1683">
        <v>6922.0219999999999</v>
      </c>
    </row>
    <row r="1684" spans="1:11" x14ac:dyDescent="0.35">
      <c r="A1684" s="1">
        <v>40603</v>
      </c>
      <c r="B1684" t="s">
        <v>13</v>
      </c>
      <c r="C1684" t="s">
        <v>38</v>
      </c>
      <c r="D1684">
        <v>6468</v>
      </c>
      <c r="E1684">
        <v>44876</v>
      </c>
      <c r="F1684">
        <f t="shared" si="172"/>
        <v>6.9381570810142241</v>
      </c>
      <c r="G1684">
        <f t="shared" si="169"/>
        <v>314.71480519480519</v>
      </c>
      <c r="H1684">
        <v>485.75439999999998</v>
      </c>
      <c r="I1684" t="s">
        <v>38</v>
      </c>
      <c r="J1684">
        <f t="shared" si="170"/>
        <v>10.708871252204585</v>
      </c>
      <c r="K1684">
        <v>6922.0219999999999</v>
      </c>
    </row>
    <row r="1685" spans="1:11" x14ac:dyDescent="0.35">
      <c r="A1685" s="1">
        <v>40634</v>
      </c>
      <c r="B1685" t="s">
        <v>13</v>
      </c>
      <c r="C1685" t="s">
        <v>38</v>
      </c>
      <c r="D1685">
        <v>7540</v>
      </c>
      <c r="E1685">
        <v>76706</v>
      </c>
      <c r="F1685">
        <f t="shared" si="172"/>
        <v>10.173209549071618</v>
      </c>
      <c r="G1685">
        <f t="shared" si="169"/>
        <v>461.4567851458886</v>
      </c>
      <c r="H1685">
        <v>382.5782857142857</v>
      </c>
      <c r="I1685" t="s">
        <v>38</v>
      </c>
      <c r="J1685">
        <f t="shared" si="170"/>
        <v>8.4342655580750812</v>
      </c>
      <c r="K1685">
        <v>6922.0219999999999</v>
      </c>
    </row>
    <row r="1686" spans="1:11" x14ac:dyDescent="0.35">
      <c r="A1686" s="1">
        <v>40664</v>
      </c>
      <c r="B1686" t="s">
        <v>13</v>
      </c>
      <c r="C1686" t="s">
        <v>38</v>
      </c>
      <c r="D1686">
        <v>7084</v>
      </c>
      <c r="E1686">
        <v>53400</v>
      </c>
      <c r="F1686">
        <f t="shared" si="172"/>
        <v>7.5381140598531902</v>
      </c>
      <c r="G1686">
        <f t="shared" si="169"/>
        <v>341.92885375494069</v>
      </c>
      <c r="H1686">
        <v>434.58388888888885</v>
      </c>
      <c r="I1686" t="s">
        <v>38</v>
      </c>
      <c r="J1686">
        <f t="shared" si="170"/>
        <v>9.58077356456986</v>
      </c>
      <c r="K1686">
        <v>6922.0219999999999</v>
      </c>
    </row>
    <row r="1687" spans="1:11" x14ac:dyDescent="0.35">
      <c r="A1687" s="1">
        <v>40695</v>
      </c>
      <c r="B1687" t="s">
        <v>13</v>
      </c>
      <c r="C1687" t="s">
        <v>38</v>
      </c>
      <c r="D1687">
        <v>6239</v>
      </c>
      <c r="E1687">
        <v>35200</v>
      </c>
      <c r="F1687">
        <f t="shared" si="172"/>
        <v>5.6419297964417376</v>
      </c>
      <c r="G1687">
        <f t="shared" si="169"/>
        <v>255.91793556659721</v>
      </c>
      <c r="H1687">
        <v>367.23194444444442</v>
      </c>
      <c r="I1687" t="s">
        <v>38</v>
      </c>
      <c r="J1687">
        <f t="shared" si="170"/>
        <v>8.0959423378404853</v>
      </c>
      <c r="K1687">
        <v>6922.0219999999999</v>
      </c>
    </row>
    <row r="1688" spans="1:11" x14ac:dyDescent="0.35">
      <c r="A1688" s="1">
        <v>40725</v>
      </c>
      <c r="B1688" t="s">
        <v>13</v>
      </c>
      <c r="C1688" t="s">
        <v>38</v>
      </c>
      <c r="D1688">
        <v>5429</v>
      </c>
      <c r="E1688">
        <v>46256</v>
      </c>
      <c r="F1688">
        <f t="shared" si="172"/>
        <v>8.5201694603057661</v>
      </c>
      <c r="G1688">
        <f t="shared" si="169"/>
        <v>386.47488671946957</v>
      </c>
      <c r="H1688">
        <v>472.48400000000004</v>
      </c>
      <c r="I1688" t="s">
        <v>38</v>
      </c>
      <c r="J1688">
        <f t="shared" si="170"/>
        <v>10.4163139329806</v>
      </c>
      <c r="K1688">
        <v>6922.0219999999999</v>
      </c>
    </row>
    <row r="1689" spans="1:11" x14ac:dyDescent="0.35">
      <c r="A1689" s="1">
        <v>40756</v>
      </c>
      <c r="B1689" t="s">
        <v>13</v>
      </c>
      <c r="C1689" t="s">
        <v>38</v>
      </c>
      <c r="D1689">
        <v>4704</v>
      </c>
      <c r="E1689">
        <v>30174</v>
      </c>
      <c r="F1689">
        <f t="shared" si="172"/>
        <v>6.4145408163265305</v>
      </c>
      <c r="G1689">
        <f t="shared" si="169"/>
        <v>290.96357142857141</v>
      </c>
      <c r="H1689">
        <v>409.63771428571425</v>
      </c>
      <c r="I1689" t="s">
        <v>38</v>
      </c>
      <c r="J1689">
        <f t="shared" si="170"/>
        <v>9.0308138070042823</v>
      </c>
      <c r="K1689">
        <v>6922.0219999999999</v>
      </c>
    </row>
    <row r="1690" spans="1:11" x14ac:dyDescent="0.35">
      <c r="A1690" s="1">
        <v>40787</v>
      </c>
      <c r="B1690" t="s">
        <v>13</v>
      </c>
      <c r="C1690" t="s">
        <v>38</v>
      </c>
      <c r="D1690">
        <v>4851</v>
      </c>
      <c r="E1690">
        <v>43897</v>
      </c>
      <c r="F1690">
        <f t="shared" si="172"/>
        <v>9.0490620490620497</v>
      </c>
      <c r="G1690">
        <f t="shared" si="169"/>
        <v>410.46545454545458</v>
      </c>
      <c r="H1690">
        <v>463.37926666666669</v>
      </c>
      <c r="I1690" t="s">
        <v>38</v>
      </c>
      <c r="J1690">
        <f t="shared" si="170"/>
        <v>10.215592298647856</v>
      </c>
      <c r="K1690">
        <v>6922.0219999999999</v>
      </c>
    </row>
    <row r="1691" spans="1:11" x14ac:dyDescent="0.35">
      <c r="A1691" s="1">
        <v>40817</v>
      </c>
      <c r="B1691" t="s">
        <v>13</v>
      </c>
      <c r="C1691" t="s">
        <v>38</v>
      </c>
      <c r="D1691">
        <v>8099.9999999999991</v>
      </c>
      <c r="E1691">
        <v>42423</v>
      </c>
      <c r="F1691">
        <f t="shared" si="172"/>
        <v>5.2374074074074084</v>
      </c>
      <c r="G1691">
        <f t="shared" si="169"/>
        <v>237.56880000000004</v>
      </c>
      <c r="H1691">
        <v>483.74200000000002</v>
      </c>
      <c r="I1691" t="s">
        <v>38</v>
      </c>
      <c r="J1691">
        <f t="shared" si="170"/>
        <v>10.664506172839507</v>
      </c>
      <c r="K1691">
        <v>6922.0219999999999</v>
      </c>
    </row>
    <row r="1692" spans="1:11" x14ac:dyDescent="0.35">
      <c r="A1692" s="1">
        <v>40848</v>
      </c>
      <c r="B1692" t="s">
        <v>13</v>
      </c>
      <c r="C1692" t="s">
        <v>38</v>
      </c>
      <c r="D1692">
        <v>7910</v>
      </c>
      <c r="E1692">
        <v>43411</v>
      </c>
      <c r="F1692">
        <f t="shared" si="172"/>
        <v>5.4881163084702909</v>
      </c>
      <c r="G1692">
        <f t="shared" si="169"/>
        <v>248.9409557522124</v>
      </c>
      <c r="H1692">
        <v>643.66999999999996</v>
      </c>
      <c r="I1692" t="s">
        <v>38</v>
      </c>
      <c r="J1692">
        <f t="shared" si="170"/>
        <v>14.190255731922399</v>
      </c>
      <c r="K1692">
        <v>6922.0219999999999</v>
      </c>
    </row>
    <row r="1693" spans="1:11" x14ac:dyDescent="0.35">
      <c r="A1693" s="1">
        <v>40878</v>
      </c>
      <c r="B1693" t="s">
        <v>13</v>
      </c>
      <c r="C1693" t="s">
        <v>38</v>
      </c>
      <c r="D1693">
        <v>7201</v>
      </c>
      <c r="E1693">
        <v>38762</v>
      </c>
      <c r="F1693">
        <f t="shared" si="172"/>
        <v>5.3828634911817801</v>
      </c>
      <c r="G1693">
        <f>F1693*45.36</f>
        <v>244.16668796000553</v>
      </c>
      <c r="H1693">
        <v>484.49</v>
      </c>
      <c r="I1693" t="s">
        <v>38</v>
      </c>
      <c r="J1693">
        <f t="shared" si="170"/>
        <v>10.680996472663139</v>
      </c>
      <c r="K1693">
        <v>6922.0219999999999</v>
      </c>
    </row>
    <row r="1694" spans="1:11" x14ac:dyDescent="0.35">
      <c r="A1694" s="1">
        <v>40544</v>
      </c>
      <c r="B1694" t="s">
        <v>14</v>
      </c>
      <c r="C1694" t="s">
        <v>40</v>
      </c>
      <c r="D1694">
        <v>75322</v>
      </c>
      <c r="E1694">
        <v>43500</v>
      </c>
      <c r="F1694">
        <f t="shared" si="172"/>
        <v>0.57752051193542386</v>
      </c>
      <c r="G1694">
        <f>F1694*562.34</f>
        <v>324.76288468176625</v>
      </c>
      <c r="H1694">
        <v>6604.6</v>
      </c>
      <c r="I1694" t="s">
        <v>40</v>
      </c>
      <c r="J1694">
        <f>(H1694/1000)/0.56234</f>
        <v>11.744851868976067</v>
      </c>
      <c r="K1694" s="3">
        <v>6816.0513247333329</v>
      </c>
    </row>
    <row r="1695" spans="1:11" x14ac:dyDescent="0.35">
      <c r="A1695" s="1">
        <v>40575</v>
      </c>
      <c r="B1695" t="s">
        <v>14</v>
      </c>
      <c r="C1695" t="s">
        <v>40</v>
      </c>
      <c r="D1695">
        <v>70072</v>
      </c>
      <c r="E1695">
        <v>42616</v>
      </c>
      <c r="F1695">
        <f t="shared" si="172"/>
        <v>0.60817444913802943</v>
      </c>
      <c r="G1695">
        <f t="shared" ref="G1695:G1705" si="173">F1695*562.34</f>
        <v>342.00081972827951</v>
      </c>
      <c r="H1695">
        <v>8025</v>
      </c>
      <c r="I1695" t="s">
        <v>40</v>
      </c>
      <c r="J1695">
        <f t="shared" ref="J1695:J1705" si="174">(H1695/1000)/0.56234</f>
        <v>14.270725895365794</v>
      </c>
      <c r="K1695" s="3">
        <v>6816.0513247333329</v>
      </c>
    </row>
    <row r="1696" spans="1:11" x14ac:dyDescent="0.35">
      <c r="A1696" s="1">
        <v>40603</v>
      </c>
      <c r="B1696" t="s">
        <v>14</v>
      </c>
      <c r="C1696" t="s">
        <v>40</v>
      </c>
      <c r="D1696">
        <v>58987</v>
      </c>
      <c r="E1696">
        <v>37350</v>
      </c>
      <c r="F1696">
        <f t="shared" si="172"/>
        <v>0.6331903639785037</v>
      </c>
      <c r="G1696">
        <f t="shared" si="173"/>
        <v>356.06826927967177</v>
      </c>
      <c r="H1696">
        <v>8000</v>
      </c>
      <c r="I1696" t="s">
        <v>40</v>
      </c>
      <c r="J1696">
        <f t="shared" si="174"/>
        <v>14.226268805349079</v>
      </c>
      <c r="K1696" s="3">
        <v>6816.0513247333329</v>
      </c>
    </row>
    <row r="1697" spans="1:11" x14ac:dyDescent="0.35">
      <c r="A1697" s="1">
        <v>40634</v>
      </c>
      <c r="B1697" t="s">
        <v>14</v>
      </c>
      <c r="C1697" t="s">
        <v>40</v>
      </c>
      <c r="D1697">
        <v>1378</v>
      </c>
      <c r="E1697">
        <v>1442</v>
      </c>
      <c r="F1697">
        <f t="shared" si="172"/>
        <v>1.04644412191582</v>
      </c>
      <c r="G1697">
        <f t="shared" si="173"/>
        <v>588.45738751814224</v>
      </c>
      <c r="H1697">
        <v>10000</v>
      </c>
      <c r="I1697" t="s">
        <v>40</v>
      </c>
      <c r="J1697">
        <f t="shared" si="174"/>
        <v>17.782836006686349</v>
      </c>
      <c r="K1697" s="3">
        <v>6816.0513247333329</v>
      </c>
    </row>
    <row r="1698" spans="1:11" x14ac:dyDescent="0.35">
      <c r="A1698" s="1">
        <v>40664</v>
      </c>
      <c r="B1698" t="s">
        <v>14</v>
      </c>
      <c r="C1698" t="s">
        <v>40</v>
      </c>
      <c r="D1698">
        <v>625</v>
      </c>
      <c r="E1698">
        <v>1985</v>
      </c>
      <c r="F1698">
        <f t="shared" si="172"/>
        <v>3.1760000000000002</v>
      </c>
      <c r="G1698">
        <f t="shared" si="173"/>
        <v>1785.9918400000001</v>
      </c>
      <c r="H1698">
        <v>8750</v>
      </c>
      <c r="I1698" t="s">
        <v>40</v>
      </c>
      <c r="J1698">
        <f t="shared" si="174"/>
        <v>15.559981505850555</v>
      </c>
      <c r="K1698" s="3">
        <v>6816.0513247333329</v>
      </c>
    </row>
    <row r="1699" spans="1:11" x14ac:dyDescent="0.35">
      <c r="A1699" s="1">
        <v>40695</v>
      </c>
      <c r="B1699" t="s">
        <v>14</v>
      </c>
      <c r="C1699" t="s">
        <v>40</v>
      </c>
      <c r="D1699">
        <v>925</v>
      </c>
      <c r="E1699">
        <v>1685</v>
      </c>
      <c r="F1699">
        <f t="shared" si="172"/>
        <v>1.8216216216216217</v>
      </c>
      <c r="G1699">
        <f t="shared" si="173"/>
        <v>1024.3707027027028</v>
      </c>
      <c r="H1699">
        <v>6750</v>
      </c>
      <c r="I1699" t="s">
        <v>40</v>
      </c>
      <c r="J1699">
        <f t="shared" si="174"/>
        <v>12.003414304513285</v>
      </c>
      <c r="K1699" s="3">
        <v>6816.0513247333329</v>
      </c>
    </row>
    <row r="1700" spans="1:11" x14ac:dyDescent="0.35">
      <c r="A1700" s="1">
        <v>40725</v>
      </c>
      <c r="B1700" t="s">
        <v>14</v>
      </c>
      <c r="C1700" t="s">
        <v>40</v>
      </c>
      <c r="D1700">
        <v>42598</v>
      </c>
      <c r="E1700">
        <v>49120</v>
      </c>
      <c r="F1700">
        <f t="shared" si="172"/>
        <v>1.1531057796140665</v>
      </c>
      <c r="G1700">
        <f t="shared" si="173"/>
        <v>648.43750410817415</v>
      </c>
      <c r="H1700">
        <v>6016.665</v>
      </c>
      <c r="I1700" t="s">
        <v>40</v>
      </c>
      <c r="J1700">
        <f t="shared" si="174"/>
        <v>10.699336700216952</v>
      </c>
      <c r="K1700" s="3">
        <v>6816.0513247333329</v>
      </c>
    </row>
    <row r="1701" spans="1:11" x14ac:dyDescent="0.35">
      <c r="A1701" s="1">
        <v>40756</v>
      </c>
      <c r="B1701" t="s">
        <v>14</v>
      </c>
      <c r="C1701" t="s">
        <v>40</v>
      </c>
      <c r="D1701">
        <v>67384</v>
      </c>
      <c r="E1701">
        <v>178391</v>
      </c>
      <c r="F1701">
        <f t="shared" si="172"/>
        <v>2.647379199810044</v>
      </c>
      <c r="G1701">
        <f t="shared" si="173"/>
        <v>1488.7272192211801</v>
      </c>
      <c r="H1701">
        <v>6033.2708333333339</v>
      </c>
      <c r="I1701" t="s">
        <v>40</v>
      </c>
      <c r="J1701">
        <f t="shared" si="174"/>
        <v>10.728866581309056</v>
      </c>
      <c r="K1701" s="3">
        <v>6816.0513247333329</v>
      </c>
    </row>
    <row r="1702" spans="1:11" x14ac:dyDescent="0.35">
      <c r="A1702" s="1">
        <v>40787</v>
      </c>
      <c r="B1702" t="s">
        <v>14</v>
      </c>
      <c r="C1702" t="s">
        <v>40</v>
      </c>
      <c r="D1702">
        <v>45981</v>
      </c>
      <c r="E1702">
        <v>77308</v>
      </c>
      <c r="F1702">
        <f t="shared" si="172"/>
        <v>1.6813031469520019</v>
      </c>
      <c r="G1702">
        <f t="shared" si="173"/>
        <v>945.46401165698876</v>
      </c>
      <c r="H1702">
        <v>4229.166666666667</v>
      </c>
      <c r="I1702" t="s">
        <v>40</v>
      </c>
      <c r="J1702">
        <f t="shared" si="174"/>
        <v>7.5206577278277686</v>
      </c>
      <c r="K1702" s="3">
        <v>6816.0513247333329</v>
      </c>
    </row>
    <row r="1703" spans="1:11" x14ac:dyDescent="0.35">
      <c r="A1703" s="1">
        <v>40817</v>
      </c>
      <c r="B1703" t="s">
        <v>14</v>
      </c>
      <c r="C1703" t="s">
        <v>40</v>
      </c>
      <c r="D1703">
        <v>68973.666666666672</v>
      </c>
      <c r="E1703">
        <v>93183</v>
      </c>
      <c r="F1703">
        <f t="shared" si="172"/>
        <v>1.3509938575591649</v>
      </c>
      <c r="G1703">
        <f t="shared" si="173"/>
        <v>759.71788585982085</v>
      </c>
      <c r="H1703">
        <v>4320</v>
      </c>
      <c r="I1703" t="s">
        <v>40</v>
      </c>
      <c r="J1703">
        <f t="shared" si="174"/>
        <v>7.6821851548885025</v>
      </c>
      <c r="K1703" s="3">
        <v>6816.0513247333329</v>
      </c>
    </row>
    <row r="1704" spans="1:11" x14ac:dyDescent="0.35">
      <c r="A1704" s="1">
        <v>40848</v>
      </c>
      <c r="B1704" t="s">
        <v>14</v>
      </c>
      <c r="C1704" t="s">
        <v>40</v>
      </c>
      <c r="D1704">
        <v>30410</v>
      </c>
      <c r="E1704">
        <v>55214</v>
      </c>
      <c r="F1704">
        <f t="shared" si="172"/>
        <v>1.8156527458073002</v>
      </c>
      <c r="G1704">
        <f t="shared" si="173"/>
        <v>1021.0141650772772</v>
      </c>
      <c r="H1704">
        <v>6115.625</v>
      </c>
      <c r="I1704" t="s">
        <v>40</v>
      </c>
      <c r="J1704">
        <f t="shared" si="174"/>
        <v>10.87531564533912</v>
      </c>
      <c r="K1704" s="3">
        <v>6816.0513247333329</v>
      </c>
    </row>
    <row r="1705" spans="1:11" x14ac:dyDescent="0.35">
      <c r="A1705" s="1">
        <v>40878</v>
      </c>
      <c r="B1705" t="s">
        <v>14</v>
      </c>
      <c r="C1705" t="s">
        <v>40</v>
      </c>
      <c r="D1705">
        <v>45281</v>
      </c>
      <c r="E1705">
        <v>68741</v>
      </c>
      <c r="F1705">
        <f t="shared" si="172"/>
        <v>1.5180980985402266</v>
      </c>
      <c r="G1705">
        <f t="shared" si="173"/>
        <v>853.68728473311103</v>
      </c>
      <c r="H1705">
        <v>5700</v>
      </c>
      <c r="I1705" t="s">
        <v>40</v>
      </c>
      <c r="J1705">
        <f t="shared" si="174"/>
        <v>10.136216523811219</v>
      </c>
      <c r="K1705" s="3">
        <v>6816.0513247333329</v>
      </c>
    </row>
    <row r="1706" spans="1:11" x14ac:dyDescent="0.35">
      <c r="A1706" s="1">
        <v>40544</v>
      </c>
      <c r="B1706" t="s">
        <v>15</v>
      </c>
      <c r="C1706" t="s">
        <v>41</v>
      </c>
      <c r="D1706">
        <v>340372</v>
      </c>
      <c r="E1706">
        <v>2437271</v>
      </c>
      <c r="F1706">
        <f t="shared" si="172"/>
        <v>7.1606095683546238</v>
      </c>
      <c r="G1706">
        <f>F1706*27.21</f>
        <v>194.84018635492933</v>
      </c>
      <c r="H1706">
        <v>122.855</v>
      </c>
      <c r="I1706" t="s">
        <v>58</v>
      </c>
      <c r="J1706">
        <f>H1706/27.21</f>
        <v>4.5150679897096655</v>
      </c>
      <c r="K1706" s="3">
        <f>4182.09369600929+7077.61938834471</f>
        <v>11259.713084354</v>
      </c>
    </row>
    <row r="1707" spans="1:11" x14ac:dyDescent="0.35">
      <c r="A1707" s="1">
        <v>40575</v>
      </c>
      <c r="B1707" t="s">
        <v>15</v>
      </c>
      <c r="C1707" t="s">
        <v>41</v>
      </c>
      <c r="D1707">
        <v>335173</v>
      </c>
      <c r="E1707">
        <v>2200738</v>
      </c>
      <c r="F1707">
        <f t="shared" si="172"/>
        <v>6.5659763763787655</v>
      </c>
      <c r="G1707">
        <f t="shared" ref="G1707:G1717" si="175">F1707*27.21</f>
        <v>178.66021720126622</v>
      </c>
      <c r="H1707">
        <v>130.41666666666666</v>
      </c>
      <c r="I1707" t="s">
        <v>58</v>
      </c>
      <c r="J1707">
        <f t="shared" ref="J1707:J1717" si="176">H1707/27.21</f>
        <v>4.7929682714688226</v>
      </c>
      <c r="K1707" s="3">
        <f t="shared" ref="K1707:K1717" si="177">4182.09369600929+7077.61938834471</f>
        <v>11259.713084354</v>
      </c>
    </row>
    <row r="1708" spans="1:11" x14ac:dyDescent="0.35">
      <c r="A1708" s="1">
        <v>40603</v>
      </c>
      <c r="B1708" t="s">
        <v>15</v>
      </c>
      <c r="C1708" t="s">
        <v>41</v>
      </c>
      <c r="D1708">
        <v>355438</v>
      </c>
      <c r="E1708">
        <v>2263180</v>
      </c>
      <c r="F1708">
        <f t="shared" si="172"/>
        <v>6.3672989382114462</v>
      </c>
      <c r="G1708">
        <f t="shared" si="175"/>
        <v>173.25420410873346</v>
      </c>
      <c r="H1708">
        <v>113.85</v>
      </c>
      <c r="I1708" t="s">
        <v>58</v>
      </c>
      <c r="J1708">
        <f t="shared" si="176"/>
        <v>4.18412348401323</v>
      </c>
      <c r="K1708" s="3">
        <f t="shared" si="177"/>
        <v>11259.713084354</v>
      </c>
    </row>
    <row r="1709" spans="1:11" x14ac:dyDescent="0.35">
      <c r="A1709" s="1">
        <v>40634</v>
      </c>
      <c r="B1709" t="s">
        <v>15</v>
      </c>
      <c r="C1709" t="s">
        <v>41</v>
      </c>
      <c r="D1709">
        <v>347113</v>
      </c>
      <c r="E1709">
        <v>3109223</v>
      </c>
      <c r="F1709">
        <f t="shared" si="172"/>
        <v>8.9573798734129806</v>
      </c>
      <c r="G1709">
        <f t="shared" si="175"/>
        <v>243.73030635556722</v>
      </c>
      <c r="H1709">
        <v>116.75</v>
      </c>
      <c r="I1709" t="s">
        <v>58</v>
      </c>
      <c r="J1709">
        <f t="shared" si="176"/>
        <v>4.2907019478133037</v>
      </c>
      <c r="K1709" s="3">
        <f t="shared" si="177"/>
        <v>11259.713084354</v>
      </c>
    </row>
    <row r="1710" spans="1:11" x14ac:dyDescent="0.35">
      <c r="A1710" s="1">
        <v>40664</v>
      </c>
      <c r="B1710" t="s">
        <v>15</v>
      </c>
      <c r="C1710" t="s">
        <v>41</v>
      </c>
      <c r="D1710">
        <v>346796</v>
      </c>
      <c r="E1710">
        <v>3113862</v>
      </c>
      <c r="F1710">
        <f t="shared" si="172"/>
        <v>8.9789443938223048</v>
      </c>
      <c r="G1710">
        <f t="shared" si="175"/>
        <v>244.31707695590492</v>
      </c>
      <c r="H1710">
        <v>114.24</v>
      </c>
      <c r="I1710" t="s">
        <v>58</v>
      </c>
      <c r="J1710">
        <f t="shared" si="176"/>
        <v>4.1984564498346195</v>
      </c>
      <c r="K1710" s="3">
        <f t="shared" si="177"/>
        <v>11259.713084354</v>
      </c>
    </row>
    <row r="1711" spans="1:11" x14ac:dyDescent="0.35">
      <c r="A1711" s="1">
        <v>40695</v>
      </c>
      <c r="B1711" t="s">
        <v>15</v>
      </c>
      <c r="C1711" t="s">
        <v>41</v>
      </c>
      <c r="D1711">
        <v>362489</v>
      </c>
      <c r="E1711">
        <v>3314002</v>
      </c>
      <c r="F1711">
        <f t="shared" si="172"/>
        <v>9.142351905850937</v>
      </c>
      <c r="G1711">
        <f t="shared" si="175"/>
        <v>248.76339535820401</v>
      </c>
      <c r="H1711">
        <v>162.69388888888889</v>
      </c>
      <c r="I1711" t="s">
        <v>58</v>
      </c>
      <c r="J1711">
        <f t="shared" si="176"/>
        <v>5.9791947404957329</v>
      </c>
      <c r="K1711" s="3">
        <f t="shared" si="177"/>
        <v>11259.713084354</v>
      </c>
    </row>
    <row r="1712" spans="1:11" x14ac:dyDescent="0.35">
      <c r="A1712" s="1">
        <v>40725</v>
      </c>
      <c r="B1712" t="s">
        <v>15</v>
      </c>
      <c r="C1712" t="s">
        <v>41</v>
      </c>
      <c r="D1712">
        <v>363473</v>
      </c>
      <c r="E1712">
        <v>3275719</v>
      </c>
      <c r="F1712">
        <f t="shared" si="172"/>
        <v>9.0122760149997383</v>
      </c>
      <c r="G1712">
        <f t="shared" si="175"/>
        <v>245.22403036814288</v>
      </c>
      <c r="H1712">
        <v>163.25</v>
      </c>
      <c r="I1712" t="s">
        <v>58</v>
      </c>
      <c r="J1712">
        <f t="shared" si="176"/>
        <v>5.9996324880558616</v>
      </c>
      <c r="K1712" s="3">
        <f t="shared" si="177"/>
        <v>11259.713084354</v>
      </c>
    </row>
    <row r="1713" spans="1:11" x14ac:dyDescent="0.35">
      <c r="A1713" s="1">
        <v>40756</v>
      </c>
      <c r="B1713" t="s">
        <v>15</v>
      </c>
      <c r="C1713" t="s">
        <v>41</v>
      </c>
      <c r="D1713">
        <v>361447</v>
      </c>
      <c r="E1713">
        <v>3204723</v>
      </c>
      <c r="F1713">
        <f t="shared" si="172"/>
        <v>8.8663704498861513</v>
      </c>
      <c r="G1713">
        <f t="shared" si="175"/>
        <v>241.25393994140219</v>
      </c>
      <c r="H1713">
        <v>124.4057142857143</v>
      </c>
      <c r="I1713" t="s">
        <v>58</v>
      </c>
      <c r="J1713">
        <f t="shared" si="176"/>
        <v>4.5720585919042369</v>
      </c>
      <c r="K1713" s="3">
        <f t="shared" si="177"/>
        <v>11259.713084354</v>
      </c>
    </row>
    <row r="1714" spans="1:11" x14ac:dyDescent="0.35">
      <c r="A1714" s="1">
        <v>40787</v>
      </c>
      <c r="B1714" t="s">
        <v>15</v>
      </c>
      <c r="C1714" t="s">
        <v>41</v>
      </c>
      <c r="D1714">
        <v>353314</v>
      </c>
      <c r="E1714">
        <v>3104726</v>
      </c>
      <c r="F1714">
        <f t="shared" si="172"/>
        <v>8.7874411996128092</v>
      </c>
      <c r="G1714">
        <f t="shared" si="175"/>
        <v>239.10627504146456</v>
      </c>
      <c r="H1714">
        <v>110.92750000000001</v>
      </c>
      <c r="I1714" t="s">
        <v>58</v>
      </c>
      <c r="J1714">
        <f t="shared" si="176"/>
        <v>4.0767181183388459</v>
      </c>
      <c r="K1714" s="3">
        <f t="shared" si="177"/>
        <v>11259.713084354</v>
      </c>
    </row>
    <row r="1715" spans="1:11" x14ac:dyDescent="0.35">
      <c r="A1715" s="1">
        <v>40817</v>
      </c>
      <c r="B1715" t="s">
        <v>15</v>
      </c>
      <c r="C1715" t="s">
        <v>41</v>
      </c>
      <c r="D1715">
        <v>312401.66666666669</v>
      </c>
      <c r="E1715">
        <v>2585781</v>
      </c>
      <c r="F1715">
        <f t="shared" si="172"/>
        <v>8.2771037286399451</v>
      </c>
      <c r="G1715">
        <f t="shared" si="175"/>
        <v>225.21999245629291</v>
      </c>
      <c r="H1715">
        <v>116.20833333333333</v>
      </c>
      <c r="I1715" t="s">
        <v>58</v>
      </c>
      <c r="J1715">
        <f t="shared" si="176"/>
        <v>4.2707950508391521</v>
      </c>
      <c r="K1715" s="3">
        <f t="shared" si="177"/>
        <v>11259.713084354</v>
      </c>
    </row>
    <row r="1716" spans="1:11" x14ac:dyDescent="0.35">
      <c r="A1716" s="1">
        <v>40848</v>
      </c>
      <c r="B1716" t="s">
        <v>15</v>
      </c>
      <c r="C1716" t="s">
        <v>41</v>
      </c>
      <c r="D1716">
        <v>342100</v>
      </c>
      <c r="E1716">
        <v>2874111</v>
      </c>
      <c r="F1716">
        <f t="shared" si="172"/>
        <v>8.4013767904121597</v>
      </c>
      <c r="G1716">
        <f t="shared" si="175"/>
        <v>228.60146246711489</v>
      </c>
      <c r="H1716">
        <v>77.849639999999994</v>
      </c>
      <c r="I1716" t="s">
        <v>58</v>
      </c>
      <c r="J1716">
        <f t="shared" si="176"/>
        <v>2.8610672546857772</v>
      </c>
      <c r="K1716" s="3">
        <f t="shared" si="177"/>
        <v>11259.713084354</v>
      </c>
    </row>
    <row r="1717" spans="1:11" x14ac:dyDescent="0.35">
      <c r="A1717" s="1">
        <v>40878</v>
      </c>
      <c r="B1717" t="s">
        <v>15</v>
      </c>
      <c r="C1717" t="s">
        <v>41</v>
      </c>
      <c r="D1717">
        <v>343242</v>
      </c>
      <c r="E1717">
        <v>2395120</v>
      </c>
      <c r="F1717">
        <f t="shared" si="172"/>
        <v>6.9779339358237049</v>
      </c>
      <c r="G1717">
        <f t="shared" si="175"/>
        <v>189.86958239376301</v>
      </c>
      <c r="H1717">
        <v>143.16666666666666</v>
      </c>
      <c r="I1717" t="s">
        <v>58</v>
      </c>
      <c r="J1717">
        <f t="shared" si="176"/>
        <v>5.2615460002450076</v>
      </c>
      <c r="K1717" s="3">
        <f t="shared" si="177"/>
        <v>11259.713084354</v>
      </c>
    </row>
    <row r="1718" spans="1:11" x14ac:dyDescent="0.35">
      <c r="A1718" s="1">
        <v>40544</v>
      </c>
      <c r="B1718" t="s">
        <v>18</v>
      </c>
      <c r="C1718" t="s">
        <v>40</v>
      </c>
      <c r="D1718">
        <v>673917</v>
      </c>
      <c r="E1718">
        <v>110083</v>
      </c>
      <c r="F1718">
        <f t="shared" si="172"/>
        <v>0.16334800873104552</v>
      </c>
      <c r="G1718">
        <f>F1718*408.15</f>
        <v>66.670489763576228</v>
      </c>
      <c r="H1718">
        <v>4897.4866666666667</v>
      </c>
      <c r="I1718" t="s">
        <v>40</v>
      </c>
      <c r="J1718">
        <f>(H1718/1000)/0.40815</f>
        <v>11.999232308383355</v>
      </c>
      <c r="K1718">
        <f>3404.21823822861+7463.80813464964</f>
        <v>10868.02637287825</v>
      </c>
    </row>
    <row r="1719" spans="1:11" x14ac:dyDescent="0.35">
      <c r="A1719" s="1">
        <v>40575</v>
      </c>
      <c r="B1719" t="s">
        <v>18</v>
      </c>
      <c r="C1719" t="s">
        <v>40</v>
      </c>
      <c r="D1719">
        <v>690886</v>
      </c>
      <c r="E1719">
        <v>143400</v>
      </c>
      <c r="F1719">
        <f t="shared" si="172"/>
        <v>0.20755956843820833</v>
      </c>
      <c r="G1719">
        <f t="shared" ref="G1719:G1729" si="178">F1719*408.15</f>
        <v>84.715437858054727</v>
      </c>
      <c r="H1719">
        <v>4990</v>
      </c>
      <c r="I1719" t="s">
        <v>40</v>
      </c>
      <c r="J1719">
        <f t="shared" ref="J1719:J1730" si="179">(H1719/1000)/0.40815</f>
        <v>12.225897341663604</v>
      </c>
      <c r="K1719">
        <f t="shared" ref="K1719:K1729" si="180">3404.21823822861+7463.80813464964</f>
        <v>10868.02637287825</v>
      </c>
    </row>
    <row r="1720" spans="1:11" x14ac:dyDescent="0.35">
      <c r="A1720" s="1">
        <v>40603</v>
      </c>
      <c r="B1720" t="s">
        <v>18</v>
      </c>
      <c r="C1720" t="s">
        <v>40</v>
      </c>
      <c r="D1720">
        <v>672241</v>
      </c>
      <c r="E1720">
        <v>141162</v>
      </c>
      <c r="F1720">
        <f t="shared" si="172"/>
        <v>0.20998719209331176</v>
      </c>
      <c r="G1720">
        <f t="shared" si="178"/>
        <v>85.706272452885187</v>
      </c>
      <c r="H1720">
        <v>4680.083333333333</v>
      </c>
      <c r="I1720" t="s">
        <v>40</v>
      </c>
      <c r="J1720">
        <f t="shared" si="179"/>
        <v>11.466576830413654</v>
      </c>
      <c r="K1720">
        <f t="shared" si="180"/>
        <v>10868.02637287825</v>
      </c>
    </row>
    <row r="1721" spans="1:11" x14ac:dyDescent="0.35">
      <c r="A1721" s="1">
        <v>40634</v>
      </c>
      <c r="B1721" t="s">
        <v>18</v>
      </c>
      <c r="C1721" t="s">
        <v>40</v>
      </c>
      <c r="D1721">
        <v>678409</v>
      </c>
      <c r="E1721">
        <v>129111</v>
      </c>
      <c r="F1721">
        <f t="shared" si="172"/>
        <v>0.19031439736206329</v>
      </c>
      <c r="G1721">
        <f t="shared" si="178"/>
        <v>77.676821283326134</v>
      </c>
      <c r="H1721">
        <v>4661</v>
      </c>
      <c r="I1721" t="s">
        <v>40</v>
      </c>
      <c r="J1721">
        <f t="shared" si="179"/>
        <v>11.419821144187186</v>
      </c>
      <c r="K1721">
        <f t="shared" si="180"/>
        <v>10868.02637287825</v>
      </c>
    </row>
    <row r="1722" spans="1:11" x14ac:dyDescent="0.35">
      <c r="A1722" s="1">
        <v>40664</v>
      </c>
      <c r="B1722" t="s">
        <v>18</v>
      </c>
      <c r="C1722" t="s">
        <v>40</v>
      </c>
      <c r="D1722">
        <v>698357</v>
      </c>
      <c r="E1722">
        <v>141034</v>
      </c>
      <c r="F1722">
        <f t="shared" si="172"/>
        <v>0.2019511510588424</v>
      </c>
      <c r="G1722">
        <f t="shared" si="178"/>
        <v>82.426362304666526</v>
      </c>
      <c r="H1722">
        <v>4242.625</v>
      </c>
      <c r="I1722" t="s">
        <v>40</v>
      </c>
      <c r="J1722">
        <f t="shared" si="179"/>
        <v>10.3947690799951</v>
      </c>
      <c r="K1722">
        <f t="shared" si="180"/>
        <v>10868.02637287825</v>
      </c>
    </row>
    <row r="1723" spans="1:11" x14ac:dyDescent="0.35">
      <c r="A1723" s="1">
        <v>40695</v>
      </c>
      <c r="B1723" t="s">
        <v>18</v>
      </c>
      <c r="C1723" t="s">
        <v>40</v>
      </c>
      <c r="D1723">
        <v>725877</v>
      </c>
      <c r="E1723">
        <v>172800</v>
      </c>
      <c r="F1723">
        <f t="shared" si="172"/>
        <v>0.23805686087312314</v>
      </c>
      <c r="G1723">
        <f t="shared" si="178"/>
        <v>97.162907765365205</v>
      </c>
      <c r="H1723">
        <v>4672.2216666666673</v>
      </c>
      <c r="I1723" t="s">
        <v>40</v>
      </c>
      <c r="J1723">
        <f t="shared" si="179"/>
        <v>11.447315121074769</v>
      </c>
      <c r="K1723">
        <f t="shared" si="180"/>
        <v>10868.02637287825</v>
      </c>
    </row>
    <row r="1724" spans="1:11" x14ac:dyDescent="0.35">
      <c r="A1724" s="1">
        <v>40725</v>
      </c>
      <c r="B1724" t="s">
        <v>18</v>
      </c>
      <c r="C1724" t="s">
        <v>40</v>
      </c>
      <c r="D1724">
        <v>730121</v>
      </c>
      <c r="E1724">
        <v>177158</v>
      </c>
      <c r="F1724">
        <f t="shared" si="172"/>
        <v>0.24264197304282442</v>
      </c>
      <c r="G1724">
        <f t="shared" si="178"/>
        <v>99.034321297428775</v>
      </c>
      <c r="H1724">
        <v>4379</v>
      </c>
      <c r="I1724" t="s">
        <v>40</v>
      </c>
      <c r="J1724">
        <f t="shared" si="179"/>
        <v>10.728898689207398</v>
      </c>
      <c r="K1724">
        <f t="shared" si="180"/>
        <v>10868.02637287825</v>
      </c>
    </row>
    <row r="1725" spans="1:11" x14ac:dyDescent="0.35">
      <c r="A1725" s="1">
        <v>40756</v>
      </c>
      <c r="B1725" t="s">
        <v>18</v>
      </c>
      <c r="C1725" t="s">
        <v>40</v>
      </c>
      <c r="D1725">
        <v>742675</v>
      </c>
      <c r="E1725">
        <v>190457</v>
      </c>
      <c r="F1725">
        <f t="shared" si="172"/>
        <v>0.25644730198269766</v>
      </c>
      <c r="G1725">
        <f t="shared" si="178"/>
        <v>104.66896630423804</v>
      </c>
      <c r="H1725">
        <v>4430.8099999999995</v>
      </c>
      <c r="I1725" t="s">
        <v>40</v>
      </c>
      <c r="J1725">
        <f t="shared" si="179"/>
        <v>10.855837314712726</v>
      </c>
      <c r="K1725">
        <f t="shared" si="180"/>
        <v>10868.02637287825</v>
      </c>
    </row>
    <row r="1726" spans="1:11" x14ac:dyDescent="0.35">
      <c r="A1726" s="1">
        <v>40787</v>
      </c>
      <c r="B1726" t="s">
        <v>18</v>
      </c>
      <c r="C1726" t="s">
        <v>40</v>
      </c>
      <c r="D1726">
        <v>723181</v>
      </c>
      <c r="E1726">
        <v>167571</v>
      </c>
      <c r="F1726">
        <f t="shared" si="172"/>
        <v>0.23171377566611956</v>
      </c>
      <c r="G1726">
        <f t="shared" si="178"/>
        <v>94.573977538126698</v>
      </c>
      <c r="H1726">
        <v>4184.722777777778</v>
      </c>
      <c r="I1726" t="s">
        <v>40</v>
      </c>
      <c r="J1726">
        <f t="shared" si="179"/>
        <v>10.252904024936367</v>
      </c>
      <c r="K1726">
        <f t="shared" si="180"/>
        <v>10868.02637287825</v>
      </c>
    </row>
    <row r="1727" spans="1:11" x14ac:dyDescent="0.35">
      <c r="A1727" s="1">
        <v>40817</v>
      </c>
      <c r="B1727" t="s">
        <v>18</v>
      </c>
      <c r="C1727" t="s">
        <v>40</v>
      </c>
      <c r="D1727">
        <v>701047</v>
      </c>
      <c r="E1727">
        <v>132043</v>
      </c>
      <c r="F1727">
        <f t="shared" si="172"/>
        <v>0.18835113765553521</v>
      </c>
      <c r="G1727">
        <f t="shared" si="178"/>
        <v>76.875516834106691</v>
      </c>
      <c r="H1727">
        <v>3318.0550000000003</v>
      </c>
      <c r="I1727" t="s">
        <v>40</v>
      </c>
      <c r="J1727">
        <f t="shared" si="179"/>
        <v>8.1294989587161588</v>
      </c>
      <c r="K1727">
        <f t="shared" si="180"/>
        <v>10868.02637287825</v>
      </c>
    </row>
    <row r="1728" spans="1:11" x14ac:dyDescent="0.35">
      <c r="A1728" s="1">
        <v>40848</v>
      </c>
      <c r="B1728" t="s">
        <v>18</v>
      </c>
      <c r="C1728" t="s">
        <v>40</v>
      </c>
      <c r="D1728">
        <v>718248</v>
      </c>
      <c r="E1728">
        <v>125470</v>
      </c>
      <c r="F1728">
        <f t="shared" si="172"/>
        <v>0.17468896537129236</v>
      </c>
      <c r="G1728">
        <f t="shared" si="178"/>
        <v>71.299301216292974</v>
      </c>
      <c r="H1728">
        <v>3317.5</v>
      </c>
      <c r="I1728" t="s">
        <v>40</v>
      </c>
      <c r="J1728">
        <f t="shared" si="179"/>
        <v>8.128139164522846</v>
      </c>
      <c r="K1728">
        <f t="shared" si="180"/>
        <v>10868.02637287825</v>
      </c>
    </row>
    <row r="1729" spans="1:11" x14ac:dyDescent="0.35">
      <c r="A1729" s="1">
        <v>40878</v>
      </c>
      <c r="B1729" t="s">
        <v>18</v>
      </c>
      <c r="C1729" t="s">
        <v>40</v>
      </c>
      <c r="D1729">
        <v>694574</v>
      </c>
      <c r="E1729">
        <v>251047</v>
      </c>
      <c r="F1729">
        <f t="shared" si="172"/>
        <v>0.36144024970701466</v>
      </c>
      <c r="G1729">
        <f t="shared" si="178"/>
        <v>147.52183791791802</v>
      </c>
      <c r="H1729">
        <v>3791.6666666666665</v>
      </c>
      <c r="I1729" t="s">
        <v>40</v>
      </c>
      <c r="J1729">
        <f t="shared" si="179"/>
        <v>9.2898852546041066</v>
      </c>
      <c r="K1729">
        <f t="shared" si="180"/>
        <v>10868.02637287825</v>
      </c>
    </row>
    <row r="1730" spans="1:11" x14ac:dyDescent="0.35">
      <c r="A1730" s="1">
        <v>40909</v>
      </c>
      <c r="B1730" t="s">
        <v>2</v>
      </c>
      <c r="C1730" t="s">
        <v>38</v>
      </c>
      <c r="D1730">
        <v>19815</v>
      </c>
      <c r="E1730">
        <v>75897</v>
      </c>
      <c r="F1730">
        <f t="shared" si="172"/>
        <v>3.8302800908402723</v>
      </c>
      <c r="G1730">
        <f>F1730*45.36</f>
        <v>173.74150492051476</v>
      </c>
      <c r="H1730">
        <v>1850</v>
      </c>
      <c r="I1730" t="s">
        <v>59</v>
      </c>
      <c r="J1730">
        <f>H1730/110</f>
        <v>16.818181818181817</v>
      </c>
      <c r="K1730">
        <v>7982.6190521234357</v>
      </c>
    </row>
    <row r="1731" spans="1:11" x14ac:dyDescent="0.35">
      <c r="A1731" s="1">
        <v>40940</v>
      </c>
      <c r="B1731" t="s">
        <v>2</v>
      </c>
      <c r="C1731" t="s">
        <v>38</v>
      </c>
      <c r="D1731">
        <v>1379</v>
      </c>
      <c r="E1731">
        <v>2765</v>
      </c>
      <c r="F1731">
        <f t="shared" si="172"/>
        <v>2.0050761421319798</v>
      </c>
      <c r="G1731">
        <f t="shared" ref="G1731:G1794" si="181">F1731*45.36</f>
        <v>90.950253807106606</v>
      </c>
      <c r="H1731">
        <v>1609.3641364136413</v>
      </c>
      <c r="I1731" t="s">
        <v>59</v>
      </c>
      <c r="J1731">
        <f t="shared" ref="J1731:J1741" si="182">H1731/110</f>
        <v>14.630583058305829</v>
      </c>
      <c r="K1731">
        <v>7982.6190521234357</v>
      </c>
    </row>
    <row r="1732" spans="1:11" x14ac:dyDescent="0.35">
      <c r="A1732" s="1">
        <v>40969</v>
      </c>
      <c r="B1732" t="s">
        <v>2</v>
      </c>
      <c r="C1732" t="s">
        <v>38</v>
      </c>
      <c r="D1732">
        <v>20574</v>
      </c>
      <c r="E1732">
        <v>91075</v>
      </c>
      <c r="F1732">
        <f t="shared" si="172"/>
        <v>4.4267036064936329</v>
      </c>
      <c r="G1732">
        <f t="shared" si="181"/>
        <v>200.7952755905512</v>
      </c>
      <c r="H1732">
        <v>1602.0447199386604</v>
      </c>
      <c r="I1732" t="s">
        <v>59</v>
      </c>
      <c r="J1732">
        <f t="shared" si="182"/>
        <v>14.564042908533276</v>
      </c>
      <c r="K1732">
        <v>7982.6190521234357</v>
      </c>
    </row>
    <row r="1733" spans="1:11" x14ac:dyDescent="0.35">
      <c r="A1733" s="1">
        <v>41000</v>
      </c>
      <c r="B1733" t="s">
        <v>2</v>
      </c>
      <c r="C1733" t="s">
        <v>38</v>
      </c>
      <c r="D1733">
        <v>288906</v>
      </c>
      <c r="E1733">
        <v>1336149</v>
      </c>
      <c r="F1733">
        <f t="shared" si="172"/>
        <v>4.6248572199954312</v>
      </c>
      <c r="G1733">
        <f t="shared" si="181"/>
        <v>209.78352349899276</v>
      </c>
      <c r="H1733">
        <v>1668.75</v>
      </c>
      <c r="I1733" t="s">
        <v>59</v>
      </c>
      <c r="J1733">
        <f t="shared" si="182"/>
        <v>15.170454545454545</v>
      </c>
      <c r="K1733">
        <v>7982.6190521234357</v>
      </c>
    </row>
    <row r="1734" spans="1:11" x14ac:dyDescent="0.35">
      <c r="A1734" s="1">
        <v>41030</v>
      </c>
      <c r="B1734" t="s">
        <v>2</v>
      </c>
      <c r="C1734" t="s">
        <v>38</v>
      </c>
      <c r="D1734">
        <v>583917</v>
      </c>
      <c r="E1734">
        <v>2714505</v>
      </c>
      <c r="F1734">
        <f t="shared" si="172"/>
        <v>4.6487857007074638</v>
      </c>
      <c r="G1734">
        <f t="shared" si="181"/>
        <v>210.86891938409056</v>
      </c>
      <c r="H1734">
        <v>1499.1639163916391</v>
      </c>
      <c r="I1734" t="s">
        <v>59</v>
      </c>
      <c r="J1734">
        <f t="shared" si="182"/>
        <v>13.628762876287627</v>
      </c>
      <c r="K1734">
        <v>7982.6190521234357</v>
      </c>
    </row>
    <row r="1735" spans="1:11" x14ac:dyDescent="0.35">
      <c r="A1735" s="1">
        <v>41061</v>
      </c>
      <c r="B1735" t="s">
        <v>2</v>
      </c>
      <c r="C1735" t="s">
        <v>38</v>
      </c>
      <c r="D1735">
        <v>301265</v>
      </c>
      <c r="E1735">
        <v>1525215</v>
      </c>
      <c r="F1735">
        <f t="shared" si="172"/>
        <v>5.0627022720860371</v>
      </c>
      <c r="G1735">
        <f t="shared" si="181"/>
        <v>229.64417506182264</v>
      </c>
      <c r="H1735">
        <v>1549.9145056839018</v>
      </c>
      <c r="I1735" t="s">
        <v>59</v>
      </c>
      <c r="J1735">
        <f t="shared" si="182"/>
        <v>14.090131869853652</v>
      </c>
      <c r="K1735">
        <v>7982.6190521234357</v>
      </c>
    </row>
    <row r="1736" spans="1:11" x14ac:dyDescent="0.35">
      <c r="A1736" s="1">
        <v>41091</v>
      </c>
      <c r="B1736" t="s">
        <v>2</v>
      </c>
      <c r="C1736" t="s">
        <v>38</v>
      </c>
      <c r="D1736">
        <v>79073</v>
      </c>
      <c r="E1736">
        <v>360887</v>
      </c>
      <c r="F1736">
        <f t="shared" si="172"/>
        <v>4.5639725317112037</v>
      </c>
      <c r="G1736">
        <f t="shared" si="181"/>
        <v>207.02179403842018</v>
      </c>
      <c r="H1736">
        <v>1564.6134422442246</v>
      </c>
      <c r="I1736" t="s">
        <v>59</v>
      </c>
      <c r="J1736">
        <f t="shared" si="182"/>
        <v>14.223758565856588</v>
      </c>
      <c r="K1736">
        <v>7982.6190521234357</v>
      </c>
    </row>
    <row r="1737" spans="1:11" x14ac:dyDescent="0.35">
      <c r="A1737" s="1">
        <v>41122</v>
      </c>
      <c r="B1737" t="s">
        <v>2</v>
      </c>
      <c r="C1737" t="s">
        <v>38</v>
      </c>
      <c r="D1737">
        <v>38883</v>
      </c>
      <c r="E1737">
        <v>141611</v>
      </c>
      <c r="F1737">
        <f t="shared" si="172"/>
        <v>3.6419772136923592</v>
      </c>
      <c r="G1737">
        <f t="shared" si="181"/>
        <v>165.20008641308542</v>
      </c>
      <c r="H1737">
        <v>1576.9264759809314</v>
      </c>
      <c r="I1737" t="s">
        <v>59</v>
      </c>
      <c r="J1737">
        <f t="shared" si="182"/>
        <v>14.335695236190286</v>
      </c>
      <c r="K1737">
        <v>7982.6190521234357</v>
      </c>
    </row>
    <row r="1738" spans="1:11" x14ac:dyDescent="0.35">
      <c r="A1738" s="1">
        <v>41153</v>
      </c>
      <c r="B1738" t="s">
        <v>2</v>
      </c>
      <c r="C1738" t="s">
        <v>38</v>
      </c>
      <c r="D1738">
        <v>217410</v>
      </c>
      <c r="E1738">
        <v>892819</v>
      </c>
      <c r="F1738">
        <f t="shared" si="172"/>
        <v>4.1066142311761187</v>
      </c>
      <c r="G1738">
        <f t="shared" si="181"/>
        <v>186.27602152614875</v>
      </c>
      <c r="H1738">
        <v>1568.8428676200954</v>
      </c>
      <c r="I1738" t="s">
        <v>59</v>
      </c>
      <c r="J1738">
        <f t="shared" si="182"/>
        <v>14.262207887455412</v>
      </c>
      <c r="K1738">
        <v>7982.6190521234357</v>
      </c>
    </row>
    <row r="1739" spans="1:11" x14ac:dyDescent="0.35">
      <c r="A1739" s="1">
        <v>41183</v>
      </c>
      <c r="B1739" t="s">
        <v>2</v>
      </c>
      <c r="C1739" t="s">
        <v>38</v>
      </c>
      <c r="D1739">
        <v>487161</v>
      </c>
      <c r="E1739">
        <v>1924522</v>
      </c>
      <c r="F1739">
        <f t="shared" si="172"/>
        <v>3.9504845420713068</v>
      </c>
      <c r="G1739">
        <f t="shared" si="181"/>
        <v>179.19397882835449</v>
      </c>
      <c r="H1739">
        <v>1635.5095342867619</v>
      </c>
      <c r="I1739" t="s">
        <v>59</v>
      </c>
      <c r="J1739">
        <f t="shared" si="182"/>
        <v>14.868268493516018</v>
      </c>
      <c r="K1739">
        <v>7982.6190521234357</v>
      </c>
    </row>
    <row r="1740" spans="1:11" x14ac:dyDescent="0.35">
      <c r="A1740" s="1">
        <v>41214</v>
      </c>
      <c r="B1740" t="s">
        <v>2</v>
      </c>
      <c r="C1740" t="s">
        <v>38</v>
      </c>
      <c r="D1740">
        <v>441005</v>
      </c>
      <c r="E1740">
        <v>1513472</v>
      </c>
      <c r="F1740">
        <f t="shared" si="172"/>
        <v>3.4318703869570641</v>
      </c>
      <c r="G1740">
        <f t="shared" si="181"/>
        <v>155.66964075237243</v>
      </c>
      <c r="H1740">
        <v>1569.4070407040704</v>
      </c>
      <c r="I1740" t="s">
        <v>59</v>
      </c>
      <c r="J1740">
        <f t="shared" si="182"/>
        <v>14.267336733673368</v>
      </c>
      <c r="K1740">
        <v>7982.6190521234357</v>
      </c>
    </row>
    <row r="1741" spans="1:11" x14ac:dyDescent="0.35">
      <c r="A1741" s="1">
        <v>41244</v>
      </c>
      <c r="B1741" t="s">
        <v>2</v>
      </c>
      <c r="C1741" t="s">
        <v>38</v>
      </c>
      <c r="D1741">
        <v>78975</v>
      </c>
      <c r="E1741">
        <v>264146</v>
      </c>
      <c r="F1741">
        <f t="shared" si="172"/>
        <v>3.3446786957898067</v>
      </c>
      <c r="G1741">
        <f t="shared" si="181"/>
        <v>151.71462564102563</v>
      </c>
      <c r="H1741">
        <v>1530</v>
      </c>
      <c r="I1741" t="s">
        <v>59</v>
      </c>
      <c r="J1741">
        <f t="shared" si="182"/>
        <v>13.909090909090908</v>
      </c>
      <c r="K1741">
        <v>7982.6190521234357</v>
      </c>
    </row>
    <row r="1742" spans="1:11" x14ac:dyDescent="0.35">
      <c r="A1742" s="1">
        <v>40909</v>
      </c>
      <c r="B1742" t="s">
        <v>5</v>
      </c>
      <c r="C1742" t="s">
        <v>38</v>
      </c>
      <c r="D1742">
        <v>30380</v>
      </c>
      <c r="E1742">
        <v>50136</v>
      </c>
      <c r="F1742">
        <f t="shared" si="172"/>
        <v>1.6502962475312706</v>
      </c>
      <c r="G1742">
        <f t="shared" si="181"/>
        <v>74.85743778801843</v>
      </c>
      <c r="H1742">
        <v>700.89285714285711</v>
      </c>
      <c r="I1742" t="s">
        <v>38</v>
      </c>
      <c r="J1742">
        <f>H1742/45.36</f>
        <v>15.451782564877803</v>
      </c>
      <c r="K1742">
        <v>2248.3053412475001</v>
      </c>
    </row>
    <row r="1743" spans="1:11" x14ac:dyDescent="0.35">
      <c r="A1743" s="1">
        <v>40940</v>
      </c>
      <c r="B1743" t="s">
        <v>5</v>
      </c>
      <c r="C1743" t="s">
        <v>38</v>
      </c>
      <c r="D1743">
        <v>30048</v>
      </c>
      <c r="E1743">
        <v>72604</v>
      </c>
      <c r="F1743">
        <f t="shared" si="172"/>
        <v>2.4162673056443023</v>
      </c>
      <c r="G1743">
        <f t="shared" si="181"/>
        <v>109.60188498402555</v>
      </c>
      <c r="H1743">
        <v>693.17331666666666</v>
      </c>
      <c r="I1743" t="s">
        <v>38</v>
      </c>
      <c r="J1743">
        <f t="shared" ref="J1743:J1806" si="183">H1743/45.36</f>
        <v>15.281598691945915</v>
      </c>
      <c r="K1743">
        <v>2248.3053412475001</v>
      </c>
    </row>
    <row r="1744" spans="1:11" x14ac:dyDescent="0.35">
      <c r="A1744" s="1">
        <v>40969</v>
      </c>
      <c r="B1744" t="s">
        <v>5</v>
      </c>
      <c r="C1744" t="s">
        <v>38</v>
      </c>
      <c r="D1744">
        <v>14360</v>
      </c>
      <c r="E1744">
        <v>33747</v>
      </c>
      <c r="F1744">
        <f t="shared" si="172"/>
        <v>2.3500696378830082</v>
      </c>
      <c r="G1744">
        <f t="shared" si="181"/>
        <v>106.59915877437325</v>
      </c>
      <c r="H1744">
        <v>739.60714285714278</v>
      </c>
      <c r="I1744" t="s">
        <v>38</v>
      </c>
      <c r="J1744">
        <f t="shared" si="183"/>
        <v>16.305272108843536</v>
      </c>
      <c r="K1744">
        <v>2248.3053412475001</v>
      </c>
    </row>
    <row r="1745" spans="1:11" x14ac:dyDescent="0.35">
      <c r="A1745" s="1">
        <v>41000</v>
      </c>
      <c r="B1745" t="s">
        <v>5</v>
      </c>
      <c r="C1745" t="s">
        <v>38</v>
      </c>
      <c r="D1745">
        <v>31920</v>
      </c>
      <c r="E1745">
        <v>84173</v>
      </c>
      <c r="F1745">
        <f t="shared" si="172"/>
        <v>2.6369987468671678</v>
      </c>
      <c r="G1745">
        <f t="shared" si="181"/>
        <v>119.61426315789473</v>
      </c>
      <c r="H1745">
        <v>779.33333333333337</v>
      </c>
      <c r="I1745" t="s">
        <v>38</v>
      </c>
      <c r="J1745">
        <f t="shared" si="183"/>
        <v>17.181069958847736</v>
      </c>
      <c r="K1745">
        <v>2248.3053412475001</v>
      </c>
    </row>
    <row r="1746" spans="1:11" x14ac:dyDescent="0.35">
      <c r="A1746" s="1">
        <v>41030</v>
      </c>
      <c r="B1746" t="s">
        <v>5</v>
      </c>
      <c r="C1746" t="s">
        <v>38</v>
      </c>
      <c r="D1746">
        <v>27657</v>
      </c>
      <c r="E1746">
        <v>74210</v>
      </c>
      <c r="F1746">
        <f t="shared" ref="F1746:F1788" si="184">E1746/D1746</f>
        <v>2.6832266695592435</v>
      </c>
      <c r="G1746">
        <f t="shared" si="181"/>
        <v>121.71116173120728</v>
      </c>
      <c r="H1746">
        <v>767.14285714285722</v>
      </c>
      <c r="I1746" t="s">
        <v>38</v>
      </c>
      <c r="J1746">
        <f t="shared" si="183"/>
        <v>16.912320483749056</v>
      </c>
      <c r="K1746">
        <v>2248.3053412475001</v>
      </c>
    </row>
    <row r="1747" spans="1:11" x14ac:dyDescent="0.35">
      <c r="A1747" s="1">
        <v>41061</v>
      </c>
      <c r="B1747" t="s">
        <v>5</v>
      </c>
      <c r="C1747" t="s">
        <v>38</v>
      </c>
      <c r="D1747">
        <v>35274</v>
      </c>
      <c r="E1747">
        <v>94367</v>
      </c>
      <c r="F1747">
        <f t="shared" si="184"/>
        <v>2.6752565629075238</v>
      </c>
      <c r="G1747">
        <f t="shared" si="181"/>
        <v>121.34963769348528</v>
      </c>
      <c r="H1747">
        <v>670.14985714285717</v>
      </c>
      <c r="I1747" t="s">
        <v>38</v>
      </c>
      <c r="J1747">
        <f t="shared" si="183"/>
        <v>14.774026832955405</v>
      </c>
      <c r="K1747">
        <v>2248.3053412475001</v>
      </c>
    </row>
    <row r="1748" spans="1:11" x14ac:dyDescent="0.35">
      <c r="A1748" s="1">
        <v>41091</v>
      </c>
      <c r="B1748" t="s">
        <v>5</v>
      </c>
      <c r="C1748" t="s">
        <v>38</v>
      </c>
      <c r="D1748">
        <v>43081</v>
      </c>
      <c r="E1748">
        <v>96731</v>
      </c>
      <c r="F1748">
        <f t="shared" si="184"/>
        <v>2.2453285671177547</v>
      </c>
      <c r="G1748">
        <f t="shared" si="181"/>
        <v>101.84810380446136</v>
      </c>
      <c r="H1748">
        <v>659.46420000000001</v>
      </c>
      <c r="I1748" t="s">
        <v>38</v>
      </c>
      <c r="J1748">
        <f t="shared" si="183"/>
        <v>14.538452380952382</v>
      </c>
      <c r="K1748">
        <v>2248.3053412475001</v>
      </c>
    </row>
    <row r="1749" spans="1:11" x14ac:dyDescent="0.35">
      <c r="A1749" s="1">
        <v>41122</v>
      </c>
      <c r="B1749" t="s">
        <v>5</v>
      </c>
      <c r="C1749" t="s">
        <v>38</v>
      </c>
      <c r="D1749">
        <v>37975</v>
      </c>
      <c r="E1749">
        <v>81910</v>
      </c>
      <c r="F1749">
        <f t="shared" si="184"/>
        <v>2.1569453587886769</v>
      </c>
      <c r="G1749">
        <f t="shared" si="181"/>
        <v>97.83904147465438</v>
      </c>
      <c r="H1749">
        <v>752.7405291005291</v>
      </c>
      <c r="I1749" t="s">
        <v>38</v>
      </c>
      <c r="J1749">
        <f t="shared" si="183"/>
        <v>16.594808842604259</v>
      </c>
      <c r="K1749">
        <v>2248.3053412475001</v>
      </c>
    </row>
    <row r="1750" spans="1:11" x14ac:dyDescent="0.35">
      <c r="A1750" s="1">
        <v>41153</v>
      </c>
      <c r="B1750" t="s">
        <v>5</v>
      </c>
      <c r="C1750" t="s">
        <v>38</v>
      </c>
      <c r="D1750">
        <v>54775</v>
      </c>
      <c r="E1750">
        <v>106172</v>
      </c>
      <c r="F1750">
        <f t="shared" si="184"/>
        <v>1.9383295298950252</v>
      </c>
      <c r="G1750">
        <f t="shared" si="181"/>
        <v>87.922627476038343</v>
      </c>
      <c r="H1750">
        <v>722.52261904761906</v>
      </c>
      <c r="I1750" t="s">
        <v>38</v>
      </c>
      <c r="J1750">
        <f t="shared" si="183"/>
        <v>15.928629167716469</v>
      </c>
      <c r="K1750">
        <v>2248.3053412475001</v>
      </c>
    </row>
    <row r="1751" spans="1:11" x14ac:dyDescent="0.35">
      <c r="A1751" s="1">
        <v>41183</v>
      </c>
      <c r="B1751" t="s">
        <v>5</v>
      </c>
      <c r="C1751" t="s">
        <v>38</v>
      </c>
      <c r="D1751">
        <v>28043</v>
      </c>
      <c r="E1751">
        <v>49747</v>
      </c>
      <c r="F1751">
        <f t="shared" si="184"/>
        <v>1.7739542844916736</v>
      </c>
      <c r="G1751">
        <f t="shared" si="181"/>
        <v>80.466566344542315</v>
      </c>
      <c r="H1751">
        <v>701.7619047619047</v>
      </c>
      <c r="I1751" t="s">
        <v>38</v>
      </c>
      <c r="J1751">
        <f t="shared" si="183"/>
        <v>15.470941463004953</v>
      </c>
      <c r="K1751">
        <v>2248.3053412475001</v>
      </c>
    </row>
    <row r="1752" spans="1:11" x14ac:dyDescent="0.35">
      <c r="A1752" s="1">
        <v>41214</v>
      </c>
      <c r="B1752" t="s">
        <v>5</v>
      </c>
      <c r="C1752" t="s">
        <v>38</v>
      </c>
      <c r="D1752">
        <v>31001</v>
      </c>
      <c r="E1752">
        <v>64514</v>
      </c>
      <c r="F1752">
        <f t="shared" si="184"/>
        <v>2.0810296442050258</v>
      </c>
      <c r="G1752">
        <f t="shared" si="181"/>
        <v>94.395504661139967</v>
      </c>
      <c r="H1752">
        <v>689.25</v>
      </c>
      <c r="I1752" t="s">
        <v>38</v>
      </c>
      <c r="J1752">
        <f t="shared" si="183"/>
        <v>15.19510582010582</v>
      </c>
      <c r="K1752">
        <v>2248.3053412475001</v>
      </c>
    </row>
    <row r="1753" spans="1:11" x14ac:dyDescent="0.35">
      <c r="A1753" s="1">
        <v>41244</v>
      </c>
      <c r="B1753" t="s">
        <v>5</v>
      </c>
      <c r="C1753" t="s">
        <v>38</v>
      </c>
      <c r="D1753">
        <v>57380</v>
      </c>
      <c r="E1753">
        <v>108609</v>
      </c>
      <c r="F1753">
        <f t="shared" si="184"/>
        <v>1.8928023701638201</v>
      </c>
      <c r="G1753">
        <f t="shared" si="181"/>
        <v>85.857515510630876</v>
      </c>
      <c r="H1753">
        <v>756.5625</v>
      </c>
      <c r="I1753" t="s">
        <v>38</v>
      </c>
      <c r="J1753">
        <f t="shared" si="183"/>
        <v>16.679067460317462</v>
      </c>
      <c r="K1753">
        <v>2248.3053412475001</v>
      </c>
    </row>
    <row r="1754" spans="1:11" x14ac:dyDescent="0.35">
      <c r="A1754" s="1">
        <v>40909</v>
      </c>
      <c r="B1754" t="s">
        <v>7</v>
      </c>
      <c r="C1754" t="s">
        <v>38</v>
      </c>
      <c r="D1754">
        <v>8741</v>
      </c>
      <c r="E1754">
        <v>109150</v>
      </c>
      <c r="F1754">
        <f t="shared" si="184"/>
        <v>12.487129619036724</v>
      </c>
      <c r="G1754">
        <f t="shared" si="181"/>
        <v>566.41619951950577</v>
      </c>
      <c r="H1754">
        <v>155.13888888888886</v>
      </c>
      <c r="I1754" t="s">
        <v>38</v>
      </c>
      <c r="J1754">
        <f t="shared" si="183"/>
        <v>3.4201695081324703</v>
      </c>
      <c r="K1754">
        <v>5350.2017200091659</v>
      </c>
    </row>
    <row r="1755" spans="1:11" x14ac:dyDescent="0.35">
      <c r="A1755" s="1">
        <v>40940</v>
      </c>
      <c r="B1755" t="s">
        <v>7</v>
      </c>
      <c r="C1755" t="s">
        <v>38</v>
      </c>
      <c r="D1755">
        <v>8883</v>
      </c>
      <c r="E1755">
        <v>98890</v>
      </c>
      <c r="F1755">
        <f t="shared" si="184"/>
        <v>11.132500281436451</v>
      </c>
      <c r="G1755">
        <f t="shared" si="181"/>
        <v>504.9702127659574</v>
      </c>
      <c r="H1755">
        <v>251.54999999999998</v>
      </c>
      <c r="I1755" t="s">
        <v>38</v>
      </c>
      <c r="J1755">
        <f t="shared" si="183"/>
        <v>5.54563492063492</v>
      </c>
      <c r="K1755">
        <v>5350.2017200091659</v>
      </c>
    </row>
    <row r="1756" spans="1:11" x14ac:dyDescent="0.35">
      <c r="A1756" s="1">
        <v>40969</v>
      </c>
      <c r="B1756" t="s">
        <v>7</v>
      </c>
      <c r="C1756" t="s">
        <v>38</v>
      </c>
      <c r="D1756">
        <v>9350</v>
      </c>
      <c r="E1756">
        <v>107073</v>
      </c>
      <c r="F1756">
        <f t="shared" si="184"/>
        <v>11.451657754010695</v>
      </c>
      <c r="G1756">
        <f t="shared" si="181"/>
        <v>519.44719572192514</v>
      </c>
      <c r="H1756">
        <v>449.39269841269834</v>
      </c>
      <c r="I1756" t="s">
        <v>38</v>
      </c>
      <c r="J1756">
        <f t="shared" si="183"/>
        <v>9.9072464376697162</v>
      </c>
      <c r="K1756">
        <v>5350.2017200091659</v>
      </c>
    </row>
    <row r="1757" spans="1:11" x14ac:dyDescent="0.35">
      <c r="A1757" s="1">
        <v>41000</v>
      </c>
      <c r="B1757" t="s">
        <v>7</v>
      </c>
      <c r="C1757" t="s">
        <v>38</v>
      </c>
      <c r="D1757">
        <v>8777</v>
      </c>
      <c r="E1757">
        <v>103914</v>
      </c>
      <c r="F1757">
        <f t="shared" si="184"/>
        <v>11.839352854050359</v>
      </c>
      <c r="G1757">
        <f t="shared" si="181"/>
        <v>537.03304545972424</v>
      </c>
      <c r="H1757">
        <v>346.73250000000002</v>
      </c>
      <c r="I1757" t="s">
        <v>38</v>
      </c>
      <c r="J1757">
        <f t="shared" si="183"/>
        <v>7.6440145502645507</v>
      </c>
      <c r="K1757">
        <v>5350.2017200091659</v>
      </c>
    </row>
    <row r="1758" spans="1:11" x14ac:dyDescent="0.35">
      <c r="A1758" s="1">
        <v>41030</v>
      </c>
      <c r="B1758" t="s">
        <v>7</v>
      </c>
      <c r="C1758" t="s">
        <v>38</v>
      </c>
      <c r="D1758">
        <v>9101</v>
      </c>
      <c r="E1758">
        <v>94102</v>
      </c>
      <c r="F1758">
        <f t="shared" si="184"/>
        <v>10.339742885397209</v>
      </c>
      <c r="G1758">
        <f t="shared" si="181"/>
        <v>469.01073728161742</v>
      </c>
      <c r="H1758">
        <v>187.18392857142857</v>
      </c>
      <c r="I1758" t="s">
        <v>38</v>
      </c>
      <c r="J1758">
        <f t="shared" si="183"/>
        <v>4.1266298185941039</v>
      </c>
      <c r="K1758">
        <v>5350.2017200091659</v>
      </c>
    </row>
    <row r="1759" spans="1:11" x14ac:dyDescent="0.35">
      <c r="A1759" s="1">
        <v>41061</v>
      </c>
      <c r="B1759" t="s">
        <v>7</v>
      </c>
      <c r="C1759" t="s">
        <v>38</v>
      </c>
      <c r="D1759">
        <v>8709</v>
      </c>
      <c r="E1759">
        <v>98535</v>
      </c>
      <c r="F1759">
        <f t="shared" si="184"/>
        <v>11.314157767826387</v>
      </c>
      <c r="G1759">
        <f t="shared" si="181"/>
        <v>513.21019634860488</v>
      </c>
      <c r="H1759">
        <v>195.54492857142853</v>
      </c>
      <c r="I1759" t="s">
        <v>38</v>
      </c>
      <c r="J1759">
        <f t="shared" si="183"/>
        <v>4.3109552154194999</v>
      </c>
      <c r="K1759">
        <v>5350.2017200091659</v>
      </c>
    </row>
    <row r="1760" spans="1:11" x14ac:dyDescent="0.35">
      <c r="A1760" s="1">
        <v>41091</v>
      </c>
      <c r="B1760" t="s">
        <v>7</v>
      </c>
      <c r="C1760" t="s">
        <v>38</v>
      </c>
      <c r="D1760">
        <v>5573</v>
      </c>
      <c r="E1760">
        <v>61464</v>
      </c>
      <c r="F1760">
        <f t="shared" si="184"/>
        <v>11.028889287636821</v>
      </c>
      <c r="G1760">
        <f t="shared" si="181"/>
        <v>500.27041808720617</v>
      </c>
      <c r="H1760">
        <v>230.19706285714284</v>
      </c>
      <c r="I1760" t="s">
        <v>38</v>
      </c>
      <c r="J1760">
        <f t="shared" si="183"/>
        <v>5.0748911564625843</v>
      </c>
      <c r="K1760">
        <v>5350.2017200091659</v>
      </c>
    </row>
    <row r="1761" spans="1:11" x14ac:dyDescent="0.35">
      <c r="A1761" s="1">
        <v>41122</v>
      </c>
      <c r="B1761" t="s">
        <v>7</v>
      </c>
      <c r="C1761" t="s">
        <v>38</v>
      </c>
      <c r="D1761">
        <v>5703</v>
      </c>
      <c r="E1761">
        <v>70695</v>
      </c>
      <c r="F1761">
        <f t="shared" si="184"/>
        <v>12.396107311941083</v>
      </c>
      <c r="G1761">
        <f t="shared" si="181"/>
        <v>562.28742766964751</v>
      </c>
      <c r="H1761">
        <v>341.82407407407413</v>
      </c>
      <c r="I1761" t="s">
        <v>38</v>
      </c>
      <c r="J1761">
        <f t="shared" si="183"/>
        <v>7.5358041021621283</v>
      </c>
      <c r="K1761">
        <v>5350.2017200091659</v>
      </c>
    </row>
    <row r="1762" spans="1:11" x14ac:dyDescent="0.35">
      <c r="A1762" s="1">
        <v>41153</v>
      </c>
      <c r="B1762" t="s">
        <v>7</v>
      </c>
      <c r="C1762" t="s">
        <v>38</v>
      </c>
      <c r="D1762">
        <v>3698</v>
      </c>
      <c r="E1762">
        <v>41157</v>
      </c>
      <c r="F1762">
        <f t="shared" si="184"/>
        <v>11.129529475392104</v>
      </c>
      <c r="G1762">
        <f t="shared" si="181"/>
        <v>504.83545700378585</v>
      </c>
      <c r="H1762">
        <v>412.08333333333331</v>
      </c>
      <c r="I1762" t="s">
        <v>38</v>
      </c>
      <c r="J1762">
        <f t="shared" si="183"/>
        <v>9.0847295708406808</v>
      </c>
      <c r="K1762">
        <v>5350.2017200091659</v>
      </c>
    </row>
    <row r="1763" spans="1:11" x14ac:dyDescent="0.35">
      <c r="A1763" s="1">
        <v>41183</v>
      </c>
      <c r="B1763" t="s">
        <v>7</v>
      </c>
      <c r="C1763" t="s">
        <v>38</v>
      </c>
      <c r="D1763">
        <v>2605</v>
      </c>
      <c r="E1763">
        <v>27385</v>
      </c>
      <c r="F1763">
        <f t="shared" si="184"/>
        <v>10.512476007677543</v>
      </c>
      <c r="G1763">
        <f t="shared" si="181"/>
        <v>476.84591170825337</v>
      </c>
      <c r="H1763">
        <v>634.52380952380952</v>
      </c>
      <c r="I1763" t="s">
        <v>38</v>
      </c>
      <c r="J1763">
        <f t="shared" si="183"/>
        <v>13.98862013941379</v>
      </c>
      <c r="K1763">
        <v>5350.2017200091659</v>
      </c>
    </row>
    <row r="1764" spans="1:11" x14ac:dyDescent="0.35">
      <c r="A1764" s="1">
        <v>41214</v>
      </c>
      <c r="B1764" t="s">
        <v>7</v>
      </c>
      <c r="C1764" t="s">
        <v>38</v>
      </c>
      <c r="D1764">
        <v>8654</v>
      </c>
      <c r="E1764">
        <v>95874</v>
      </c>
      <c r="F1764">
        <f t="shared" si="184"/>
        <v>11.078576380864341</v>
      </c>
      <c r="G1764">
        <f t="shared" si="181"/>
        <v>502.52422463600652</v>
      </c>
      <c r="H1764">
        <v>503.5333333333333</v>
      </c>
      <c r="I1764" t="s">
        <v>38</v>
      </c>
      <c r="J1764">
        <f t="shared" si="183"/>
        <v>11.100823045267489</v>
      </c>
      <c r="K1764">
        <v>5350.2017200091659</v>
      </c>
    </row>
    <row r="1765" spans="1:11" x14ac:dyDescent="0.35">
      <c r="A1765" s="1">
        <v>41244</v>
      </c>
      <c r="B1765" t="s">
        <v>7</v>
      </c>
      <c r="C1765" t="s">
        <v>38</v>
      </c>
      <c r="D1765">
        <v>7524</v>
      </c>
      <c r="E1765">
        <v>72571</v>
      </c>
      <c r="F1765">
        <f t="shared" si="184"/>
        <v>9.6452684742158432</v>
      </c>
      <c r="G1765">
        <f t="shared" si="181"/>
        <v>437.50937799043066</v>
      </c>
      <c r="H1765">
        <v>547.5</v>
      </c>
      <c r="I1765" t="s">
        <v>38</v>
      </c>
      <c r="J1765">
        <f t="shared" si="183"/>
        <v>12.07010582010582</v>
      </c>
      <c r="K1765">
        <v>5350.2017200091659</v>
      </c>
    </row>
    <row r="1766" spans="1:11" x14ac:dyDescent="0.35">
      <c r="A1766" s="1">
        <v>40909</v>
      </c>
      <c r="B1766" t="s">
        <v>8</v>
      </c>
      <c r="C1766" t="s">
        <v>38</v>
      </c>
      <c r="D1766">
        <v>8682</v>
      </c>
      <c r="E1766">
        <v>84694</v>
      </c>
      <c r="F1766">
        <f t="shared" si="184"/>
        <v>9.7551255471089604</v>
      </c>
      <c r="G1766">
        <f t="shared" si="181"/>
        <v>442.49249481686246</v>
      </c>
      <c r="H1766">
        <v>967.17857142857133</v>
      </c>
      <c r="I1766" t="s">
        <v>38</v>
      </c>
      <c r="J1766">
        <f t="shared" si="183"/>
        <v>21.322278911564624</v>
      </c>
      <c r="K1766">
        <v>8360.1905549999974</v>
      </c>
    </row>
    <row r="1767" spans="1:11" x14ac:dyDescent="0.35">
      <c r="A1767" s="1">
        <v>40940</v>
      </c>
      <c r="B1767" t="s">
        <v>8</v>
      </c>
      <c r="C1767" t="s">
        <v>38</v>
      </c>
      <c r="D1767">
        <v>10643</v>
      </c>
      <c r="E1767">
        <v>84784</v>
      </c>
      <c r="F1767">
        <f t="shared" si="184"/>
        <v>7.9661749506718031</v>
      </c>
      <c r="G1767">
        <f t="shared" si="181"/>
        <v>361.34569576247299</v>
      </c>
      <c r="H1767">
        <v>1045.3571428571429</v>
      </c>
      <c r="I1767" t="s">
        <v>38</v>
      </c>
      <c r="J1767">
        <f t="shared" si="183"/>
        <v>23.045792391030488</v>
      </c>
      <c r="K1767">
        <v>8360.1905549999974</v>
      </c>
    </row>
    <row r="1768" spans="1:11" x14ac:dyDescent="0.35">
      <c r="A1768" s="1">
        <v>40969</v>
      </c>
      <c r="B1768" t="s">
        <v>8</v>
      </c>
      <c r="C1768" t="s">
        <v>38</v>
      </c>
      <c r="D1768">
        <v>8133</v>
      </c>
      <c r="E1768">
        <v>83882</v>
      </c>
      <c r="F1768">
        <f t="shared" si="184"/>
        <v>10.313783351776712</v>
      </c>
      <c r="G1768">
        <f t="shared" si="181"/>
        <v>467.83321283659166</v>
      </c>
      <c r="H1768">
        <v>970.65476190476193</v>
      </c>
      <c r="I1768" t="s">
        <v>38</v>
      </c>
      <c r="J1768">
        <f t="shared" si="183"/>
        <v>21.398914504073236</v>
      </c>
      <c r="K1768">
        <v>8360.1905549999974</v>
      </c>
    </row>
    <row r="1769" spans="1:11" x14ac:dyDescent="0.35">
      <c r="A1769" s="1">
        <v>41000</v>
      </c>
      <c r="B1769" t="s">
        <v>8</v>
      </c>
      <c r="C1769" t="s">
        <v>38</v>
      </c>
      <c r="D1769">
        <v>5939</v>
      </c>
      <c r="E1769">
        <v>53708</v>
      </c>
      <c r="F1769">
        <f t="shared" si="184"/>
        <v>9.0432732783296856</v>
      </c>
      <c r="G1769">
        <f t="shared" si="181"/>
        <v>410.20287590503455</v>
      </c>
      <c r="H1769">
        <v>1040.3186428571428</v>
      </c>
      <c r="I1769" t="s">
        <v>38</v>
      </c>
      <c r="J1769">
        <f t="shared" si="183"/>
        <v>22.934714348702443</v>
      </c>
      <c r="K1769">
        <v>8360.1905549999974</v>
      </c>
    </row>
    <row r="1770" spans="1:11" x14ac:dyDescent="0.35">
      <c r="A1770" s="1">
        <v>41030</v>
      </c>
      <c r="B1770" t="s">
        <v>8</v>
      </c>
      <c r="C1770" t="s">
        <v>38</v>
      </c>
      <c r="D1770">
        <v>6721</v>
      </c>
      <c r="E1770">
        <v>66104</v>
      </c>
      <c r="F1770">
        <f t="shared" si="184"/>
        <v>9.8354411545900913</v>
      </c>
      <c r="G1770">
        <f t="shared" si="181"/>
        <v>446.13561077220652</v>
      </c>
      <c r="H1770">
        <v>1075.1602777777778</v>
      </c>
      <c r="I1770" t="s">
        <v>38</v>
      </c>
      <c r="J1770">
        <f t="shared" si="183"/>
        <v>23.702827993337252</v>
      </c>
      <c r="K1770">
        <v>8360.1905549999974</v>
      </c>
    </row>
    <row r="1771" spans="1:11" x14ac:dyDescent="0.35">
      <c r="A1771" s="1">
        <v>41061</v>
      </c>
      <c r="B1771" t="s">
        <v>8</v>
      </c>
      <c r="C1771" t="s">
        <v>38</v>
      </c>
      <c r="D1771">
        <v>5064</v>
      </c>
      <c r="E1771">
        <v>41268</v>
      </c>
      <c r="F1771">
        <f t="shared" si="184"/>
        <v>8.1492890995260669</v>
      </c>
      <c r="G1771">
        <f t="shared" si="181"/>
        <v>369.65175355450242</v>
      </c>
      <c r="H1771">
        <v>1291.0238095238094</v>
      </c>
      <c r="I1771" t="s">
        <v>38</v>
      </c>
      <c r="J1771">
        <f t="shared" si="183"/>
        <v>28.461724195851179</v>
      </c>
      <c r="K1771">
        <v>8360.1905549999974</v>
      </c>
    </row>
    <row r="1772" spans="1:11" x14ac:dyDescent="0.35">
      <c r="A1772" s="1">
        <v>41091</v>
      </c>
      <c r="B1772" t="s">
        <v>8</v>
      </c>
      <c r="C1772" t="s">
        <v>38</v>
      </c>
      <c r="D1772">
        <v>3001</v>
      </c>
      <c r="E1772">
        <v>25998</v>
      </c>
      <c r="F1772">
        <f t="shared" si="184"/>
        <v>8.6631122959013656</v>
      </c>
      <c r="G1772">
        <f t="shared" si="181"/>
        <v>392.95877374208595</v>
      </c>
      <c r="H1772">
        <v>1184.9242857142858</v>
      </c>
      <c r="I1772" t="s">
        <v>38</v>
      </c>
      <c r="J1772">
        <f t="shared" si="183"/>
        <v>26.122669438145632</v>
      </c>
      <c r="K1772">
        <v>8360.1905549999974</v>
      </c>
    </row>
    <row r="1773" spans="1:11" x14ac:dyDescent="0.35">
      <c r="A1773" s="1">
        <v>41122</v>
      </c>
      <c r="B1773" t="s">
        <v>8</v>
      </c>
      <c r="C1773" t="s">
        <v>38</v>
      </c>
      <c r="D1773">
        <v>1984</v>
      </c>
      <c r="E1773">
        <v>24191</v>
      </c>
      <c r="F1773">
        <f t="shared" si="184"/>
        <v>12.19304435483871</v>
      </c>
      <c r="G1773">
        <f t="shared" si="181"/>
        <v>553.07649193548389</v>
      </c>
      <c r="H1773">
        <v>1063.03125</v>
      </c>
      <c r="I1773" t="s">
        <v>38</v>
      </c>
      <c r="J1773">
        <f t="shared" si="183"/>
        <v>23.435433201058203</v>
      </c>
      <c r="K1773">
        <v>8360.1905549999974</v>
      </c>
    </row>
    <row r="1774" spans="1:11" x14ac:dyDescent="0.35">
      <c r="A1774" s="1">
        <v>41153</v>
      </c>
      <c r="B1774" t="s">
        <v>8</v>
      </c>
      <c r="C1774" t="s">
        <v>38</v>
      </c>
      <c r="D1774">
        <v>1993</v>
      </c>
      <c r="E1774">
        <v>17728</v>
      </c>
      <c r="F1774">
        <f t="shared" si="184"/>
        <v>8.895132965378826</v>
      </c>
      <c r="G1774">
        <f t="shared" si="181"/>
        <v>403.48323130958352</v>
      </c>
      <c r="H1774">
        <v>1085.875</v>
      </c>
      <c r="I1774" t="s">
        <v>38</v>
      </c>
      <c r="J1774">
        <f t="shared" si="183"/>
        <v>23.939043209876544</v>
      </c>
      <c r="K1774">
        <v>8360.1905549999974</v>
      </c>
    </row>
    <row r="1775" spans="1:11" x14ac:dyDescent="0.35">
      <c r="A1775" s="1">
        <v>41183</v>
      </c>
      <c r="B1775" t="s">
        <v>8</v>
      </c>
      <c r="C1775" t="s">
        <v>38</v>
      </c>
      <c r="D1775">
        <v>4624</v>
      </c>
      <c r="E1775">
        <v>45345</v>
      </c>
      <c r="F1775">
        <f t="shared" si="184"/>
        <v>9.8064446366782008</v>
      </c>
      <c r="G1775">
        <f t="shared" si="181"/>
        <v>444.82032871972319</v>
      </c>
      <c r="H1775">
        <v>1057.0699166666666</v>
      </c>
      <c r="I1775" t="s">
        <v>38</v>
      </c>
      <c r="J1775">
        <f t="shared" si="183"/>
        <v>23.304010508524396</v>
      </c>
      <c r="K1775">
        <v>8360.1905549999974</v>
      </c>
    </row>
    <row r="1776" spans="1:11" x14ac:dyDescent="0.35">
      <c r="A1776" s="1">
        <v>41214</v>
      </c>
      <c r="B1776" t="s">
        <v>8</v>
      </c>
      <c r="C1776" t="s">
        <v>38</v>
      </c>
      <c r="D1776">
        <v>6194</v>
      </c>
      <c r="E1776">
        <v>46998</v>
      </c>
      <c r="F1776">
        <f t="shared" si="184"/>
        <v>7.5876654827252183</v>
      </c>
      <c r="G1776">
        <f t="shared" si="181"/>
        <v>344.17650629641588</v>
      </c>
      <c r="H1776">
        <v>1088.7213750000001</v>
      </c>
      <c r="I1776" t="s">
        <v>38</v>
      </c>
      <c r="J1776">
        <f t="shared" si="183"/>
        <v>24.001793981481484</v>
      </c>
      <c r="K1776">
        <v>8360.1905549999974</v>
      </c>
    </row>
    <row r="1777" spans="1:11" x14ac:dyDescent="0.35">
      <c r="A1777" s="1">
        <v>41244</v>
      </c>
      <c r="B1777" t="s">
        <v>8</v>
      </c>
      <c r="C1777" t="s">
        <v>38</v>
      </c>
      <c r="D1777">
        <v>5647</v>
      </c>
      <c r="E1777">
        <v>55471</v>
      </c>
      <c r="F1777">
        <f t="shared" si="184"/>
        <v>9.8230919072073668</v>
      </c>
      <c r="G1777">
        <f t="shared" si="181"/>
        <v>445.57544891092613</v>
      </c>
      <c r="H1777">
        <v>1133.0357142857144</v>
      </c>
      <c r="I1777" t="s">
        <v>38</v>
      </c>
      <c r="J1777">
        <f t="shared" si="183"/>
        <v>24.978741496598644</v>
      </c>
      <c r="K1777">
        <v>8360.1905549999974</v>
      </c>
    </row>
    <row r="1778" spans="1:11" x14ac:dyDescent="0.35">
      <c r="A1778" s="1">
        <v>40909</v>
      </c>
      <c r="B1778" t="s">
        <v>9</v>
      </c>
      <c r="C1778" t="s">
        <v>38</v>
      </c>
      <c r="D1778">
        <v>3339</v>
      </c>
      <c r="E1778">
        <v>128478</v>
      </c>
      <c r="F1778">
        <f t="shared" si="184"/>
        <v>38.477987421383645</v>
      </c>
      <c r="G1778">
        <f t="shared" si="181"/>
        <v>1745.3615094339621</v>
      </c>
      <c r="H1778">
        <v>995.54285714285709</v>
      </c>
      <c r="I1778" t="s">
        <v>38</v>
      </c>
      <c r="J1778">
        <f t="shared" si="183"/>
        <v>21.947593852355755</v>
      </c>
      <c r="K1778">
        <v>24344.842076237994</v>
      </c>
    </row>
    <row r="1779" spans="1:11" x14ac:dyDescent="0.35">
      <c r="A1779" s="1">
        <v>40940</v>
      </c>
      <c r="B1779" t="s">
        <v>9</v>
      </c>
      <c r="C1779" t="s">
        <v>38</v>
      </c>
      <c r="D1779">
        <v>3984</v>
      </c>
      <c r="E1779">
        <v>140693</v>
      </c>
      <c r="F1779">
        <f t="shared" si="184"/>
        <v>35.314508032128515</v>
      </c>
      <c r="G1779">
        <f t="shared" si="181"/>
        <v>1601.8660843373493</v>
      </c>
      <c r="H1779">
        <v>798.79</v>
      </c>
      <c r="I1779" t="s">
        <v>38</v>
      </c>
      <c r="J1779">
        <f t="shared" si="183"/>
        <v>17.610008818342152</v>
      </c>
      <c r="K1779">
        <v>24344.842076237994</v>
      </c>
    </row>
    <row r="1780" spans="1:11" x14ac:dyDescent="0.35">
      <c r="A1780" s="1">
        <v>40969</v>
      </c>
      <c r="B1780" t="s">
        <v>9</v>
      </c>
      <c r="C1780" t="s">
        <v>38</v>
      </c>
      <c r="D1780">
        <v>2950</v>
      </c>
      <c r="E1780">
        <v>94480</v>
      </c>
      <c r="F1780">
        <f t="shared" si="184"/>
        <v>32.027118644067798</v>
      </c>
      <c r="G1780">
        <f t="shared" si="181"/>
        <v>1452.7501016949152</v>
      </c>
      <c r="H1780">
        <v>664.88785000000007</v>
      </c>
      <c r="I1780" t="s">
        <v>38</v>
      </c>
      <c r="J1780">
        <f t="shared" si="183"/>
        <v>14.658021384479719</v>
      </c>
      <c r="K1780">
        <v>24344.842076237994</v>
      </c>
    </row>
    <row r="1781" spans="1:11" x14ac:dyDescent="0.35">
      <c r="A1781" s="1">
        <v>41000</v>
      </c>
      <c r="B1781" t="s">
        <v>9</v>
      </c>
      <c r="C1781" t="s">
        <v>38</v>
      </c>
      <c r="D1781">
        <v>4928</v>
      </c>
      <c r="E1781">
        <v>122698</v>
      </c>
      <c r="F1781">
        <f t="shared" si="184"/>
        <v>24.898133116883116</v>
      </c>
      <c r="G1781">
        <f t="shared" si="181"/>
        <v>1129.3793181818182</v>
      </c>
      <c r="H1781">
        <v>687.5</v>
      </c>
      <c r="I1781" t="s">
        <v>38</v>
      </c>
      <c r="J1781">
        <f t="shared" si="183"/>
        <v>15.156525573192241</v>
      </c>
      <c r="K1781">
        <v>24344.842076237994</v>
      </c>
    </row>
    <row r="1782" spans="1:11" x14ac:dyDescent="0.35">
      <c r="A1782" s="1">
        <v>41030</v>
      </c>
      <c r="B1782" t="s">
        <v>9</v>
      </c>
      <c r="C1782" t="s">
        <v>38</v>
      </c>
      <c r="D1782">
        <v>2987</v>
      </c>
      <c r="E1782">
        <v>82147</v>
      </c>
      <c r="F1782">
        <f t="shared" si="184"/>
        <v>27.501506528289255</v>
      </c>
      <c r="G1782">
        <f t="shared" si="181"/>
        <v>1247.4683361232005</v>
      </c>
      <c r="H1782">
        <v>631.42857142857144</v>
      </c>
      <c r="I1782" t="s">
        <v>38</v>
      </c>
      <c r="J1782">
        <f t="shared" si="183"/>
        <v>13.920382968002016</v>
      </c>
      <c r="K1782">
        <v>24344.842076237994</v>
      </c>
    </row>
    <row r="1783" spans="1:11" x14ac:dyDescent="0.35">
      <c r="A1783" s="1">
        <v>41061</v>
      </c>
      <c r="B1783" t="s">
        <v>9</v>
      </c>
      <c r="C1783" t="s">
        <v>38</v>
      </c>
      <c r="D1783">
        <v>3001</v>
      </c>
      <c r="E1783">
        <v>83125</v>
      </c>
      <c r="F1783">
        <f t="shared" si="184"/>
        <v>27.699100299900035</v>
      </c>
      <c r="G1783">
        <f t="shared" si="181"/>
        <v>1256.4311896034656</v>
      </c>
      <c r="H1783">
        <v>717.11565476190481</v>
      </c>
      <c r="I1783" t="s">
        <v>38</v>
      </c>
      <c r="J1783">
        <f t="shared" si="183"/>
        <v>15.809428015033175</v>
      </c>
      <c r="K1783">
        <v>24344.842076237994</v>
      </c>
    </row>
    <row r="1784" spans="1:11" x14ac:dyDescent="0.35">
      <c r="A1784" s="1">
        <v>41091</v>
      </c>
      <c r="B1784" t="s">
        <v>9</v>
      </c>
      <c r="C1784" t="s">
        <v>38</v>
      </c>
      <c r="D1784">
        <v>4729</v>
      </c>
      <c r="E1784">
        <v>182810</v>
      </c>
      <c r="F1784">
        <f t="shared" si="184"/>
        <v>38.657221399873123</v>
      </c>
      <c r="G1784">
        <f t="shared" si="181"/>
        <v>1753.4915626982449</v>
      </c>
      <c r="H1784">
        <v>1072.5</v>
      </c>
      <c r="I1784" t="s">
        <v>38</v>
      </c>
      <c r="J1784">
        <f t="shared" si="183"/>
        <v>23.644179894179896</v>
      </c>
      <c r="K1784">
        <v>24344.842076237994</v>
      </c>
    </row>
    <row r="1785" spans="1:11" x14ac:dyDescent="0.35">
      <c r="A1785" s="1">
        <v>41122</v>
      </c>
      <c r="B1785" t="s">
        <v>9</v>
      </c>
      <c r="C1785" t="s">
        <v>38</v>
      </c>
      <c r="D1785">
        <v>2883</v>
      </c>
      <c r="E1785">
        <v>124210</v>
      </c>
      <c r="F1785">
        <f t="shared" si="184"/>
        <v>43.083593479014915</v>
      </c>
      <c r="G1785">
        <f t="shared" si="181"/>
        <v>1954.2718002081165</v>
      </c>
      <c r="H1785">
        <v>1414.3316666666665</v>
      </c>
      <c r="I1785" t="s">
        <v>38</v>
      </c>
      <c r="J1785">
        <f t="shared" si="183"/>
        <v>31.180151381540266</v>
      </c>
      <c r="K1785">
        <v>24344.842076237994</v>
      </c>
    </row>
    <row r="1786" spans="1:11" x14ac:dyDescent="0.35">
      <c r="A1786" s="1">
        <v>41153</v>
      </c>
      <c r="B1786" t="s">
        <v>9</v>
      </c>
      <c r="C1786" t="s">
        <v>38</v>
      </c>
      <c r="D1786">
        <v>2276</v>
      </c>
      <c r="E1786">
        <v>81505</v>
      </c>
      <c r="F1786">
        <f t="shared" si="184"/>
        <v>35.810632688927946</v>
      </c>
      <c r="G1786">
        <f t="shared" si="181"/>
        <v>1624.3702987697716</v>
      </c>
      <c r="H1786">
        <v>706.041875</v>
      </c>
      <c r="I1786" t="s">
        <v>38</v>
      </c>
      <c r="J1786">
        <f t="shared" si="183"/>
        <v>15.565297067901234</v>
      </c>
      <c r="K1786">
        <v>24344.842076237994</v>
      </c>
    </row>
    <row r="1787" spans="1:11" x14ac:dyDescent="0.35">
      <c r="A1787" s="1">
        <v>41183</v>
      </c>
      <c r="B1787" t="s">
        <v>9</v>
      </c>
      <c r="C1787" t="s">
        <v>38</v>
      </c>
      <c r="D1787">
        <v>2450</v>
      </c>
      <c r="E1787">
        <v>97300</v>
      </c>
      <c r="F1787">
        <f t="shared" si="184"/>
        <v>39.714285714285715</v>
      </c>
      <c r="G1787">
        <f t="shared" si="181"/>
        <v>1801.44</v>
      </c>
      <c r="H1787">
        <v>681.54983333333325</v>
      </c>
      <c r="I1787" t="s">
        <v>38</v>
      </c>
      <c r="J1787">
        <f t="shared" si="183"/>
        <v>15.025349059376836</v>
      </c>
      <c r="K1787">
        <v>24344.842076237994</v>
      </c>
    </row>
    <row r="1788" spans="1:11" x14ac:dyDescent="0.35">
      <c r="A1788" s="1">
        <v>41214</v>
      </c>
      <c r="B1788" t="s">
        <v>9</v>
      </c>
      <c r="C1788" t="s">
        <v>38</v>
      </c>
      <c r="D1788">
        <v>3550</v>
      </c>
      <c r="E1788">
        <v>110444</v>
      </c>
      <c r="F1788">
        <f t="shared" si="184"/>
        <v>31.110985915492957</v>
      </c>
      <c r="G1788">
        <f t="shared" si="181"/>
        <v>1411.1943211267605</v>
      </c>
      <c r="H1788">
        <v>1067</v>
      </c>
      <c r="I1788" t="s">
        <v>38</v>
      </c>
      <c r="J1788">
        <f t="shared" si="183"/>
        <v>23.522927689594358</v>
      </c>
      <c r="K1788">
        <v>24344.842076237994</v>
      </c>
    </row>
    <row r="1789" spans="1:11" x14ac:dyDescent="0.35">
      <c r="A1789" s="1">
        <v>41244</v>
      </c>
      <c r="B1789" t="s">
        <v>9</v>
      </c>
      <c r="C1789" t="s">
        <v>38</v>
      </c>
      <c r="D1789">
        <v>2642</v>
      </c>
      <c r="E1789">
        <v>88320</v>
      </c>
      <c r="F1789">
        <f>E1789/D1789</f>
        <v>33.429220287660861</v>
      </c>
      <c r="G1789">
        <f t="shared" si="181"/>
        <v>1516.3494322482966</v>
      </c>
      <c r="H1789">
        <v>1114.2857142857142</v>
      </c>
      <c r="I1789" t="s">
        <v>38</v>
      </c>
      <c r="J1789">
        <f t="shared" si="183"/>
        <v>24.565381708238849</v>
      </c>
      <c r="K1789">
        <v>24344.842076237994</v>
      </c>
    </row>
    <row r="1790" spans="1:11" x14ac:dyDescent="0.35">
      <c r="A1790" s="1">
        <v>40909</v>
      </c>
      <c r="B1790" t="s">
        <v>10</v>
      </c>
      <c r="C1790" t="s">
        <v>38</v>
      </c>
      <c r="D1790">
        <v>7840</v>
      </c>
      <c r="E1790">
        <v>56899</v>
      </c>
      <c r="F1790">
        <f t="shared" ref="F1790:F1853" si="185">E1790/D1790</f>
        <v>7.2575255102040819</v>
      </c>
      <c r="G1790">
        <f t="shared" si="181"/>
        <v>329.20135714285715</v>
      </c>
      <c r="H1790">
        <v>1162.3114285714285</v>
      </c>
      <c r="I1790" t="s">
        <v>38</v>
      </c>
      <c r="J1790">
        <f t="shared" si="183"/>
        <v>25.624149659863942</v>
      </c>
      <c r="K1790">
        <v>8104.7130577283997</v>
      </c>
    </row>
    <row r="1791" spans="1:11" x14ac:dyDescent="0.35">
      <c r="A1791" s="1">
        <v>40940</v>
      </c>
      <c r="B1791" t="s">
        <v>10</v>
      </c>
      <c r="C1791" t="s">
        <v>38</v>
      </c>
      <c r="D1791">
        <v>8099</v>
      </c>
      <c r="E1791">
        <v>61292</v>
      </c>
      <c r="F1791">
        <f t="shared" si="185"/>
        <v>7.5678478824546236</v>
      </c>
      <c r="G1791">
        <f t="shared" si="181"/>
        <v>343.27757994814175</v>
      </c>
      <c r="H1791">
        <v>1266.5</v>
      </c>
      <c r="I1791" t="s">
        <v>38</v>
      </c>
      <c r="J1791">
        <f t="shared" si="183"/>
        <v>27.921075837742503</v>
      </c>
      <c r="K1791">
        <v>8104.7130577283997</v>
      </c>
    </row>
    <row r="1792" spans="1:11" x14ac:dyDescent="0.35">
      <c r="A1792" s="1">
        <v>40969</v>
      </c>
      <c r="B1792" t="s">
        <v>10</v>
      </c>
      <c r="C1792" t="s">
        <v>38</v>
      </c>
      <c r="D1792">
        <v>7914</v>
      </c>
      <c r="E1792">
        <v>69025</v>
      </c>
      <c r="F1792">
        <f t="shared" si="185"/>
        <v>8.7218852666161233</v>
      </c>
      <c r="G1792">
        <f t="shared" si="181"/>
        <v>395.62471569370734</v>
      </c>
      <c r="H1792">
        <v>1247.5</v>
      </c>
      <c r="I1792" t="s">
        <v>38</v>
      </c>
      <c r="J1792">
        <f t="shared" si="183"/>
        <v>27.502204585537918</v>
      </c>
      <c r="K1792">
        <v>8104.7130577283997</v>
      </c>
    </row>
    <row r="1793" spans="1:11" x14ac:dyDescent="0.35">
      <c r="A1793" s="1">
        <v>41000</v>
      </c>
      <c r="B1793" t="s">
        <v>10</v>
      </c>
      <c r="C1793" t="s">
        <v>38</v>
      </c>
      <c r="D1793">
        <v>8320</v>
      </c>
      <c r="E1793">
        <v>63299</v>
      </c>
      <c r="F1793">
        <f t="shared" si="185"/>
        <v>7.6080528846153843</v>
      </c>
      <c r="G1793">
        <f t="shared" si="181"/>
        <v>345.10127884615383</v>
      </c>
      <c r="H1793">
        <v>1257.5714285714287</v>
      </c>
      <c r="I1793" t="s">
        <v>38</v>
      </c>
      <c r="J1793">
        <f t="shared" si="183"/>
        <v>27.724237843285465</v>
      </c>
      <c r="K1793">
        <v>8104.7130577283997</v>
      </c>
    </row>
    <row r="1794" spans="1:11" x14ac:dyDescent="0.35">
      <c r="A1794" s="1">
        <v>41030</v>
      </c>
      <c r="B1794" t="s">
        <v>10</v>
      </c>
      <c r="C1794" t="s">
        <v>38</v>
      </c>
      <c r="D1794">
        <v>6710</v>
      </c>
      <c r="E1794">
        <v>107985</v>
      </c>
      <c r="F1794">
        <f t="shared" si="185"/>
        <v>16.093144560357675</v>
      </c>
      <c r="G1794">
        <f t="shared" si="181"/>
        <v>729.98503725782416</v>
      </c>
      <c r="H1794">
        <v>1239.351851851852</v>
      </c>
      <c r="I1794" t="s">
        <v>38</v>
      </c>
      <c r="J1794">
        <f t="shared" si="183"/>
        <v>27.322571689855643</v>
      </c>
      <c r="K1794">
        <v>8104.7130577283997</v>
      </c>
    </row>
    <row r="1795" spans="1:11" x14ac:dyDescent="0.35">
      <c r="A1795" s="1">
        <v>41061</v>
      </c>
      <c r="B1795" t="s">
        <v>10</v>
      </c>
      <c r="C1795" t="s">
        <v>38</v>
      </c>
      <c r="D1795">
        <v>7817</v>
      </c>
      <c r="E1795">
        <v>61148</v>
      </c>
      <c r="F1795">
        <f t="shared" si="185"/>
        <v>7.8224382755532815</v>
      </c>
      <c r="G1795">
        <f t="shared" ref="G1795:G1837" si="186">F1795*45.36</f>
        <v>354.82580017909686</v>
      </c>
      <c r="H1795">
        <v>1081.3959183673471</v>
      </c>
      <c r="I1795" t="s">
        <v>38</v>
      </c>
      <c r="J1795">
        <f t="shared" si="183"/>
        <v>23.840298023971499</v>
      </c>
      <c r="K1795">
        <v>8104.7130577283997</v>
      </c>
    </row>
    <row r="1796" spans="1:11" x14ac:dyDescent="0.35">
      <c r="A1796" s="1">
        <v>41091</v>
      </c>
      <c r="B1796" t="s">
        <v>10</v>
      </c>
      <c r="C1796" t="s">
        <v>38</v>
      </c>
      <c r="D1796">
        <v>6241</v>
      </c>
      <c r="E1796">
        <v>52366</v>
      </c>
      <c r="F1796">
        <f t="shared" si="185"/>
        <v>8.3906425252363395</v>
      </c>
      <c r="G1796">
        <f t="shared" si="186"/>
        <v>380.59954494472038</v>
      </c>
      <c r="H1796">
        <v>1289.5918367346937</v>
      </c>
      <c r="I1796" t="s">
        <v>38</v>
      </c>
      <c r="J1796">
        <f t="shared" si="183"/>
        <v>28.430155130835399</v>
      </c>
      <c r="K1796">
        <v>8104.7130577283997</v>
      </c>
    </row>
    <row r="1797" spans="1:11" x14ac:dyDescent="0.35">
      <c r="A1797" s="1">
        <v>41122</v>
      </c>
      <c r="B1797" t="s">
        <v>10</v>
      </c>
      <c r="C1797" t="s">
        <v>38</v>
      </c>
      <c r="D1797">
        <v>4368</v>
      </c>
      <c r="E1797">
        <v>50416</v>
      </c>
      <c r="F1797">
        <f t="shared" si="185"/>
        <v>11.542124542124542</v>
      </c>
      <c r="G1797">
        <f t="shared" si="186"/>
        <v>523.55076923076922</v>
      </c>
      <c r="H1797">
        <v>1278.8293650793651</v>
      </c>
      <c r="I1797" t="s">
        <v>38</v>
      </c>
      <c r="J1797">
        <f t="shared" si="183"/>
        <v>28.192887237199407</v>
      </c>
      <c r="K1797">
        <v>8104.7130577283997</v>
      </c>
    </row>
    <row r="1798" spans="1:11" x14ac:dyDescent="0.35">
      <c r="A1798" s="1">
        <v>41153</v>
      </c>
      <c r="B1798" t="s">
        <v>10</v>
      </c>
      <c r="C1798" t="s">
        <v>38</v>
      </c>
      <c r="D1798">
        <v>3150</v>
      </c>
      <c r="E1798">
        <v>26266</v>
      </c>
      <c r="F1798">
        <f t="shared" si="185"/>
        <v>8.3384126984126983</v>
      </c>
      <c r="G1798">
        <f t="shared" si="186"/>
        <v>378.23039999999997</v>
      </c>
      <c r="H1798">
        <v>1278.8095238095239</v>
      </c>
      <c r="I1798" t="s">
        <v>38</v>
      </c>
      <c r="J1798">
        <f t="shared" si="183"/>
        <v>28.192449819433946</v>
      </c>
      <c r="K1798">
        <v>8104.7130577283997</v>
      </c>
    </row>
    <row r="1799" spans="1:11" x14ac:dyDescent="0.35">
      <c r="A1799" s="1">
        <v>41183</v>
      </c>
      <c r="B1799" t="s">
        <v>10</v>
      </c>
      <c r="C1799" t="s">
        <v>38</v>
      </c>
      <c r="D1799">
        <v>3539</v>
      </c>
      <c r="E1799">
        <v>28423</v>
      </c>
      <c r="F1799">
        <f t="shared" si="185"/>
        <v>8.0313647923142124</v>
      </c>
      <c r="G1799">
        <f t="shared" si="186"/>
        <v>364.30270697937266</v>
      </c>
      <c r="H1799">
        <v>1278.7692857142858</v>
      </c>
      <c r="I1799" t="s">
        <v>38</v>
      </c>
      <c r="J1799">
        <f t="shared" si="183"/>
        <v>28.191562736205597</v>
      </c>
      <c r="K1799">
        <v>8104.7130577283997</v>
      </c>
    </row>
    <row r="1800" spans="1:11" x14ac:dyDescent="0.35">
      <c r="A1800" s="1">
        <v>41214</v>
      </c>
      <c r="B1800" t="s">
        <v>10</v>
      </c>
      <c r="C1800" t="s">
        <v>38</v>
      </c>
      <c r="D1800">
        <v>6544</v>
      </c>
      <c r="E1800">
        <v>58321</v>
      </c>
      <c r="F1800">
        <f t="shared" si="185"/>
        <v>8.9121332518337404</v>
      </c>
      <c r="G1800">
        <f t="shared" si="186"/>
        <v>404.25436430317848</v>
      </c>
      <c r="H1800">
        <v>1512.3611111111113</v>
      </c>
      <c r="I1800" t="s">
        <v>38</v>
      </c>
      <c r="J1800">
        <f t="shared" si="183"/>
        <v>33.34129433666471</v>
      </c>
      <c r="K1800">
        <v>8104.7130577283997</v>
      </c>
    </row>
    <row r="1801" spans="1:11" x14ac:dyDescent="0.35">
      <c r="A1801" s="1">
        <v>41244</v>
      </c>
      <c r="B1801" t="s">
        <v>10</v>
      </c>
      <c r="C1801" t="s">
        <v>38</v>
      </c>
      <c r="D1801">
        <v>11554</v>
      </c>
      <c r="E1801">
        <v>83155</v>
      </c>
      <c r="F1801">
        <f t="shared" si="185"/>
        <v>7.1970746061969884</v>
      </c>
      <c r="G1801">
        <f t="shared" si="186"/>
        <v>326.45930413709539</v>
      </c>
      <c r="H1801">
        <v>1322.38095238095</v>
      </c>
      <c r="I1801" t="s">
        <v>38</v>
      </c>
      <c r="J1801">
        <f t="shared" si="183"/>
        <v>29.15301923238426</v>
      </c>
      <c r="K1801">
        <v>8104.7130577283997</v>
      </c>
    </row>
    <row r="1802" spans="1:11" x14ac:dyDescent="0.35">
      <c r="A1802" s="1">
        <v>40909</v>
      </c>
      <c r="B1802" t="s">
        <v>11</v>
      </c>
      <c r="C1802" t="s">
        <v>38</v>
      </c>
      <c r="D1802">
        <v>37012</v>
      </c>
      <c r="E1802">
        <v>340454</v>
      </c>
      <c r="F1802">
        <f t="shared" si="185"/>
        <v>9.1984761698908457</v>
      </c>
      <c r="G1802">
        <f t="shared" si="186"/>
        <v>417.24287906624875</v>
      </c>
      <c r="H1802">
        <v>349.60714285714289</v>
      </c>
      <c r="I1802" t="s">
        <v>38</v>
      </c>
      <c r="J1802">
        <f t="shared" si="183"/>
        <v>7.70738851095994</v>
      </c>
      <c r="K1802">
        <v>4628.421937642499</v>
      </c>
    </row>
    <row r="1803" spans="1:11" x14ac:dyDescent="0.35">
      <c r="A1803" s="1">
        <v>40940</v>
      </c>
      <c r="B1803" t="s">
        <v>11</v>
      </c>
      <c r="C1803" t="s">
        <v>38</v>
      </c>
      <c r="D1803">
        <v>69934</v>
      </c>
      <c r="E1803">
        <v>536512</v>
      </c>
      <c r="F1803">
        <f t="shared" si="185"/>
        <v>7.6716904509966541</v>
      </c>
      <c r="G1803">
        <f t="shared" si="186"/>
        <v>347.98787885720822</v>
      </c>
      <c r="H1803">
        <v>357.0557142857142</v>
      </c>
      <c r="I1803" t="s">
        <v>38</v>
      </c>
      <c r="J1803">
        <f t="shared" si="183"/>
        <v>7.8715986394557804</v>
      </c>
      <c r="K1803">
        <v>4628.421937642499</v>
      </c>
    </row>
    <row r="1804" spans="1:11" x14ac:dyDescent="0.35">
      <c r="A1804" s="1">
        <v>40969</v>
      </c>
      <c r="B1804" t="s">
        <v>11</v>
      </c>
      <c r="C1804" t="s">
        <v>38</v>
      </c>
      <c r="D1804">
        <v>27138</v>
      </c>
      <c r="E1804">
        <v>271014</v>
      </c>
      <c r="F1804">
        <f t="shared" si="185"/>
        <v>9.9865133760778253</v>
      </c>
      <c r="G1804">
        <f t="shared" si="186"/>
        <v>452.98824673889015</v>
      </c>
      <c r="H1804">
        <v>360.88657142857141</v>
      </c>
      <c r="I1804" t="s">
        <v>38</v>
      </c>
      <c r="J1804">
        <f t="shared" si="183"/>
        <v>7.956053162005543</v>
      </c>
      <c r="K1804">
        <v>4628.421937642499</v>
      </c>
    </row>
    <row r="1805" spans="1:11" x14ac:dyDescent="0.35">
      <c r="A1805" s="1">
        <v>41000</v>
      </c>
      <c r="B1805" t="s">
        <v>11</v>
      </c>
      <c r="C1805" t="s">
        <v>38</v>
      </c>
      <c r="D1805">
        <v>23298</v>
      </c>
      <c r="E1805">
        <v>265489</v>
      </c>
      <c r="F1805">
        <f t="shared" si="185"/>
        <v>11.395355824534295</v>
      </c>
      <c r="G1805">
        <f t="shared" si="186"/>
        <v>516.89334020087563</v>
      </c>
      <c r="H1805">
        <v>355.86</v>
      </c>
      <c r="I1805" t="s">
        <v>38</v>
      </c>
      <c r="J1805">
        <f t="shared" si="183"/>
        <v>7.8452380952380958</v>
      </c>
      <c r="K1805">
        <v>4628.421937642499</v>
      </c>
    </row>
    <row r="1806" spans="1:11" x14ac:dyDescent="0.35">
      <c r="A1806" s="1">
        <v>41030</v>
      </c>
      <c r="B1806" t="s">
        <v>11</v>
      </c>
      <c r="C1806" t="s">
        <v>38</v>
      </c>
      <c r="D1806">
        <v>21468</v>
      </c>
      <c r="E1806">
        <v>354788</v>
      </c>
      <c r="F1806">
        <f t="shared" si="185"/>
        <v>16.526364822060742</v>
      </c>
      <c r="G1806">
        <f t="shared" si="186"/>
        <v>749.63590832867521</v>
      </c>
      <c r="H1806">
        <v>359.26739999999995</v>
      </c>
      <c r="I1806" t="s">
        <v>38</v>
      </c>
      <c r="J1806">
        <f t="shared" si="183"/>
        <v>7.9203571428571422</v>
      </c>
      <c r="K1806">
        <v>4628.421937642499</v>
      </c>
    </row>
    <row r="1807" spans="1:11" x14ac:dyDescent="0.35">
      <c r="A1807" s="1">
        <v>41061</v>
      </c>
      <c r="B1807" t="s">
        <v>11</v>
      </c>
      <c r="C1807" t="s">
        <v>38</v>
      </c>
      <c r="D1807">
        <v>26387</v>
      </c>
      <c r="E1807">
        <v>276221</v>
      </c>
      <c r="F1807">
        <f t="shared" si="185"/>
        <v>10.46807139879486</v>
      </c>
      <c r="G1807">
        <f t="shared" si="186"/>
        <v>474.83171864933485</v>
      </c>
      <c r="H1807">
        <v>474.16726190476197</v>
      </c>
      <c r="I1807" t="s">
        <v>38</v>
      </c>
      <c r="J1807">
        <f t="shared" ref="J1807:J1837" si="187">H1807/45.36</f>
        <v>10.45342288149828</v>
      </c>
      <c r="K1807">
        <v>4628.421937642499</v>
      </c>
    </row>
    <row r="1808" spans="1:11" x14ac:dyDescent="0.35">
      <c r="A1808" s="1">
        <v>41091</v>
      </c>
      <c r="B1808" t="s">
        <v>11</v>
      </c>
      <c r="C1808" t="s">
        <v>38</v>
      </c>
      <c r="D1808">
        <v>20298</v>
      </c>
      <c r="E1808">
        <v>223799</v>
      </c>
      <c r="F1808">
        <f t="shared" si="185"/>
        <v>11.025667553453543</v>
      </c>
      <c r="G1808">
        <f t="shared" si="186"/>
        <v>500.12428022465269</v>
      </c>
      <c r="H1808">
        <v>427.21936214285711</v>
      </c>
      <c r="I1808" t="s">
        <v>38</v>
      </c>
      <c r="J1808">
        <f t="shared" si="187"/>
        <v>9.4184162729906777</v>
      </c>
      <c r="K1808">
        <v>4628.421937642499</v>
      </c>
    </row>
    <row r="1809" spans="1:11" x14ac:dyDescent="0.35">
      <c r="A1809" s="1">
        <v>41122</v>
      </c>
      <c r="B1809" t="s">
        <v>11</v>
      </c>
      <c r="C1809" t="s">
        <v>38</v>
      </c>
      <c r="D1809">
        <v>25989</v>
      </c>
      <c r="E1809">
        <v>312092</v>
      </c>
      <c r="F1809">
        <f t="shared" si="185"/>
        <v>12.008619031128555</v>
      </c>
      <c r="G1809">
        <f t="shared" si="186"/>
        <v>544.71095925199131</v>
      </c>
      <c r="H1809">
        <v>420.97801984126988</v>
      </c>
      <c r="I1809" t="s">
        <v>38</v>
      </c>
      <c r="J1809">
        <f t="shared" si="187"/>
        <v>9.2808205432378728</v>
      </c>
      <c r="K1809">
        <v>4628.421937642499</v>
      </c>
    </row>
    <row r="1810" spans="1:11" x14ac:dyDescent="0.35">
      <c r="A1810" s="1">
        <v>41153</v>
      </c>
      <c r="B1810" t="s">
        <v>11</v>
      </c>
      <c r="C1810" t="s">
        <v>38</v>
      </c>
      <c r="D1810">
        <v>18569</v>
      </c>
      <c r="E1810">
        <v>209595</v>
      </c>
      <c r="F1810">
        <f t="shared" si="185"/>
        <v>11.287360654854865</v>
      </c>
      <c r="G1810">
        <f t="shared" si="186"/>
        <v>511.99467930421667</v>
      </c>
      <c r="H1810">
        <v>461.32016666666669</v>
      </c>
      <c r="I1810" t="s">
        <v>38</v>
      </c>
      <c r="J1810">
        <f t="shared" si="187"/>
        <v>10.170197677836567</v>
      </c>
      <c r="K1810">
        <v>4628.421937642499</v>
      </c>
    </row>
    <row r="1811" spans="1:11" x14ac:dyDescent="0.35">
      <c r="A1811" s="1">
        <v>41183</v>
      </c>
      <c r="B1811" t="s">
        <v>11</v>
      </c>
      <c r="C1811" t="s">
        <v>38</v>
      </c>
      <c r="D1811">
        <v>18527</v>
      </c>
      <c r="E1811">
        <v>205357</v>
      </c>
      <c r="F1811">
        <f t="shared" si="185"/>
        <v>11.084201435742431</v>
      </c>
      <c r="G1811">
        <f t="shared" si="186"/>
        <v>502.77937712527665</v>
      </c>
      <c r="H1811">
        <v>442.12123015873021</v>
      </c>
      <c r="I1811" t="s">
        <v>38</v>
      </c>
      <c r="J1811">
        <f t="shared" si="187"/>
        <v>9.7469407001483734</v>
      </c>
      <c r="K1811">
        <v>4628.421937642499</v>
      </c>
    </row>
    <row r="1812" spans="1:11" x14ac:dyDescent="0.35">
      <c r="A1812" s="1">
        <v>41214</v>
      </c>
      <c r="B1812" t="s">
        <v>11</v>
      </c>
      <c r="C1812" t="s">
        <v>38</v>
      </c>
      <c r="D1812">
        <v>44514</v>
      </c>
      <c r="E1812">
        <v>416021</v>
      </c>
      <c r="F1812">
        <f t="shared" si="185"/>
        <v>9.3458462506177824</v>
      </c>
      <c r="G1812">
        <f t="shared" si="186"/>
        <v>423.92758592802261</v>
      </c>
      <c r="H1812">
        <v>393.29374500000006</v>
      </c>
      <c r="I1812" t="s">
        <v>38</v>
      </c>
      <c r="J1812">
        <f t="shared" si="187"/>
        <v>8.670497023809526</v>
      </c>
      <c r="K1812">
        <v>4628.421937642499</v>
      </c>
    </row>
    <row r="1813" spans="1:11" x14ac:dyDescent="0.35">
      <c r="A1813" s="1">
        <v>41244</v>
      </c>
      <c r="B1813" t="s">
        <v>11</v>
      </c>
      <c r="C1813" t="s">
        <v>38</v>
      </c>
      <c r="D1813">
        <v>26874</v>
      </c>
      <c r="E1813">
        <v>336547</v>
      </c>
      <c r="F1813">
        <f t="shared" si="185"/>
        <v>12.523145047257572</v>
      </c>
      <c r="G1813">
        <f t="shared" si="186"/>
        <v>568.04985934360343</v>
      </c>
      <c r="H1813">
        <v>440.91666666666674</v>
      </c>
      <c r="I1813" t="s">
        <v>38</v>
      </c>
      <c r="J1813">
        <f t="shared" si="187"/>
        <v>9.7203850676072925</v>
      </c>
      <c r="K1813">
        <v>4628.421937642499</v>
      </c>
    </row>
    <row r="1814" spans="1:11" x14ac:dyDescent="0.35">
      <c r="A1814" s="1">
        <v>40909</v>
      </c>
      <c r="B1814" t="s">
        <v>12</v>
      </c>
      <c r="C1814" t="s">
        <v>38</v>
      </c>
      <c r="D1814">
        <v>11957</v>
      </c>
      <c r="E1814">
        <v>67395</v>
      </c>
      <c r="F1814">
        <f t="shared" si="185"/>
        <v>5.6364472693819518</v>
      </c>
      <c r="G1814">
        <f t="shared" si="186"/>
        <v>255.66924813916532</v>
      </c>
      <c r="H1814">
        <v>627.58333333333337</v>
      </c>
      <c r="I1814" t="s">
        <v>38</v>
      </c>
      <c r="J1814">
        <f t="shared" si="187"/>
        <v>13.83561140505585</v>
      </c>
      <c r="K1814">
        <v>2035.7933205730003</v>
      </c>
    </row>
    <row r="1815" spans="1:11" x14ac:dyDescent="0.35">
      <c r="A1815" s="1">
        <v>40940</v>
      </c>
      <c r="B1815" t="s">
        <v>12</v>
      </c>
      <c r="C1815" t="s">
        <v>38</v>
      </c>
      <c r="D1815">
        <v>12080</v>
      </c>
      <c r="E1815">
        <v>82658</v>
      </c>
      <c r="F1815">
        <f t="shared" si="185"/>
        <v>6.842549668874172</v>
      </c>
      <c r="G1815">
        <f t="shared" si="186"/>
        <v>310.37805298013245</v>
      </c>
      <c r="H1815">
        <v>622.91722222222222</v>
      </c>
      <c r="I1815" t="s">
        <v>38</v>
      </c>
      <c r="J1815">
        <f t="shared" si="187"/>
        <v>13.732742994317068</v>
      </c>
      <c r="K1815">
        <v>2035.7933205730003</v>
      </c>
    </row>
    <row r="1816" spans="1:11" x14ac:dyDescent="0.35">
      <c r="A1816" s="1">
        <v>40969</v>
      </c>
      <c r="B1816" t="s">
        <v>12</v>
      </c>
      <c r="C1816" t="s">
        <v>38</v>
      </c>
      <c r="D1816">
        <v>13394</v>
      </c>
      <c r="E1816">
        <v>91720</v>
      </c>
      <c r="F1816">
        <f t="shared" si="185"/>
        <v>6.8478423174555774</v>
      </c>
      <c r="G1816">
        <f t="shared" si="186"/>
        <v>310.61812751978499</v>
      </c>
      <c r="H1816">
        <v>680.73825396825407</v>
      </c>
      <c r="I1816" t="s">
        <v>38</v>
      </c>
      <c r="J1816">
        <f t="shared" si="187"/>
        <v>15.007457098065567</v>
      </c>
      <c r="K1816">
        <v>2035.7933205730003</v>
      </c>
    </row>
    <row r="1817" spans="1:11" x14ac:dyDescent="0.35">
      <c r="A1817" s="1">
        <v>41000</v>
      </c>
      <c r="B1817" t="s">
        <v>12</v>
      </c>
      <c r="C1817" t="s">
        <v>38</v>
      </c>
      <c r="D1817">
        <v>12550</v>
      </c>
      <c r="E1817">
        <v>73454</v>
      </c>
      <c r="F1817">
        <f t="shared" si="185"/>
        <v>5.8529083665338648</v>
      </c>
      <c r="G1817">
        <f t="shared" si="186"/>
        <v>265.48792350597608</v>
      </c>
      <c r="H1817">
        <v>727.21666666666658</v>
      </c>
      <c r="I1817" t="s">
        <v>38</v>
      </c>
      <c r="J1817">
        <f t="shared" si="187"/>
        <v>16.032113462669017</v>
      </c>
      <c r="K1817">
        <v>2035.7933205730003</v>
      </c>
    </row>
    <row r="1818" spans="1:11" x14ac:dyDescent="0.35">
      <c r="A1818" s="1">
        <v>41030</v>
      </c>
      <c r="B1818" t="s">
        <v>12</v>
      </c>
      <c r="C1818" t="s">
        <v>38</v>
      </c>
      <c r="D1818">
        <v>12933</v>
      </c>
      <c r="E1818">
        <v>89757</v>
      </c>
      <c r="F1818">
        <f t="shared" si="185"/>
        <v>6.940153096729297</v>
      </c>
      <c r="G1818">
        <f t="shared" si="186"/>
        <v>314.80534446764091</v>
      </c>
      <c r="H1818">
        <v>668.69047619047615</v>
      </c>
      <c r="I1818" t="s">
        <v>38</v>
      </c>
      <c r="J1818">
        <f t="shared" si="187"/>
        <v>14.741853531536071</v>
      </c>
      <c r="K1818">
        <v>2035.7933205730003</v>
      </c>
    </row>
    <row r="1819" spans="1:11" x14ac:dyDescent="0.35">
      <c r="A1819" s="1">
        <v>41061</v>
      </c>
      <c r="B1819" t="s">
        <v>12</v>
      </c>
      <c r="C1819" t="s">
        <v>38</v>
      </c>
      <c r="D1819">
        <v>17617</v>
      </c>
      <c r="E1819">
        <v>148906</v>
      </c>
      <c r="F1819">
        <f t="shared" si="185"/>
        <v>8.4524039280240668</v>
      </c>
      <c r="G1819">
        <f t="shared" si="186"/>
        <v>383.40104217517165</v>
      </c>
      <c r="H1819">
        <v>713.95238095238108</v>
      </c>
      <c r="I1819" t="s">
        <v>38</v>
      </c>
      <c r="J1819">
        <f t="shared" si="187"/>
        <v>15.739690938103639</v>
      </c>
      <c r="K1819">
        <v>2035.7933205730003</v>
      </c>
    </row>
    <row r="1820" spans="1:11" x14ac:dyDescent="0.35">
      <c r="A1820" s="1">
        <v>41091</v>
      </c>
      <c r="B1820" t="s">
        <v>12</v>
      </c>
      <c r="C1820" t="s">
        <v>38</v>
      </c>
      <c r="D1820">
        <v>7792</v>
      </c>
      <c r="E1820">
        <v>55751</v>
      </c>
      <c r="F1820">
        <f t="shared" si="185"/>
        <v>7.1549024640657084</v>
      </c>
      <c r="G1820">
        <f t="shared" si="186"/>
        <v>324.54637577002052</v>
      </c>
      <c r="H1820">
        <v>730.97619047619048</v>
      </c>
      <c r="I1820" t="s">
        <v>38</v>
      </c>
      <c r="J1820">
        <f t="shared" si="187"/>
        <v>16.114995380868397</v>
      </c>
      <c r="K1820">
        <v>2035.7933205730003</v>
      </c>
    </row>
    <row r="1821" spans="1:11" x14ac:dyDescent="0.35">
      <c r="A1821" s="1">
        <v>41122</v>
      </c>
      <c r="B1821" t="s">
        <v>12</v>
      </c>
      <c r="C1821" t="s">
        <v>38</v>
      </c>
      <c r="D1821">
        <v>9733</v>
      </c>
      <c r="E1821">
        <v>66495</v>
      </c>
      <c r="F1821">
        <f t="shared" si="185"/>
        <v>6.8319120517825951</v>
      </c>
      <c r="G1821">
        <f t="shared" si="186"/>
        <v>309.8955306688585</v>
      </c>
      <c r="H1821">
        <v>920.97828042328047</v>
      </c>
      <c r="I1821" t="s">
        <v>38</v>
      </c>
      <c r="J1821">
        <f t="shared" si="187"/>
        <v>20.303753977585547</v>
      </c>
      <c r="K1821">
        <v>2035.7933205730003</v>
      </c>
    </row>
    <row r="1822" spans="1:11" x14ac:dyDescent="0.35">
      <c r="A1822" s="1">
        <v>41153</v>
      </c>
      <c r="B1822" t="s">
        <v>12</v>
      </c>
      <c r="C1822" t="s">
        <v>38</v>
      </c>
      <c r="D1822">
        <v>6942</v>
      </c>
      <c r="E1822">
        <v>62948</v>
      </c>
      <c r="F1822">
        <f t="shared" si="185"/>
        <v>9.0677038317487764</v>
      </c>
      <c r="G1822">
        <f t="shared" si="186"/>
        <v>411.3110458081245</v>
      </c>
      <c r="H1822">
        <v>1029.1666666666667</v>
      </c>
      <c r="I1822" t="s">
        <v>38</v>
      </c>
      <c r="J1822">
        <f t="shared" si="187"/>
        <v>22.688859494415052</v>
      </c>
      <c r="K1822">
        <v>2035.7933205730003</v>
      </c>
    </row>
    <row r="1823" spans="1:11" x14ac:dyDescent="0.35">
      <c r="A1823" s="1">
        <v>41183</v>
      </c>
      <c r="B1823" t="s">
        <v>12</v>
      </c>
      <c r="C1823" t="s">
        <v>38</v>
      </c>
      <c r="D1823">
        <v>7059</v>
      </c>
      <c r="E1823">
        <v>37767</v>
      </c>
      <c r="F1823">
        <f t="shared" si="185"/>
        <v>5.3501912452188698</v>
      </c>
      <c r="G1823">
        <f t="shared" si="186"/>
        <v>242.68467488312794</v>
      </c>
      <c r="H1823">
        <v>950.71428571428567</v>
      </c>
      <c r="I1823" t="s">
        <v>38</v>
      </c>
      <c r="J1823">
        <f t="shared" si="187"/>
        <v>20.95930964978584</v>
      </c>
      <c r="K1823">
        <v>2035.7933205730003</v>
      </c>
    </row>
    <row r="1824" spans="1:11" x14ac:dyDescent="0.35">
      <c r="A1824" s="1">
        <v>41214</v>
      </c>
      <c r="B1824" t="s">
        <v>12</v>
      </c>
      <c r="C1824" t="s">
        <v>38</v>
      </c>
      <c r="D1824">
        <v>12041</v>
      </c>
      <c r="E1824">
        <v>63214</v>
      </c>
      <c r="F1824">
        <f t="shared" si="185"/>
        <v>5.2498961880242501</v>
      </c>
      <c r="G1824">
        <f t="shared" si="186"/>
        <v>238.13529108877998</v>
      </c>
      <c r="H1824">
        <v>790.41666666666663</v>
      </c>
      <c r="I1824" t="s">
        <v>38</v>
      </c>
      <c r="J1824">
        <f t="shared" si="187"/>
        <v>17.425411522633745</v>
      </c>
      <c r="K1824">
        <v>2035.7933205730003</v>
      </c>
    </row>
    <row r="1825" spans="1:11" x14ac:dyDescent="0.35">
      <c r="A1825" s="1">
        <v>41244</v>
      </c>
      <c r="B1825" t="s">
        <v>12</v>
      </c>
      <c r="C1825" t="s">
        <v>38</v>
      </c>
      <c r="D1825">
        <v>14644</v>
      </c>
      <c r="E1825">
        <v>83547</v>
      </c>
      <c r="F1825">
        <f t="shared" si="185"/>
        <v>5.7052034963124827</v>
      </c>
      <c r="G1825">
        <f t="shared" si="186"/>
        <v>258.78803059273423</v>
      </c>
      <c r="H1825">
        <v>895.16666666666674</v>
      </c>
      <c r="I1825" t="s">
        <v>38</v>
      </c>
      <c r="J1825">
        <f t="shared" si="187"/>
        <v>19.734714873603764</v>
      </c>
      <c r="K1825">
        <v>2035.7933205730003</v>
      </c>
    </row>
    <row r="1826" spans="1:11" x14ac:dyDescent="0.35">
      <c r="A1826" s="1">
        <v>40909</v>
      </c>
      <c r="B1826" t="s">
        <v>13</v>
      </c>
      <c r="C1826" t="s">
        <v>38</v>
      </c>
      <c r="D1826">
        <v>6355</v>
      </c>
      <c r="E1826">
        <v>41125</v>
      </c>
      <c r="F1826">
        <f t="shared" si="185"/>
        <v>6.4712824547600318</v>
      </c>
      <c r="G1826">
        <f t="shared" si="186"/>
        <v>293.53737214791505</v>
      </c>
      <c r="H1826">
        <v>677.36166666666668</v>
      </c>
      <c r="I1826" t="s">
        <v>38</v>
      </c>
      <c r="J1826">
        <f t="shared" si="187"/>
        <v>14.933017342739566</v>
      </c>
      <c r="K1826">
        <v>7766.2500132749992</v>
      </c>
    </row>
    <row r="1827" spans="1:11" x14ac:dyDescent="0.35">
      <c r="A1827" s="1">
        <v>40940</v>
      </c>
      <c r="B1827" t="s">
        <v>13</v>
      </c>
      <c r="C1827" t="s">
        <v>38</v>
      </c>
      <c r="D1827">
        <v>6280</v>
      </c>
      <c r="E1827">
        <v>41002</v>
      </c>
      <c r="F1827">
        <f t="shared" si="185"/>
        <v>6.5289808917197449</v>
      </c>
      <c r="G1827">
        <f t="shared" si="186"/>
        <v>296.15457324840764</v>
      </c>
      <c r="H1827">
        <v>745.55499999999995</v>
      </c>
      <c r="I1827" t="s">
        <v>38</v>
      </c>
      <c r="J1827">
        <f t="shared" si="187"/>
        <v>16.436397707231041</v>
      </c>
      <c r="K1827">
        <v>7766.2500132749992</v>
      </c>
    </row>
    <row r="1828" spans="1:11" x14ac:dyDescent="0.35">
      <c r="A1828" s="1">
        <v>40969</v>
      </c>
      <c r="B1828" t="s">
        <v>13</v>
      </c>
      <c r="C1828" t="s">
        <v>38</v>
      </c>
      <c r="D1828">
        <v>6552</v>
      </c>
      <c r="E1828">
        <v>44935</v>
      </c>
      <c r="F1828">
        <f t="shared" si="185"/>
        <v>6.8582112332112333</v>
      </c>
      <c r="G1828">
        <f t="shared" si="186"/>
        <v>311.08846153846156</v>
      </c>
      <c r="H1828">
        <v>623.88571428571436</v>
      </c>
      <c r="I1828" t="s">
        <v>38</v>
      </c>
      <c r="J1828">
        <f t="shared" si="187"/>
        <v>13.754094230284709</v>
      </c>
      <c r="K1828">
        <v>7766.2500132749992</v>
      </c>
    </row>
    <row r="1829" spans="1:11" x14ac:dyDescent="0.35">
      <c r="A1829" s="1">
        <v>41000</v>
      </c>
      <c r="B1829" t="s">
        <v>13</v>
      </c>
      <c r="C1829" t="s">
        <v>38</v>
      </c>
      <c r="D1829">
        <v>7555</v>
      </c>
      <c r="E1829">
        <v>77444</v>
      </c>
      <c r="F1829">
        <f t="shared" si="185"/>
        <v>10.250694904037061</v>
      </c>
      <c r="G1829">
        <f t="shared" si="186"/>
        <v>464.9715208471211</v>
      </c>
      <c r="H1829">
        <v>637.86833333333334</v>
      </c>
      <c r="I1829" t="s">
        <v>38</v>
      </c>
      <c r="J1829">
        <f t="shared" si="187"/>
        <v>14.062353027630806</v>
      </c>
      <c r="K1829">
        <v>7766.2500132749992</v>
      </c>
    </row>
    <row r="1830" spans="1:11" x14ac:dyDescent="0.35">
      <c r="A1830" s="1">
        <v>41030</v>
      </c>
      <c r="B1830" t="s">
        <v>13</v>
      </c>
      <c r="C1830" t="s">
        <v>38</v>
      </c>
      <c r="D1830">
        <v>7104</v>
      </c>
      <c r="E1830">
        <v>53741</v>
      </c>
      <c r="F1830">
        <f t="shared" si="185"/>
        <v>7.5648930180180178</v>
      </c>
      <c r="G1830">
        <f t="shared" si="186"/>
        <v>343.14354729729729</v>
      </c>
      <c r="H1830">
        <v>668.48857142857139</v>
      </c>
      <c r="I1830" t="s">
        <v>38</v>
      </c>
      <c r="J1830">
        <f t="shared" si="187"/>
        <v>14.737402368354749</v>
      </c>
      <c r="K1830">
        <v>7766.2500132749992</v>
      </c>
    </row>
    <row r="1831" spans="1:11" x14ac:dyDescent="0.35">
      <c r="A1831" s="1">
        <v>41061</v>
      </c>
      <c r="B1831" t="s">
        <v>13</v>
      </c>
      <c r="C1831" t="s">
        <v>38</v>
      </c>
      <c r="D1831">
        <v>6987</v>
      </c>
      <c r="E1831">
        <v>35327</v>
      </c>
      <c r="F1831">
        <f t="shared" si="185"/>
        <v>5.0561041935022182</v>
      </c>
      <c r="G1831">
        <f t="shared" si="186"/>
        <v>229.34488621726061</v>
      </c>
      <c r="H1831">
        <v>597.31928571428568</v>
      </c>
      <c r="I1831" t="s">
        <v>38</v>
      </c>
      <c r="J1831">
        <f t="shared" si="187"/>
        <v>13.168414588057445</v>
      </c>
      <c r="K1831">
        <v>7766.2500132749992</v>
      </c>
    </row>
    <row r="1832" spans="1:11" x14ac:dyDescent="0.35">
      <c r="A1832" s="1">
        <v>41091</v>
      </c>
      <c r="B1832" t="s">
        <v>13</v>
      </c>
      <c r="C1832" t="s">
        <v>38</v>
      </c>
      <c r="D1832">
        <v>5495</v>
      </c>
      <c r="E1832">
        <v>48198</v>
      </c>
      <c r="F1832">
        <f t="shared" si="185"/>
        <v>8.7712465878070969</v>
      </c>
      <c r="G1832">
        <f t="shared" si="186"/>
        <v>397.86374522292994</v>
      </c>
      <c r="H1832">
        <v>600.96214285714279</v>
      </c>
      <c r="I1832" t="s">
        <v>38</v>
      </c>
      <c r="J1832">
        <f t="shared" si="187"/>
        <v>13.248724489795917</v>
      </c>
      <c r="K1832">
        <v>7766.2500132749992</v>
      </c>
    </row>
    <row r="1833" spans="1:11" x14ac:dyDescent="0.35">
      <c r="A1833" s="1">
        <v>41122</v>
      </c>
      <c r="B1833" t="s">
        <v>13</v>
      </c>
      <c r="C1833" t="s">
        <v>38</v>
      </c>
      <c r="D1833">
        <v>3721</v>
      </c>
      <c r="E1833">
        <v>33227</v>
      </c>
      <c r="F1833">
        <f t="shared" si="185"/>
        <v>8.9295888202096219</v>
      </c>
      <c r="G1833">
        <f t="shared" si="186"/>
        <v>405.04614888470843</v>
      </c>
      <c r="H1833">
        <v>615.06946693121699</v>
      </c>
      <c r="I1833" t="s">
        <v>38</v>
      </c>
      <c r="J1833">
        <f t="shared" si="187"/>
        <v>13.559732516120304</v>
      </c>
      <c r="K1833">
        <v>7766.2500132749992</v>
      </c>
    </row>
    <row r="1834" spans="1:11" x14ac:dyDescent="0.35">
      <c r="A1834" s="1">
        <v>41153</v>
      </c>
      <c r="B1834" t="s">
        <v>13</v>
      </c>
      <c r="C1834" t="s">
        <v>38</v>
      </c>
      <c r="D1834">
        <v>3580</v>
      </c>
      <c r="E1834">
        <v>38471</v>
      </c>
      <c r="F1834">
        <f t="shared" si="185"/>
        <v>10.74608938547486</v>
      </c>
      <c r="G1834">
        <f t="shared" si="186"/>
        <v>487.44261452513967</v>
      </c>
      <c r="H1834">
        <v>664.02809523809526</v>
      </c>
      <c r="I1834" t="s">
        <v>38</v>
      </c>
      <c r="J1834">
        <f t="shared" si="187"/>
        <v>14.639067355337197</v>
      </c>
      <c r="K1834">
        <v>7766.2500132749992</v>
      </c>
    </row>
    <row r="1835" spans="1:11" x14ac:dyDescent="0.35">
      <c r="A1835" s="1">
        <v>41183</v>
      </c>
      <c r="B1835" t="s">
        <v>13</v>
      </c>
      <c r="C1835" t="s">
        <v>38</v>
      </c>
      <c r="D1835">
        <v>2915</v>
      </c>
      <c r="E1835">
        <v>25445</v>
      </c>
      <c r="F1835">
        <f t="shared" si="185"/>
        <v>8.7289879931389365</v>
      </c>
      <c r="G1835">
        <f t="shared" si="186"/>
        <v>395.94689536878218</v>
      </c>
      <c r="H1835">
        <v>597.34285714285716</v>
      </c>
      <c r="I1835" t="s">
        <v>38</v>
      </c>
      <c r="J1835">
        <f t="shared" si="187"/>
        <v>13.168934240362812</v>
      </c>
      <c r="K1835">
        <v>7766.2500132749992</v>
      </c>
    </row>
    <row r="1836" spans="1:11" x14ac:dyDescent="0.35">
      <c r="A1836" s="1">
        <v>41214</v>
      </c>
      <c r="B1836" t="s">
        <v>13</v>
      </c>
      <c r="C1836" t="s">
        <v>38</v>
      </c>
      <c r="D1836">
        <v>8101</v>
      </c>
      <c r="E1836">
        <v>43651</v>
      </c>
      <c r="F1836">
        <f t="shared" si="185"/>
        <v>5.3883471176397979</v>
      </c>
      <c r="G1836">
        <f t="shared" si="186"/>
        <v>244.41542525614122</v>
      </c>
      <c r="H1836">
        <v>757.53</v>
      </c>
      <c r="I1836" t="s">
        <v>38</v>
      </c>
      <c r="J1836">
        <f t="shared" si="187"/>
        <v>16.700396825396826</v>
      </c>
      <c r="K1836">
        <v>7766.2500132749992</v>
      </c>
    </row>
    <row r="1837" spans="1:11" x14ac:dyDescent="0.35">
      <c r="A1837" s="1">
        <v>41244</v>
      </c>
      <c r="B1837" t="s">
        <v>13</v>
      </c>
      <c r="C1837" t="s">
        <v>38</v>
      </c>
      <c r="D1837">
        <v>7547</v>
      </c>
      <c r="E1837">
        <v>43233</v>
      </c>
      <c r="F1837">
        <f t="shared" si="185"/>
        <v>5.7285013912813039</v>
      </c>
      <c r="G1837">
        <f t="shared" si="186"/>
        <v>259.84482310851996</v>
      </c>
      <c r="H1837">
        <v>752.7</v>
      </c>
      <c r="I1837" t="s">
        <v>38</v>
      </c>
      <c r="J1837">
        <f>H1837/45.36</f>
        <v>16.593915343915345</v>
      </c>
      <c r="K1837">
        <v>7766.2500132749992</v>
      </c>
    </row>
    <row r="1838" spans="1:11" x14ac:dyDescent="0.35">
      <c r="A1838" s="1">
        <v>40909</v>
      </c>
      <c r="B1838" t="s">
        <v>14</v>
      </c>
      <c r="C1838" t="s">
        <v>40</v>
      </c>
      <c r="D1838">
        <v>75555</v>
      </c>
      <c r="E1838">
        <v>44800</v>
      </c>
      <c r="F1838">
        <f t="shared" si="185"/>
        <v>0.59294553636423797</v>
      </c>
      <c r="G1838">
        <f>F1838*562.34</f>
        <v>333.43699291906557</v>
      </c>
      <c r="H1838">
        <v>5224.625</v>
      </c>
      <c r="I1838" t="s">
        <v>40</v>
      </c>
      <c r="J1838">
        <f>(H1838/1000)/0.56234</f>
        <v>9.2908649571433646</v>
      </c>
      <c r="K1838">
        <v>6923.3397737334026</v>
      </c>
    </row>
    <row r="1839" spans="1:11" x14ac:dyDescent="0.35">
      <c r="A1839" s="1">
        <v>40940</v>
      </c>
      <c r="B1839" t="s">
        <v>14</v>
      </c>
      <c r="C1839" t="s">
        <v>40</v>
      </c>
      <c r="D1839">
        <v>81233</v>
      </c>
      <c r="E1839">
        <v>47041</v>
      </c>
      <c r="F1839">
        <f t="shared" si="185"/>
        <v>0.5790873167308852</v>
      </c>
      <c r="G1839">
        <f t="shared" ref="G1839:G1849" si="188">F1839*562.34</f>
        <v>325.64396169044602</v>
      </c>
      <c r="H1839">
        <v>7510</v>
      </c>
      <c r="I1839" t="s">
        <v>40</v>
      </c>
      <c r="J1839">
        <f t="shared" ref="J1839:J1848" si="189">(H1839/1000)/0.56234</f>
        <v>13.354909841021447</v>
      </c>
      <c r="K1839">
        <v>6923.3397737334026</v>
      </c>
    </row>
    <row r="1840" spans="1:11" x14ac:dyDescent="0.35">
      <c r="A1840" s="1">
        <v>40969</v>
      </c>
      <c r="B1840" t="s">
        <v>14</v>
      </c>
      <c r="C1840" t="s">
        <v>40</v>
      </c>
      <c r="D1840">
        <v>54256</v>
      </c>
      <c r="E1840">
        <v>36854</v>
      </c>
      <c r="F1840">
        <f t="shared" si="185"/>
        <v>0.67926127985844886</v>
      </c>
      <c r="G1840">
        <f t="shared" si="188"/>
        <v>381.97578811560015</v>
      </c>
      <c r="H1840">
        <v>7880</v>
      </c>
      <c r="I1840" t="s">
        <v>40</v>
      </c>
      <c r="J1840">
        <f t="shared" si="189"/>
        <v>14.012874773268843</v>
      </c>
      <c r="K1840">
        <v>6923.3397737334026</v>
      </c>
    </row>
    <row r="1841" spans="1:12" x14ac:dyDescent="0.35">
      <c r="A1841" s="1">
        <v>41000</v>
      </c>
      <c r="B1841" t="s">
        <v>14</v>
      </c>
      <c r="C1841" t="s">
        <v>40</v>
      </c>
      <c r="D1841">
        <v>12969</v>
      </c>
      <c r="E1841">
        <v>6181</v>
      </c>
      <c r="F1841">
        <f t="shared" si="185"/>
        <v>0.47659804148353768</v>
      </c>
      <c r="G1841">
        <f t="shared" si="188"/>
        <v>268.0101426478526</v>
      </c>
      <c r="H1841">
        <v>8133.25</v>
      </c>
      <c r="I1841" t="s">
        <v>40</v>
      </c>
      <c r="J1841">
        <f t="shared" si="189"/>
        <v>14.463225095138174</v>
      </c>
      <c r="K1841">
        <v>6923.3397737334026</v>
      </c>
    </row>
    <row r="1842" spans="1:12" x14ac:dyDescent="0.35">
      <c r="A1842" s="1">
        <v>41030</v>
      </c>
      <c r="B1842" t="s">
        <v>14</v>
      </c>
      <c r="C1842" t="s">
        <v>40</v>
      </c>
      <c r="D1842">
        <v>510</v>
      </c>
      <c r="E1842">
        <v>1854</v>
      </c>
      <c r="F1842">
        <f t="shared" si="185"/>
        <v>3.6352941176470588</v>
      </c>
      <c r="G1842">
        <f t="shared" si="188"/>
        <v>2044.2712941176471</v>
      </c>
      <c r="H1842">
        <v>4959.5</v>
      </c>
      <c r="I1842" t="s">
        <v>40</v>
      </c>
      <c r="J1842">
        <f t="shared" si="189"/>
        <v>8.8193975175160944</v>
      </c>
      <c r="K1842">
        <v>6923.3397737334026</v>
      </c>
    </row>
    <row r="1843" spans="1:12" x14ac:dyDescent="0.35">
      <c r="A1843" s="1">
        <v>41061</v>
      </c>
      <c r="B1843" t="s">
        <v>14</v>
      </c>
      <c r="C1843" t="s">
        <v>40</v>
      </c>
      <c r="D1843">
        <v>985</v>
      </c>
      <c r="E1843">
        <v>1801</v>
      </c>
      <c r="F1843">
        <f t="shared" si="185"/>
        <v>1.8284263959390863</v>
      </c>
      <c r="G1843">
        <f t="shared" si="188"/>
        <v>1028.1972994923858</v>
      </c>
      <c r="H1843">
        <v>4750</v>
      </c>
      <c r="I1843" t="s">
        <v>40</v>
      </c>
      <c r="J1843">
        <f t="shared" si="189"/>
        <v>8.4468471031760153</v>
      </c>
      <c r="K1843">
        <v>6923.3397737334026</v>
      </c>
    </row>
    <row r="1844" spans="1:12" x14ac:dyDescent="0.35">
      <c r="A1844" s="1">
        <v>41091</v>
      </c>
      <c r="B1844" t="s">
        <v>14</v>
      </c>
      <c r="C1844" t="s">
        <v>40</v>
      </c>
      <c r="D1844">
        <v>50511</v>
      </c>
      <c r="E1844">
        <v>79260</v>
      </c>
      <c r="F1844">
        <f t="shared" si="185"/>
        <v>1.569163152580626</v>
      </c>
      <c r="G1844">
        <f t="shared" si="188"/>
        <v>882.40320722218928</v>
      </c>
      <c r="H1844">
        <v>6267.833333333333</v>
      </c>
      <c r="I1844" t="s">
        <v>40</v>
      </c>
      <c r="J1844">
        <f t="shared" si="189"/>
        <v>11.145985228390892</v>
      </c>
      <c r="K1844">
        <v>6923.3397737334026</v>
      </c>
    </row>
    <row r="1845" spans="1:12" x14ac:dyDescent="0.35">
      <c r="A1845" s="1">
        <v>41122</v>
      </c>
      <c r="B1845" t="s">
        <v>14</v>
      </c>
      <c r="C1845" t="s">
        <v>40</v>
      </c>
      <c r="D1845">
        <v>60789</v>
      </c>
      <c r="E1845">
        <v>165020</v>
      </c>
      <c r="F1845">
        <f t="shared" si="185"/>
        <v>2.7146358716215104</v>
      </c>
      <c r="G1845">
        <f t="shared" si="188"/>
        <v>1526.5483360476403</v>
      </c>
      <c r="H1845">
        <v>4849.5238095238092</v>
      </c>
      <c r="I1845" t="s">
        <v>40</v>
      </c>
      <c r="J1845">
        <f t="shared" si="189"/>
        <v>8.6238286615282735</v>
      </c>
      <c r="K1845">
        <v>6923.3397737334026</v>
      </c>
    </row>
    <row r="1846" spans="1:12" x14ac:dyDescent="0.35">
      <c r="A1846" s="1">
        <v>41153</v>
      </c>
      <c r="B1846" t="s">
        <v>14</v>
      </c>
      <c r="C1846" t="s">
        <v>40</v>
      </c>
      <c r="D1846">
        <v>75862</v>
      </c>
      <c r="E1846">
        <v>104000</v>
      </c>
      <c r="F1846">
        <f t="shared" si="185"/>
        <v>1.3709103371912157</v>
      </c>
      <c r="G1846">
        <f t="shared" si="188"/>
        <v>770.91771901610832</v>
      </c>
      <c r="H1846">
        <v>3732.7380952380954</v>
      </c>
      <c r="I1846" t="s">
        <v>40</v>
      </c>
      <c r="J1846">
        <f t="shared" si="189"/>
        <v>6.637866940352982</v>
      </c>
      <c r="K1846">
        <v>6923.3397737334026</v>
      </c>
    </row>
    <row r="1847" spans="1:12" x14ac:dyDescent="0.35">
      <c r="A1847" s="1">
        <v>41183</v>
      </c>
      <c r="B1847" t="s">
        <v>14</v>
      </c>
      <c r="C1847" t="s">
        <v>40</v>
      </c>
      <c r="D1847">
        <v>41901</v>
      </c>
      <c r="E1847">
        <v>29713</v>
      </c>
      <c r="F1847">
        <f t="shared" si="185"/>
        <v>0.70912388725806064</v>
      </c>
      <c r="G1847">
        <f t="shared" si="188"/>
        <v>398.76872676069786</v>
      </c>
      <c r="H1847">
        <v>4251.1547619047615</v>
      </c>
      <c r="I1847" t="s">
        <v>40</v>
      </c>
      <c r="J1847">
        <f t="shared" si="189"/>
        <v>7.5597587969996116</v>
      </c>
      <c r="K1847">
        <v>6923.3397737334026</v>
      </c>
    </row>
    <row r="1848" spans="1:12" x14ac:dyDescent="0.35">
      <c r="A1848" s="1">
        <v>41214</v>
      </c>
      <c r="B1848" t="s">
        <v>14</v>
      </c>
      <c r="C1848" t="s">
        <v>40</v>
      </c>
      <c r="D1848">
        <v>33448</v>
      </c>
      <c r="E1848">
        <v>53133</v>
      </c>
      <c r="F1848">
        <f t="shared" si="185"/>
        <v>1.5885254723750299</v>
      </c>
      <c r="G1848">
        <f t="shared" si="188"/>
        <v>893.29141413537434</v>
      </c>
      <c r="H1848">
        <v>4333.333333333333</v>
      </c>
      <c r="I1848" t="s">
        <v>40</v>
      </c>
      <c r="J1848">
        <f t="shared" si="189"/>
        <v>7.7058956028974173</v>
      </c>
      <c r="K1848">
        <v>6923.3397737334026</v>
      </c>
    </row>
    <row r="1849" spans="1:12" x14ac:dyDescent="0.35">
      <c r="A1849" s="1">
        <v>41244</v>
      </c>
      <c r="B1849" t="s">
        <v>14</v>
      </c>
      <c r="C1849" t="s">
        <v>40</v>
      </c>
      <c r="D1849">
        <v>45474</v>
      </c>
      <c r="E1849">
        <v>69702</v>
      </c>
      <c r="F1849">
        <f t="shared" si="185"/>
        <v>1.5327879667502309</v>
      </c>
      <c r="G1849">
        <f t="shared" si="188"/>
        <v>861.94798522232486</v>
      </c>
      <c r="H1849">
        <v>5000</v>
      </c>
      <c r="I1849" t="s">
        <v>40</v>
      </c>
      <c r="J1849">
        <f>(H1849/1000)/0.56234</f>
        <v>8.8914180033431744</v>
      </c>
      <c r="K1849">
        <v>6923.3397737334026</v>
      </c>
    </row>
    <row r="1850" spans="1:12" x14ac:dyDescent="0.35">
      <c r="A1850" s="1">
        <v>40909</v>
      </c>
      <c r="B1850" t="s">
        <v>15</v>
      </c>
      <c r="C1850" t="s">
        <v>41</v>
      </c>
      <c r="D1850">
        <v>349480</v>
      </c>
      <c r="E1850">
        <v>2516320</v>
      </c>
      <c r="F1850">
        <f t="shared" si="185"/>
        <v>7.200183129220556</v>
      </c>
      <c r="G1850">
        <f>F1850*27.21</f>
        <v>195.91698294609134</v>
      </c>
      <c r="H1850">
        <v>156.05714285714288</v>
      </c>
      <c r="I1850" t="s">
        <v>58</v>
      </c>
      <c r="J1850">
        <f>H1850/27.21</f>
        <v>5.7352863968078971</v>
      </c>
      <c r="K1850">
        <f>4679.32570992063+$L$1850</f>
        <v>12463.806077028223</v>
      </c>
      <c r="L1850">
        <v>7784.4803671075924</v>
      </c>
    </row>
    <row r="1851" spans="1:12" x14ac:dyDescent="0.35">
      <c r="A1851" s="1">
        <v>40940</v>
      </c>
      <c r="B1851" t="s">
        <v>15</v>
      </c>
      <c r="C1851" t="s">
        <v>41</v>
      </c>
      <c r="D1851">
        <v>361724</v>
      </c>
      <c r="E1851">
        <v>2621788</v>
      </c>
      <c r="F1851">
        <f t="shared" si="185"/>
        <v>7.2480344129778507</v>
      </c>
      <c r="G1851">
        <f t="shared" ref="G1851:G1861" si="190">F1851*27.21</f>
        <v>197.21901637712733</v>
      </c>
      <c r="H1851">
        <v>168.70833333333334</v>
      </c>
      <c r="I1851" t="s">
        <v>58</v>
      </c>
      <c r="J1851">
        <f t="shared" ref="J1851:J1861" si="191">H1851/27.21</f>
        <v>6.2002327575646214</v>
      </c>
      <c r="K1851">
        <f t="shared" ref="K1851:K1861" si="192">4679.32570992063+$L$1850</f>
        <v>12463.806077028223</v>
      </c>
    </row>
    <row r="1852" spans="1:12" x14ac:dyDescent="0.35">
      <c r="A1852" s="1">
        <v>40969</v>
      </c>
      <c r="B1852" t="s">
        <v>15</v>
      </c>
      <c r="C1852" t="s">
        <v>41</v>
      </c>
      <c r="D1852">
        <v>376388</v>
      </c>
      <c r="E1852">
        <v>2915134</v>
      </c>
      <c r="F1852">
        <f t="shared" si="185"/>
        <v>7.745023752085614</v>
      </c>
      <c r="G1852">
        <f t="shared" si="190"/>
        <v>210.74209629424956</v>
      </c>
      <c r="H1852">
        <v>196.65452380952382</v>
      </c>
      <c r="I1852" t="s">
        <v>58</v>
      </c>
      <c r="J1852">
        <f t="shared" si="191"/>
        <v>7.227288636880699</v>
      </c>
      <c r="K1852">
        <f t="shared" si="192"/>
        <v>12463.806077028223</v>
      </c>
    </row>
    <row r="1853" spans="1:12" x14ac:dyDescent="0.35">
      <c r="A1853" s="1">
        <v>41000</v>
      </c>
      <c r="B1853" t="s">
        <v>15</v>
      </c>
      <c r="C1853" t="s">
        <v>41</v>
      </c>
      <c r="D1853">
        <v>370688</v>
      </c>
      <c r="E1853">
        <v>3201777</v>
      </c>
      <c r="F1853">
        <f t="shared" si="185"/>
        <v>8.6373904739295586</v>
      </c>
      <c r="G1853">
        <f t="shared" si="190"/>
        <v>235.02339479562329</v>
      </c>
      <c r="H1853">
        <v>173.94444444444446</v>
      </c>
      <c r="I1853" t="s">
        <v>58</v>
      </c>
      <c r="J1853">
        <f t="shared" si="191"/>
        <v>6.3926660949814202</v>
      </c>
      <c r="K1853">
        <f t="shared" si="192"/>
        <v>12463.806077028223</v>
      </c>
    </row>
    <row r="1854" spans="1:12" x14ac:dyDescent="0.35">
      <c r="A1854" s="1">
        <v>41030</v>
      </c>
      <c r="B1854" t="s">
        <v>15</v>
      </c>
      <c r="C1854" t="s">
        <v>41</v>
      </c>
      <c r="D1854">
        <v>364163</v>
      </c>
      <c r="E1854">
        <v>3201444</v>
      </c>
      <c r="F1854">
        <f t="shared" ref="F1854:F1917" si="193">E1854/D1854</f>
        <v>8.7912390879908173</v>
      </c>
      <c r="G1854">
        <f t="shared" si="190"/>
        <v>239.20961558423014</v>
      </c>
      <c r="H1854">
        <v>174.74074074074073</v>
      </c>
      <c r="I1854" t="s">
        <v>58</v>
      </c>
      <c r="J1854">
        <f t="shared" si="191"/>
        <v>6.4219309349776088</v>
      </c>
      <c r="K1854">
        <f t="shared" si="192"/>
        <v>12463.806077028223</v>
      </c>
    </row>
    <row r="1855" spans="1:12" x14ac:dyDescent="0.35">
      <c r="A1855" s="1">
        <v>41061</v>
      </c>
      <c r="B1855" t="s">
        <v>15</v>
      </c>
      <c r="C1855" t="s">
        <v>41</v>
      </c>
      <c r="D1855">
        <v>372114</v>
      </c>
      <c r="E1855">
        <v>3392063</v>
      </c>
      <c r="F1855">
        <f t="shared" si="193"/>
        <v>9.1156554174258417</v>
      </c>
      <c r="G1855">
        <f t="shared" si="190"/>
        <v>248.03698390815717</v>
      </c>
      <c r="H1855">
        <v>144.64880952380952</v>
      </c>
      <c r="I1855" t="s">
        <v>58</v>
      </c>
      <c r="J1855">
        <f t="shared" si="191"/>
        <v>5.316016520536917</v>
      </c>
      <c r="K1855">
        <f t="shared" si="192"/>
        <v>12463.806077028223</v>
      </c>
    </row>
    <row r="1856" spans="1:12" x14ac:dyDescent="0.35">
      <c r="A1856" s="1">
        <v>41091</v>
      </c>
      <c r="B1856" t="s">
        <v>15</v>
      </c>
      <c r="C1856" t="s">
        <v>41</v>
      </c>
      <c r="D1856">
        <v>376038</v>
      </c>
      <c r="E1856">
        <v>3269802</v>
      </c>
      <c r="F1856">
        <f t="shared" si="193"/>
        <v>8.695403124152346</v>
      </c>
      <c r="G1856">
        <f t="shared" si="190"/>
        <v>236.60191900818535</v>
      </c>
      <c r="H1856">
        <v>126.78571428571429</v>
      </c>
      <c r="I1856" t="s">
        <v>58</v>
      </c>
      <c r="J1856">
        <f t="shared" si="191"/>
        <v>4.6595264346091252</v>
      </c>
      <c r="K1856">
        <f t="shared" si="192"/>
        <v>12463.806077028223</v>
      </c>
    </row>
    <row r="1857" spans="1:12" x14ac:dyDescent="0.35">
      <c r="A1857" s="1">
        <v>41122</v>
      </c>
      <c r="B1857" t="s">
        <v>15</v>
      </c>
      <c r="C1857" t="s">
        <v>41</v>
      </c>
      <c r="D1857">
        <v>381667</v>
      </c>
      <c r="E1857">
        <v>3262404</v>
      </c>
      <c r="F1857">
        <f t="shared" si="193"/>
        <v>8.5477759408070391</v>
      </c>
      <c r="G1857">
        <f t="shared" si="190"/>
        <v>232.58498334935953</v>
      </c>
      <c r="H1857">
        <v>138.54444444444442</v>
      </c>
      <c r="I1857" t="s">
        <v>58</v>
      </c>
      <c r="J1857">
        <f t="shared" si="191"/>
        <v>5.0916738127322461</v>
      </c>
      <c r="K1857">
        <f t="shared" si="192"/>
        <v>12463.806077028223</v>
      </c>
    </row>
    <row r="1858" spans="1:12" x14ac:dyDescent="0.35">
      <c r="A1858" s="1">
        <v>41153</v>
      </c>
      <c r="B1858" t="s">
        <v>15</v>
      </c>
      <c r="C1858" t="s">
        <v>41</v>
      </c>
      <c r="D1858">
        <v>357415</v>
      </c>
      <c r="E1858">
        <v>3133117</v>
      </c>
      <c r="F1858">
        <f t="shared" si="193"/>
        <v>8.7660478715219003</v>
      </c>
      <c r="G1858">
        <f t="shared" si="190"/>
        <v>238.52416258411091</v>
      </c>
      <c r="H1858">
        <v>150.2982857142857</v>
      </c>
      <c r="I1858" t="s">
        <v>58</v>
      </c>
      <c r="J1858">
        <f t="shared" si="191"/>
        <v>5.5236415183493452</v>
      </c>
      <c r="K1858">
        <f t="shared" si="192"/>
        <v>12463.806077028223</v>
      </c>
    </row>
    <row r="1859" spans="1:12" x14ac:dyDescent="0.35">
      <c r="A1859" s="1">
        <v>41183</v>
      </c>
      <c r="B1859" t="s">
        <v>15</v>
      </c>
      <c r="C1859" t="s">
        <v>41</v>
      </c>
      <c r="D1859">
        <v>327884</v>
      </c>
      <c r="E1859">
        <v>2785456</v>
      </c>
      <c r="F1859">
        <f t="shared" si="193"/>
        <v>8.4952483195276383</v>
      </c>
      <c r="G1859">
        <f t="shared" si="190"/>
        <v>231.15570677434704</v>
      </c>
      <c r="H1859">
        <v>153.81269841269838</v>
      </c>
      <c r="I1859" t="s">
        <v>58</v>
      </c>
      <c r="J1859">
        <f t="shared" si="191"/>
        <v>5.6528003826791027</v>
      </c>
      <c r="K1859">
        <f t="shared" si="192"/>
        <v>12463.806077028223</v>
      </c>
    </row>
    <row r="1860" spans="1:12" x14ac:dyDescent="0.35">
      <c r="A1860" s="1">
        <v>41214</v>
      </c>
      <c r="B1860" t="s">
        <v>15</v>
      </c>
      <c r="C1860" t="s">
        <v>41</v>
      </c>
      <c r="D1860">
        <v>357939</v>
      </c>
      <c r="E1860">
        <v>2890144</v>
      </c>
      <c r="F1860">
        <f t="shared" si="193"/>
        <v>8.0744037391846089</v>
      </c>
      <c r="G1860">
        <f t="shared" si="190"/>
        <v>219.70452574321322</v>
      </c>
      <c r="H1860">
        <v>149.80000000000001</v>
      </c>
      <c r="I1860" t="s">
        <v>58</v>
      </c>
      <c r="J1860">
        <f t="shared" si="191"/>
        <v>5.505328923190004</v>
      </c>
      <c r="K1860">
        <f t="shared" si="192"/>
        <v>12463.806077028223</v>
      </c>
    </row>
    <row r="1861" spans="1:12" x14ac:dyDescent="0.35">
      <c r="A1861" s="1">
        <v>41244</v>
      </c>
      <c r="B1861" t="s">
        <v>15</v>
      </c>
      <c r="C1861" t="s">
        <v>41</v>
      </c>
      <c r="D1861">
        <v>346957</v>
      </c>
      <c r="E1861">
        <v>2398414</v>
      </c>
      <c r="F1861">
        <f t="shared" si="193"/>
        <v>6.9127125263361169</v>
      </c>
      <c r="G1861">
        <f t="shared" si="190"/>
        <v>188.09490784160576</v>
      </c>
      <c r="H1861">
        <v>163.44444444444443</v>
      </c>
      <c r="I1861" t="s">
        <v>58</v>
      </c>
      <c r="J1861">
        <f t="shared" si="191"/>
        <v>6.0067785536363258</v>
      </c>
      <c r="K1861">
        <f t="shared" si="192"/>
        <v>12463.806077028223</v>
      </c>
    </row>
    <row r="1862" spans="1:12" x14ac:dyDescent="0.35">
      <c r="A1862" s="1">
        <v>40909</v>
      </c>
      <c r="B1862" t="s">
        <v>18</v>
      </c>
      <c r="C1862" t="s">
        <v>40</v>
      </c>
      <c r="D1862">
        <v>693877</v>
      </c>
      <c r="E1862">
        <v>127965</v>
      </c>
      <c r="F1862">
        <f t="shared" si="193"/>
        <v>0.18442029351023309</v>
      </c>
      <c r="G1862">
        <f>F1862*408.15</f>
        <v>75.27114279620163</v>
      </c>
      <c r="H1862">
        <v>4597.8576190476188</v>
      </c>
      <c r="I1862" t="s">
        <v>40</v>
      </c>
      <c r="J1862">
        <f>(H1862/1000)/0.40815</f>
        <v>11.265117282978363</v>
      </c>
      <c r="K1862">
        <f>$L$1862+$L$1863</f>
        <v>11933.76434245316</v>
      </c>
      <c r="L1862">
        <v>8097.6519289505295</v>
      </c>
    </row>
    <row r="1863" spans="1:12" x14ac:dyDescent="0.35">
      <c r="A1863" s="1">
        <v>40940</v>
      </c>
      <c r="B1863" t="s">
        <v>18</v>
      </c>
      <c r="C1863" t="s">
        <v>40</v>
      </c>
      <c r="D1863">
        <v>715357</v>
      </c>
      <c r="E1863">
        <v>144868</v>
      </c>
      <c r="F1863">
        <f t="shared" si="193"/>
        <v>0.20251147329235614</v>
      </c>
      <c r="G1863">
        <f t="shared" ref="G1863:G1873" si="194">F1863*408.15</f>
        <v>82.655057824275147</v>
      </c>
      <c r="H1863">
        <v>4581.9047619047615</v>
      </c>
      <c r="I1863" t="s">
        <v>40</v>
      </c>
      <c r="J1863">
        <f t="shared" ref="J1863:J1873" si="195">(H1863/1000)/0.40815</f>
        <v>11.226031512690827</v>
      </c>
      <c r="K1863">
        <f t="shared" ref="K1863:K1873" si="196">$L$1862+$L$1863</f>
        <v>11933.76434245316</v>
      </c>
      <c r="L1863">
        <v>3836.1124135026307</v>
      </c>
    </row>
    <row r="1864" spans="1:12" x14ac:dyDescent="0.35">
      <c r="A1864" s="1">
        <v>40969</v>
      </c>
      <c r="B1864" t="s">
        <v>18</v>
      </c>
      <c r="C1864" t="s">
        <v>40</v>
      </c>
      <c r="D1864">
        <v>720124</v>
      </c>
      <c r="E1864">
        <v>143747</v>
      </c>
      <c r="F1864">
        <f t="shared" si="193"/>
        <v>0.19961423310429871</v>
      </c>
      <c r="G1864">
        <f t="shared" si="194"/>
        <v>81.472549241519516</v>
      </c>
      <c r="H1864">
        <v>4517.0851700680269</v>
      </c>
      <c r="I1864" t="s">
        <v>40</v>
      </c>
      <c r="J1864">
        <f t="shared" si="195"/>
        <v>11.067218351263081</v>
      </c>
      <c r="K1864">
        <f t="shared" si="196"/>
        <v>11933.76434245316</v>
      </c>
    </row>
    <row r="1865" spans="1:12" x14ac:dyDescent="0.35">
      <c r="A1865" s="1">
        <v>41000</v>
      </c>
      <c r="B1865" t="s">
        <v>18</v>
      </c>
      <c r="C1865" t="s">
        <v>40</v>
      </c>
      <c r="D1865">
        <v>722410</v>
      </c>
      <c r="E1865">
        <v>185808</v>
      </c>
      <c r="F1865">
        <f t="shared" si="193"/>
        <v>0.25720574189172352</v>
      </c>
      <c r="G1865">
        <f t="shared" si="194"/>
        <v>104.97852355310695</v>
      </c>
      <c r="H1865">
        <v>4530.7448979591836</v>
      </c>
      <c r="I1865" t="s">
        <v>40</v>
      </c>
      <c r="J1865">
        <f t="shared" si="195"/>
        <v>11.1006857722876</v>
      </c>
      <c r="K1865">
        <f t="shared" si="196"/>
        <v>11933.76434245316</v>
      </c>
    </row>
    <row r="1866" spans="1:12" x14ac:dyDescent="0.35">
      <c r="A1866" s="1">
        <v>41030</v>
      </c>
      <c r="B1866" t="s">
        <v>18</v>
      </c>
      <c r="C1866" t="s">
        <v>40</v>
      </c>
      <c r="D1866">
        <v>717546</v>
      </c>
      <c r="E1866">
        <v>144741</v>
      </c>
      <c r="F1866">
        <f t="shared" si="193"/>
        <v>0.20171668436588039</v>
      </c>
      <c r="G1866">
        <f t="shared" si="194"/>
        <v>82.330664723934078</v>
      </c>
      <c r="H1866">
        <v>4001.2037037037039</v>
      </c>
      <c r="I1866" t="s">
        <v>40</v>
      </c>
      <c r="J1866">
        <f t="shared" si="195"/>
        <v>9.8032676802736827</v>
      </c>
      <c r="K1866">
        <f t="shared" si="196"/>
        <v>11933.76434245316</v>
      </c>
    </row>
    <row r="1867" spans="1:12" x14ac:dyDescent="0.35">
      <c r="A1867" s="1">
        <v>41061</v>
      </c>
      <c r="B1867" t="s">
        <v>18</v>
      </c>
      <c r="C1867" t="s">
        <v>40</v>
      </c>
      <c r="D1867">
        <v>738508</v>
      </c>
      <c r="E1867">
        <v>173731</v>
      </c>
      <c r="F1867">
        <f t="shared" si="193"/>
        <v>0.23524592827701257</v>
      </c>
      <c r="G1867">
        <f t="shared" si="194"/>
        <v>96.015625626262675</v>
      </c>
      <c r="H1867">
        <v>3845.6938775510203</v>
      </c>
      <c r="I1867" t="s">
        <v>40</v>
      </c>
      <c r="J1867">
        <f t="shared" si="195"/>
        <v>9.4222562233272562</v>
      </c>
      <c r="K1867">
        <f t="shared" si="196"/>
        <v>11933.76434245316</v>
      </c>
    </row>
    <row r="1868" spans="1:12" x14ac:dyDescent="0.35">
      <c r="A1868" s="1">
        <v>41091</v>
      </c>
      <c r="B1868" t="s">
        <v>18</v>
      </c>
      <c r="C1868" t="s">
        <v>40</v>
      </c>
      <c r="D1868">
        <v>755478</v>
      </c>
      <c r="E1868">
        <v>178779</v>
      </c>
      <c r="F1868">
        <f t="shared" si="193"/>
        <v>0.23664355547084098</v>
      </c>
      <c r="G1868">
        <f t="shared" si="194"/>
        <v>96.586067165423742</v>
      </c>
      <c r="H1868">
        <v>3267.6734693877547</v>
      </c>
      <c r="I1868" t="s">
        <v>40</v>
      </c>
      <c r="J1868">
        <f t="shared" si="195"/>
        <v>8.0060601969563994</v>
      </c>
      <c r="K1868">
        <f t="shared" si="196"/>
        <v>11933.76434245316</v>
      </c>
    </row>
    <row r="1869" spans="1:12" x14ac:dyDescent="0.35">
      <c r="A1869" s="1">
        <v>41122</v>
      </c>
      <c r="B1869" t="s">
        <v>18</v>
      </c>
      <c r="C1869" t="s">
        <v>40</v>
      </c>
      <c r="D1869">
        <v>765399</v>
      </c>
      <c r="E1869">
        <v>218755</v>
      </c>
      <c r="F1869">
        <f t="shared" si="193"/>
        <v>0.28580518134985805</v>
      </c>
      <c r="G1869">
        <f t="shared" si="194"/>
        <v>116.65138476794456</v>
      </c>
      <c r="H1869">
        <v>3774.5383597883597</v>
      </c>
      <c r="I1869" t="s">
        <v>40</v>
      </c>
      <c r="J1869">
        <f t="shared" si="195"/>
        <v>9.2479195388664941</v>
      </c>
      <c r="K1869">
        <f t="shared" si="196"/>
        <v>11933.76434245316</v>
      </c>
    </row>
    <row r="1870" spans="1:12" x14ac:dyDescent="0.35">
      <c r="A1870" s="1">
        <v>41153</v>
      </c>
      <c r="B1870" t="s">
        <v>18</v>
      </c>
      <c r="C1870" t="s">
        <v>40</v>
      </c>
      <c r="D1870">
        <v>723294</v>
      </c>
      <c r="E1870">
        <v>178324</v>
      </c>
      <c r="F1870">
        <f t="shared" si="193"/>
        <v>0.24654428213147075</v>
      </c>
      <c r="G1870">
        <f t="shared" si="194"/>
        <v>100.62704875195978</v>
      </c>
      <c r="H1870">
        <v>3960.5654761904757</v>
      </c>
      <c r="I1870" t="s">
        <v>40</v>
      </c>
      <c r="J1870">
        <f t="shared" si="195"/>
        <v>9.7037007869422407</v>
      </c>
      <c r="K1870">
        <f t="shared" si="196"/>
        <v>11933.76434245316</v>
      </c>
    </row>
    <row r="1871" spans="1:12" x14ac:dyDescent="0.35">
      <c r="A1871" s="1">
        <v>41183</v>
      </c>
      <c r="B1871" t="s">
        <v>18</v>
      </c>
      <c r="C1871" t="s">
        <v>40</v>
      </c>
      <c r="D1871">
        <v>630117</v>
      </c>
      <c r="E1871">
        <v>157706</v>
      </c>
      <c r="F1871">
        <f t="shared" si="193"/>
        <v>0.25028050346205544</v>
      </c>
      <c r="G1871">
        <f t="shared" si="194"/>
        <v>102.15198748803792</v>
      </c>
      <c r="H1871">
        <v>4746.0748299319739</v>
      </c>
      <c r="I1871" t="s">
        <v>40</v>
      </c>
      <c r="J1871">
        <f t="shared" si="195"/>
        <v>11.62826125182402</v>
      </c>
      <c r="K1871">
        <f t="shared" si="196"/>
        <v>11933.76434245316</v>
      </c>
    </row>
    <row r="1872" spans="1:12" x14ac:dyDescent="0.35">
      <c r="A1872" s="1">
        <v>41214</v>
      </c>
      <c r="B1872" t="s">
        <v>18</v>
      </c>
      <c r="C1872" t="s">
        <v>40</v>
      </c>
      <c r="D1872">
        <v>737599</v>
      </c>
      <c r="E1872">
        <v>127178</v>
      </c>
      <c r="F1872">
        <f t="shared" si="193"/>
        <v>0.17242160035466425</v>
      </c>
      <c r="G1872">
        <f t="shared" si="194"/>
        <v>70.373876184756213</v>
      </c>
      <c r="H1872">
        <v>6508.583333333333</v>
      </c>
      <c r="I1872" t="s">
        <v>40</v>
      </c>
      <c r="J1872">
        <f t="shared" si="195"/>
        <v>15.946547429458123</v>
      </c>
      <c r="K1872">
        <f t="shared" si="196"/>
        <v>11933.76434245316</v>
      </c>
    </row>
    <row r="1873" spans="1:11" x14ac:dyDescent="0.35">
      <c r="A1873" s="1">
        <v>41244</v>
      </c>
      <c r="B1873" t="s">
        <v>18</v>
      </c>
      <c r="C1873" t="s">
        <v>40</v>
      </c>
      <c r="D1873">
        <v>687151</v>
      </c>
      <c r="E1873">
        <v>249100</v>
      </c>
      <c r="F1873">
        <f t="shared" si="193"/>
        <v>0.36251129664367804</v>
      </c>
      <c r="G1873">
        <f t="shared" si="194"/>
        <v>147.95898572511717</v>
      </c>
      <c r="H1873">
        <v>6140.2777777777783</v>
      </c>
      <c r="I1873" t="s">
        <v>40</v>
      </c>
      <c r="J1873">
        <f t="shared" si="195"/>
        <v>15.044169491064016</v>
      </c>
      <c r="K1873">
        <f t="shared" si="196"/>
        <v>11933.76434245316</v>
      </c>
    </row>
    <row r="1874" spans="1:11" x14ac:dyDescent="0.35">
      <c r="A1874" s="1">
        <v>41275</v>
      </c>
      <c r="B1874" t="s">
        <v>2</v>
      </c>
      <c r="C1874" t="s">
        <v>38</v>
      </c>
      <c r="D1874">
        <v>8051</v>
      </c>
      <c r="E1874">
        <v>21905</v>
      </c>
      <c r="F1874">
        <f t="shared" si="193"/>
        <v>2.720780027325798</v>
      </c>
      <c r="G1874">
        <f>F1874*45.36</f>
        <v>123.4145820394982</v>
      </c>
      <c r="H1874">
        <v>1634.3084928571432</v>
      </c>
      <c r="I1874" t="s">
        <v>59</v>
      </c>
      <c r="J1874">
        <f>H1874/110</f>
        <v>14.857349935064939</v>
      </c>
      <c r="K1874">
        <v>7832.6079700315458</v>
      </c>
    </row>
    <row r="1875" spans="1:11" x14ac:dyDescent="0.35">
      <c r="A1875" s="1">
        <v>41306</v>
      </c>
      <c r="B1875" t="s">
        <v>2</v>
      </c>
      <c r="C1875" t="s">
        <v>38</v>
      </c>
      <c r="D1875">
        <v>7418</v>
      </c>
      <c r="E1875">
        <v>23694</v>
      </c>
      <c r="F1875">
        <f t="shared" si="193"/>
        <v>3.1941224049609058</v>
      </c>
      <c r="G1875">
        <f t="shared" ref="G1875:G1938" si="197">F1875*45.36</f>
        <v>144.8853922890267</v>
      </c>
      <c r="H1875">
        <v>1595.7838833333335</v>
      </c>
      <c r="I1875" t="s">
        <v>59</v>
      </c>
      <c r="J1875">
        <f t="shared" ref="J1875:J1885" si="198">H1875/110</f>
        <v>14.507126212121214</v>
      </c>
      <c r="K1875">
        <v>7832.6079700315458</v>
      </c>
    </row>
    <row r="1876" spans="1:11" x14ac:dyDescent="0.35">
      <c r="A1876" s="1">
        <v>41334</v>
      </c>
      <c r="B1876" t="s">
        <v>2</v>
      </c>
      <c r="C1876" t="s">
        <v>38</v>
      </c>
      <c r="D1876">
        <v>20079</v>
      </c>
      <c r="E1876">
        <v>88051</v>
      </c>
      <c r="F1876">
        <f t="shared" si="193"/>
        <v>4.3852283480252998</v>
      </c>
      <c r="G1876">
        <f t="shared" si="197"/>
        <v>198.91395786642761</v>
      </c>
      <c r="H1876">
        <v>1859.3422116357146</v>
      </c>
      <c r="I1876" t="s">
        <v>59</v>
      </c>
      <c r="J1876">
        <f t="shared" si="198"/>
        <v>16.903111014870134</v>
      </c>
      <c r="K1876">
        <v>7832.6079700315458</v>
      </c>
    </row>
    <row r="1877" spans="1:11" x14ac:dyDescent="0.35">
      <c r="A1877" s="1">
        <v>41365</v>
      </c>
      <c r="B1877" t="s">
        <v>2</v>
      </c>
      <c r="C1877" t="s">
        <v>38</v>
      </c>
      <c r="D1877">
        <v>368764</v>
      </c>
      <c r="E1877">
        <v>1785543</v>
      </c>
      <c r="F1877">
        <f t="shared" si="193"/>
        <v>4.8419666778752806</v>
      </c>
      <c r="G1877">
        <f t="shared" si="197"/>
        <v>219.63160850842272</v>
      </c>
      <c r="H1877">
        <v>1859.3422116357146</v>
      </c>
      <c r="I1877" t="s">
        <v>59</v>
      </c>
      <c r="J1877">
        <f t="shared" si="198"/>
        <v>16.903111014870134</v>
      </c>
      <c r="K1877">
        <v>7832.6079700315458</v>
      </c>
    </row>
    <row r="1878" spans="1:11" x14ac:dyDescent="0.35">
      <c r="A1878" s="1">
        <v>41395</v>
      </c>
      <c r="B1878" t="s">
        <v>2</v>
      </c>
      <c r="C1878" t="s">
        <v>38</v>
      </c>
      <c r="D1878">
        <v>544968.99999999988</v>
      </c>
      <c r="E1878">
        <v>2737124</v>
      </c>
      <c r="F1878">
        <f t="shared" si="193"/>
        <v>5.0225315568408488</v>
      </c>
      <c r="G1878">
        <f t="shared" si="197"/>
        <v>227.8220314183009</v>
      </c>
      <c r="H1878">
        <v>1909.0857500000002</v>
      </c>
      <c r="I1878" t="s">
        <v>59</v>
      </c>
      <c r="J1878">
        <f t="shared" si="198"/>
        <v>17.355325000000001</v>
      </c>
      <c r="K1878">
        <v>7832.6079700315458</v>
      </c>
    </row>
    <row r="1879" spans="1:11" x14ac:dyDescent="0.35">
      <c r="A1879" s="1">
        <v>41426</v>
      </c>
      <c r="B1879" t="s">
        <v>2</v>
      </c>
      <c r="C1879" t="s">
        <v>38</v>
      </c>
      <c r="D1879">
        <v>222691</v>
      </c>
      <c r="E1879">
        <v>1097561</v>
      </c>
      <c r="F1879">
        <f t="shared" si="193"/>
        <v>4.9286275601618383</v>
      </c>
      <c r="G1879">
        <f t="shared" si="197"/>
        <v>223.56254612894099</v>
      </c>
      <c r="H1879">
        <v>1946.2740000000003</v>
      </c>
      <c r="I1879" t="s">
        <v>59</v>
      </c>
      <c r="J1879">
        <f t="shared" si="198"/>
        <v>17.693400000000004</v>
      </c>
      <c r="K1879">
        <v>7832.6079700315458</v>
      </c>
    </row>
    <row r="1880" spans="1:11" x14ac:dyDescent="0.35">
      <c r="A1880" s="1">
        <v>41456</v>
      </c>
      <c r="B1880" t="s">
        <v>2</v>
      </c>
      <c r="C1880" t="s">
        <v>38</v>
      </c>
      <c r="D1880">
        <v>87491</v>
      </c>
      <c r="E1880">
        <v>385104</v>
      </c>
      <c r="F1880">
        <f t="shared" si="193"/>
        <v>4.4016413116777722</v>
      </c>
      <c r="G1880">
        <f t="shared" si="197"/>
        <v>199.65844989770375</v>
      </c>
      <c r="H1880">
        <v>1877.2940000000003</v>
      </c>
      <c r="I1880" t="s">
        <v>59</v>
      </c>
      <c r="J1880">
        <f t="shared" si="198"/>
        <v>17.066309090909094</v>
      </c>
      <c r="K1880">
        <v>7832.6079700315458</v>
      </c>
    </row>
    <row r="1881" spans="1:11" x14ac:dyDescent="0.35">
      <c r="A1881" s="1">
        <v>41487</v>
      </c>
      <c r="B1881" t="s">
        <v>2</v>
      </c>
      <c r="C1881" t="s">
        <v>38</v>
      </c>
      <c r="D1881">
        <v>37378</v>
      </c>
      <c r="E1881">
        <v>146833</v>
      </c>
      <c r="F1881">
        <f t="shared" si="193"/>
        <v>3.9283268232650221</v>
      </c>
      <c r="G1881">
        <f t="shared" si="197"/>
        <v>178.1889047033014</v>
      </c>
      <c r="H1881">
        <v>2260.5558954999997</v>
      </c>
      <c r="I1881" t="s">
        <v>59</v>
      </c>
      <c r="J1881">
        <f t="shared" si="198"/>
        <v>20.550508140909088</v>
      </c>
      <c r="K1881">
        <v>7832.6079700315458</v>
      </c>
    </row>
    <row r="1882" spans="1:11" x14ac:dyDescent="0.35">
      <c r="A1882" s="1">
        <v>41518</v>
      </c>
      <c r="B1882" t="s">
        <v>2</v>
      </c>
      <c r="C1882" t="s">
        <v>38</v>
      </c>
      <c r="D1882">
        <v>168161</v>
      </c>
      <c r="E1882">
        <v>737298</v>
      </c>
      <c r="F1882">
        <f t="shared" si="193"/>
        <v>4.3844767811799406</v>
      </c>
      <c r="G1882">
        <f t="shared" si="197"/>
        <v>198.87986679432211</v>
      </c>
      <c r="H1882">
        <v>1880.6193196666666</v>
      </c>
      <c r="I1882" t="s">
        <v>59</v>
      </c>
      <c r="J1882">
        <f t="shared" si="198"/>
        <v>17.096539269696969</v>
      </c>
      <c r="K1882">
        <v>7832.6079700315458</v>
      </c>
    </row>
    <row r="1883" spans="1:11" x14ac:dyDescent="0.35">
      <c r="A1883" s="1">
        <v>41548</v>
      </c>
      <c r="B1883" t="s">
        <v>2</v>
      </c>
      <c r="C1883" t="s">
        <v>38</v>
      </c>
      <c r="D1883">
        <v>603633</v>
      </c>
      <c r="E1883">
        <v>2825583</v>
      </c>
      <c r="F1883">
        <f t="shared" si="193"/>
        <v>4.6809617764436338</v>
      </c>
      <c r="G1883">
        <f t="shared" si="197"/>
        <v>212.32842617948322</v>
      </c>
      <c r="H1883">
        <v>1923.707266666667</v>
      </c>
      <c r="I1883" t="s">
        <v>59</v>
      </c>
      <c r="J1883">
        <f t="shared" si="198"/>
        <v>17.488247878787881</v>
      </c>
      <c r="K1883">
        <v>7832.6079700315458</v>
      </c>
    </row>
    <row r="1884" spans="1:11" x14ac:dyDescent="0.35">
      <c r="A1884" s="1">
        <v>41579</v>
      </c>
      <c r="B1884" t="s">
        <v>2</v>
      </c>
      <c r="C1884" t="s">
        <v>38</v>
      </c>
      <c r="D1884">
        <v>383186</v>
      </c>
      <c r="E1884">
        <v>1604849</v>
      </c>
      <c r="F1884">
        <f t="shared" si="193"/>
        <v>4.1881723236235144</v>
      </c>
      <c r="G1884">
        <f t="shared" si="197"/>
        <v>189.9754965995626</v>
      </c>
      <c r="H1884">
        <v>1719.9873333333335</v>
      </c>
      <c r="I1884" t="s">
        <v>59</v>
      </c>
      <c r="J1884">
        <f t="shared" si="198"/>
        <v>15.636248484848487</v>
      </c>
      <c r="K1884">
        <v>7832.6079700315458</v>
      </c>
    </row>
    <row r="1885" spans="1:11" x14ac:dyDescent="0.35">
      <c r="A1885" s="1">
        <v>41609</v>
      </c>
      <c r="B1885" t="s">
        <v>2</v>
      </c>
      <c r="C1885" t="s">
        <v>38</v>
      </c>
      <c r="D1885">
        <v>98067</v>
      </c>
      <c r="E1885">
        <v>363714</v>
      </c>
      <c r="F1885">
        <f t="shared" si="193"/>
        <v>3.7088317170913765</v>
      </c>
      <c r="G1885">
        <f t="shared" si="197"/>
        <v>168.23260668726485</v>
      </c>
      <c r="H1885">
        <v>1845.8061750000002</v>
      </c>
      <c r="I1885" t="s">
        <v>59</v>
      </c>
      <c r="J1885">
        <f>H1885/110</f>
        <v>16.780056136363637</v>
      </c>
      <c r="K1885">
        <v>7832.6079700315458</v>
      </c>
    </row>
    <row r="1886" spans="1:11" x14ac:dyDescent="0.35">
      <c r="A1886" s="1">
        <v>41275</v>
      </c>
      <c r="B1886" t="s">
        <v>5</v>
      </c>
      <c r="C1886" t="s">
        <v>38</v>
      </c>
      <c r="D1886">
        <v>31021</v>
      </c>
      <c r="E1886">
        <v>51002</v>
      </c>
      <c r="F1886">
        <f t="shared" si="193"/>
        <v>1.6441120531253022</v>
      </c>
      <c r="G1886">
        <f t="shared" si="197"/>
        <v>74.576922729763709</v>
      </c>
      <c r="H1886">
        <v>776.71600000000001</v>
      </c>
      <c r="I1886" t="s">
        <v>38</v>
      </c>
      <c r="J1886">
        <f>H1886/45.36</f>
        <v>17.123368606701941</v>
      </c>
      <c r="K1886">
        <v>2208.9263819999996</v>
      </c>
    </row>
    <row r="1887" spans="1:11" x14ac:dyDescent="0.35">
      <c r="A1887" s="1">
        <v>41306</v>
      </c>
      <c r="B1887" t="s">
        <v>5</v>
      </c>
      <c r="C1887" t="s">
        <v>38</v>
      </c>
      <c r="D1887">
        <v>30120</v>
      </c>
      <c r="E1887">
        <v>72642</v>
      </c>
      <c r="F1887">
        <f t="shared" si="193"/>
        <v>2.4117529880478088</v>
      </c>
      <c r="G1887">
        <f t="shared" si="197"/>
        <v>109.39711553784861</v>
      </c>
      <c r="H1887">
        <v>753.92000000000007</v>
      </c>
      <c r="I1887" t="s">
        <v>38</v>
      </c>
      <c r="J1887">
        <f t="shared" ref="J1887:J1950" si="199">H1887/45.36</f>
        <v>16.620811287477956</v>
      </c>
      <c r="K1887">
        <v>2208.9263819999996</v>
      </c>
    </row>
    <row r="1888" spans="1:11" x14ac:dyDescent="0.35">
      <c r="A1888" s="1">
        <v>41334</v>
      </c>
      <c r="B1888" t="s">
        <v>5</v>
      </c>
      <c r="C1888" t="s">
        <v>38</v>
      </c>
      <c r="D1888">
        <v>17905</v>
      </c>
      <c r="E1888">
        <v>33848</v>
      </c>
      <c r="F1888">
        <f t="shared" si="193"/>
        <v>1.8904216699246021</v>
      </c>
      <c r="G1888">
        <f t="shared" si="197"/>
        <v>85.749526947779955</v>
      </c>
      <c r="H1888">
        <v>764.93799999999999</v>
      </c>
      <c r="I1888" t="s">
        <v>38</v>
      </c>
      <c r="J1888">
        <f t="shared" si="199"/>
        <v>16.863712522045855</v>
      </c>
      <c r="K1888">
        <v>2208.9263819999996</v>
      </c>
    </row>
    <row r="1889" spans="1:11" x14ac:dyDescent="0.35">
      <c r="A1889" s="1">
        <v>41365</v>
      </c>
      <c r="B1889" t="s">
        <v>5</v>
      </c>
      <c r="C1889" t="s">
        <v>38</v>
      </c>
      <c r="D1889">
        <v>32783</v>
      </c>
      <c r="E1889">
        <v>84868</v>
      </c>
      <c r="F1889">
        <f t="shared" si="193"/>
        <v>2.5887807705213066</v>
      </c>
      <c r="G1889">
        <f t="shared" si="197"/>
        <v>117.42709575084646</v>
      </c>
      <c r="H1889">
        <v>759.92261904761892</v>
      </c>
      <c r="I1889" t="s">
        <v>38</v>
      </c>
      <c r="J1889">
        <f t="shared" si="199"/>
        <v>16.753144158898124</v>
      </c>
      <c r="K1889">
        <v>2208.9263819999996</v>
      </c>
    </row>
    <row r="1890" spans="1:11" x14ac:dyDescent="0.35">
      <c r="A1890" s="1">
        <v>41395</v>
      </c>
      <c r="B1890" t="s">
        <v>5</v>
      </c>
      <c r="C1890" t="s">
        <v>38</v>
      </c>
      <c r="D1890">
        <v>37475</v>
      </c>
      <c r="E1890">
        <v>94428</v>
      </c>
      <c r="F1890">
        <f t="shared" si="193"/>
        <v>2.5197598398932621</v>
      </c>
      <c r="G1890">
        <f t="shared" si="197"/>
        <v>114.29630633755836</v>
      </c>
      <c r="H1890">
        <v>706.80499999999995</v>
      </c>
      <c r="I1890" t="s">
        <v>38</v>
      </c>
      <c r="J1890">
        <f t="shared" si="199"/>
        <v>15.582120811287478</v>
      </c>
      <c r="K1890">
        <v>2208.9263819999996</v>
      </c>
    </row>
    <row r="1891" spans="1:11" x14ac:dyDescent="0.35">
      <c r="A1891" s="1">
        <v>41426</v>
      </c>
      <c r="B1891" t="s">
        <v>5</v>
      </c>
      <c r="C1891" t="s">
        <v>38</v>
      </c>
      <c r="D1891">
        <v>35420</v>
      </c>
      <c r="E1891">
        <v>94439</v>
      </c>
      <c r="F1891">
        <f t="shared" si="193"/>
        <v>2.6662619988706946</v>
      </c>
      <c r="G1891">
        <f t="shared" si="197"/>
        <v>120.94164426877471</v>
      </c>
      <c r="H1891">
        <v>807.86979591836734</v>
      </c>
      <c r="I1891" t="s">
        <v>38</v>
      </c>
      <c r="J1891">
        <f t="shared" si="199"/>
        <v>17.810180686031025</v>
      </c>
      <c r="K1891">
        <v>2208.9263819999996</v>
      </c>
    </row>
    <row r="1892" spans="1:11" x14ac:dyDescent="0.35">
      <c r="A1892" s="1">
        <v>41456</v>
      </c>
      <c r="B1892" t="s">
        <v>5</v>
      </c>
      <c r="C1892" t="s">
        <v>38</v>
      </c>
      <c r="D1892">
        <v>34574</v>
      </c>
      <c r="E1892">
        <v>87477</v>
      </c>
      <c r="F1892">
        <f t="shared" si="193"/>
        <v>2.530138254179441</v>
      </c>
      <c r="G1892">
        <f t="shared" si="197"/>
        <v>114.76707120957944</v>
      </c>
      <c r="H1892">
        <v>768.61166666666668</v>
      </c>
      <c r="I1892" t="s">
        <v>38</v>
      </c>
      <c r="J1892">
        <f t="shared" si="199"/>
        <v>16.944701646090536</v>
      </c>
      <c r="K1892">
        <v>2208.9263819999996</v>
      </c>
    </row>
    <row r="1893" spans="1:11" x14ac:dyDescent="0.35">
      <c r="A1893" s="1">
        <v>41487</v>
      </c>
      <c r="B1893" t="s">
        <v>5</v>
      </c>
      <c r="C1893" t="s">
        <v>38</v>
      </c>
      <c r="D1893">
        <v>43738</v>
      </c>
      <c r="E1893">
        <v>87537</v>
      </c>
      <c r="F1893">
        <f t="shared" si="193"/>
        <v>2.0013946682518635</v>
      </c>
      <c r="G1893">
        <f t="shared" si="197"/>
        <v>90.783262151904523</v>
      </c>
      <c r="H1893">
        <v>786.270625</v>
      </c>
      <c r="I1893" t="s">
        <v>38</v>
      </c>
      <c r="J1893">
        <f t="shared" si="199"/>
        <v>17.334008487654319</v>
      </c>
      <c r="K1893">
        <v>2208.9263819999996</v>
      </c>
    </row>
    <row r="1894" spans="1:11" x14ac:dyDescent="0.35">
      <c r="A1894" s="1">
        <v>41518</v>
      </c>
      <c r="B1894" t="s">
        <v>5</v>
      </c>
      <c r="C1894" t="s">
        <v>38</v>
      </c>
      <c r="D1894">
        <v>55653</v>
      </c>
      <c r="E1894">
        <v>106427</v>
      </c>
      <c r="F1894">
        <f t="shared" si="193"/>
        <v>1.912331770075288</v>
      </c>
      <c r="G1894">
        <f t="shared" si="197"/>
        <v>86.743369090615062</v>
      </c>
      <c r="H1894">
        <v>721.97166666666669</v>
      </c>
      <c r="I1894" t="s">
        <v>38</v>
      </c>
      <c r="J1894">
        <f t="shared" si="199"/>
        <v>15.916482951205174</v>
      </c>
      <c r="K1894">
        <v>2208.9263819999996</v>
      </c>
    </row>
    <row r="1895" spans="1:11" x14ac:dyDescent="0.35">
      <c r="A1895" s="1">
        <v>41548</v>
      </c>
      <c r="B1895" t="s">
        <v>5</v>
      </c>
      <c r="C1895" t="s">
        <v>38</v>
      </c>
      <c r="D1895">
        <v>47962</v>
      </c>
      <c r="E1895">
        <v>107844</v>
      </c>
      <c r="F1895">
        <f t="shared" si="193"/>
        <v>2.2485300863183353</v>
      </c>
      <c r="G1895">
        <f t="shared" si="197"/>
        <v>101.99332471539968</v>
      </c>
      <c r="H1895">
        <v>657.88184000000001</v>
      </c>
      <c r="I1895" t="s">
        <v>38</v>
      </c>
      <c r="J1895">
        <f t="shared" si="199"/>
        <v>14.503567901234568</v>
      </c>
      <c r="K1895">
        <v>2208.9263819999996</v>
      </c>
    </row>
    <row r="1896" spans="1:11" x14ac:dyDescent="0.35">
      <c r="A1896" s="1">
        <v>41579</v>
      </c>
      <c r="B1896" t="s">
        <v>5</v>
      </c>
      <c r="C1896" t="s">
        <v>38</v>
      </c>
      <c r="D1896">
        <v>33979</v>
      </c>
      <c r="E1896">
        <v>71671</v>
      </c>
      <c r="F1896">
        <f t="shared" si="193"/>
        <v>2.1092733747314516</v>
      </c>
      <c r="G1896">
        <f t="shared" si="197"/>
        <v>95.676640277818649</v>
      </c>
      <c r="H1896">
        <v>641.45900000000006</v>
      </c>
      <c r="I1896" t="s">
        <v>38</v>
      </c>
      <c r="J1896">
        <f t="shared" si="199"/>
        <v>14.141512345679013</v>
      </c>
      <c r="K1896">
        <v>2208.9263819999996</v>
      </c>
    </row>
    <row r="1897" spans="1:11" x14ac:dyDescent="0.35">
      <c r="A1897" s="1">
        <v>41609</v>
      </c>
      <c r="B1897" t="s">
        <v>5</v>
      </c>
      <c r="C1897" t="s">
        <v>38</v>
      </c>
      <c r="D1897">
        <v>57443</v>
      </c>
      <c r="E1897">
        <v>109051</v>
      </c>
      <c r="F1897">
        <f t="shared" si="193"/>
        <v>1.8984210434691782</v>
      </c>
      <c r="G1897">
        <f t="shared" si="197"/>
        <v>86.112378531761919</v>
      </c>
      <c r="H1897">
        <v>658.33333333333337</v>
      </c>
      <c r="I1897" t="s">
        <v>38</v>
      </c>
      <c r="J1897">
        <f t="shared" si="199"/>
        <v>14.513521457965904</v>
      </c>
      <c r="K1897">
        <v>2208.9263819999996</v>
      </c>
    </row>
    <row r="1898" spans="1:11" x14ac:dyDescent="0.35">
      <c r="A1898" s="1">
        <v>41275</v>
      </c>
      <c r="B1898" t="s">
        <v>7</v>
      </c>
      <c r="C1898" t="s">
        <v>38</v>
      </c>
      <c r="D1898">
        <v>9520</v>
      </c>
      <c r="E1898">
        <v>109971</v>
      </c>
      <c r="F1898">
        <f t="shared" si="193"/>
        <v>11.551575630252101</v>
      </c>
      <c r="G1898">
        <f t="shared" si="197"/>
        <v>523.97947058823524</v>
      </c>
      <c r="H1898">
        <v>553.5</v>
      </c>
      <c r="I1898" t="s">
        <v>38</v>
      </c>
      <c r="J1898">
        <f t="shared" si="199"/>
        <v>12.202380952380953</v>
      </c>
      <c r="K1898">
        <v>4893.7504664999997</v>
      </c>
    </row>
    <row r="1899" spans="1:11" x14ac:dyDescent="0.35">
      <c r="A1899" s="1">
        <v>41306</v>
      </c>
      <c r="B1899" t="s">
        <v>7</v>
      </c>
      <c r="C1899" t="s">
        <v>38</v>
      </c>
      <c r="D1899">
        <v>8902</v>
      </c>
      <c r="E1899">
        <v>99010</v>
      </c>
      <c r="F1899">
        <f t="shared" si="193"/>
        <v>11.122219725904291</v>
      </c>
      <c r="G1899">
        <f t="shared" si="197"/>
        <v>504.50388676701863</v>
      </c>
      <c r="H1899">
        <v>499.32533333333339</v>
      </c>
      <c r="I1899" t="s">
        <v>38</v>
      </c>
      <c r="J1899">
        <f t="shared" si="199"/>
        <v>11.008054085831866</v>
      </c>
      <c r="K1899">
        <v>4893.7504664999997</v>
      </c>
    </row>
    <row r="1900" spans="1:11" x14ac:dyDescent="0.35">
      <c r="A1900" s="1">
        <v>41334</v>
      </c>
      <c r="B1900" t="s">
        <v>7</v>
      </c>
      <c r="C1900" t="s">
        <v>38</v>
      </c>
      <c r="D1900">
        <v>8286</v>
      </c>
      <c r="E1900">
        <v>90803</v>
      </c>
      <c r="F1900">
        <f t="shared" si="193"/>
        <v>10.958604875693942</v>
      </c>
      <c r="G1900">
        <f t="shared" si="197"/>
        <v>497.08231716147719</v>
      </c>
      <c r="H1900">
        <v>506.21600000000001</v>
      </c>
      <c r="I1900" t="s">
        <v>38</v>
      </c>
      <c r="J1900">
        <f t="shared" si="199"/>
        <v>11.159964726631394</v>
      </c>
      <c r="K1900">
        <v>4893.7504664999997</v>
      </c>
    </row>
    <row r="1901" spans="1:11" x14ac:dyDescent="0.35">
      <c r="A1901" s="1">
        <v>41365</v>
      </c>
      <c r="B1901" t="s">
        <v>7</v>
      </c>
      <c r="C1901" t="s">
        <v>38</v>
      </c>
      <c r="D1901">
        <v>11082</v>
      </c>
      <c r="E1901">
        <v>120544</v>
      </c>
      <c r="F1901">
        <f t="shared" si="193"/>
        <v>10.877458942429165</v>
      </c>
      <c r="G1901">
        <f t="shared" si="197"/>
        <v>493.40153762858694</v>
      </c>
      <c r="H1901">
        <v>409.78264285714283</v>
      </c>
      <c r="I1901" t="s">
        <v>38</v>
      </c>
      <c r="J1901">
        <f t="shared" si="199"/>
        <v>9.0340088813303101</v>
      </c>
      <c r="K1901">
        <v>4893.7504664999997</v>
      </c>
    </row>
    <row r="1902" spans="1:11" x14ac:dyDescent="0.35">
      <c r="A1902" s="1">
        <v>41395</v>
      </c>
      <c r="B1902" t="s">
        <v>7</v>
      </c>
      <c r="C1902" t="s">
        <v>38</v>
      </c>
      <c r="D1902">
        <v>9564</v>
      </c>
      <c r="E1902">
        <v>95421</v>
      </c>
      <c r="F1902">
        <f t="shared" si="193"/>
        <v>9.9771016311166871</v>
      </c>
      <c r="G1902">
        <f t="shared" si="197"/>
        <v>452.56132998745295</v>
      </c>
      <c r="H1902">
        <v>466.83375000000001</v>
      </c>
      <c r="I1902" t="s">
        <v>38</v>
      </c>
      <c r="J1902">
        <f t="shared" si="199"/>
        <v>10.291749338624339</v>
      </c>
      <c r="K1902">
        <v>4893.7504664999997</v>
      </c>
    </row>
    <row r="1903" spans="1:11" x14ac:dyDescent="0.35">
      <c r="A1903" s="1">
        <v>41426</v>
      </c>
      <c r="B1903" t="s">
        <v>7</v>
      </c>
      <c r="C1903" t="s">
        <v>38</v>
      </c>
      <c r="D1903">
        <v>8951</v>
      </c>
      <c r="E1903">
        <v>98801</v>
      </c>
      <c r="F1903">
        <f t="shared" si="193"/>
        <v>11.037984582728187</v>
      </c>
      <c r="G1903">
        <f t="shared" si="197"/>
        <v>500.68298067255057</v>
      </c>
      <c r="H1903">
        <v>327.45048809523809</v>
      </c>
      <c r="I1903" t="s">
        <v>38</v>
      </c>
      <c r="J1903">
        <f t="shared" si="199"/>
        <v>7.2189261043923745</v>
      </c>
      <c r="K1903">
        <v>4893.7504664999997</v>
      </c>
    </row>
    <row r="1904" spans="1:11" x14ac:dyDescent="0.35">
      <c r="A1904" s="1">
        <v>41456</v>
      </c>
      <c r="B1904" t="s">
        <v>7</v>
      </c>
      <c r="C1904" t="s">
        <v>38</v>
      </c>
      <c r="D1904">
        <v>5586</v>
      </c>
      <c r="E1904">
        <v>61945</v>
      </c>
      <c r="F1904">
        <f t="shared" si="193"/>
        <v>11.089330469029717</v>
      </c>
      <c r="G1904">
        <f t="shared" si="197"/>
        <v>503.01203007518797</v>
      </c>
      <c r="H1904">
        <v>391.36406999999997</v>
      </c>
      <c r="I1904" t="s">
        <v>38</v>
      </c>
      <c r="J1904">
        <f t="shared" si="199"/>
        <v>8.6279556878306867</v>
      </c>
      <c r="K1904">
        <v>4893.7504664999997</v>
      </c>
    </row>
    <row r="1905" spans="1:11" x14ac:dyDescent="0.35">
      <c r="A1905" s="1">
        <v>41487</v>
      </c>
      <c r="B1905" t="s">
        <v>7</v>
      </c>
      <c r="C1905" t="s">
        <v>38</v>
      </c>
      <c r="D1905">
        <v>5716</v>
      </c>
      <c r="E1905">
        <v>70708</v>
      </c>
      <c r="F1905">
        <f t="shared" si="193"/>
        <v>12.370188943317006</v>
      </c>
      <c r="G1905">
        <f t="shared" si="197"/>
        <v>561.11177046885939</v>
      </c>
      <c r="H1905">
        <v>524.40010714285722</v>
      </c>
      <c r="I1905" t="s">
        <v>38</v>
      </c>
      <c r="J1905">
        <f t="shared" si="199"/>
        <v>11.560848922902496</v>
      </c>
      <c r="K1905">
        <v>4893.7504664999997</v>
      </c>
    </row>
    <row r="1906" spans="1:11" x14ac:dyDescent="0.35">
      <c r="A1906" s="1">
        <v>41518</v>
      </c>
      <c r="B1906" t="s">
        <v>7</v>
      </c>
      <c r="C1906" t="s">
        <v>38</v>
      </c>
      <c r="D1906">
        <v>6597</v>
      </c>
      <c r="E1906">
        <v>72103</v>
      </c>
      <c r="F1906">
        <f t="shared" si="193"/>
        <v>10.92966499924208</v>
      </c>
      <c r="G1906">
        <f t="shared" si="197"/>
        <v>495.76960436562075</v>
      </c>
      <c r="H1906">
        <v>417.35</v>
      </c>
      <c r="I1906" t="s">
        <v>38</v>
      </c>
      <c r="J1906">
        <f t="shared" si="199"/>
        <v>9.2008377425044099</v>
      </c>
      <c r="K1906">
        <v>4893.7504664999997</v>
      </c>
    </row>
    <row r="1907" spans="1:11" x14ac:dyDescent="0.35">
      <c r="A1907" s="1">
        <v>41548</v>
      </c>
      <c r="B1907" t="s">
        <v>7</v>
      </c>
      <c r="C1907" t="s">
        <v>38</v>
      </c>
      <c r="D1907">
        <v>7511</v>
      </c>
      <c r="E1907">
        <v>75394</v>
      </c>
      <c r="F1907">
        <f t="shared" si="193"/>
        <v>10.037811210225003</v>
      </c>
      <c r="G1907">
        <f t="shared" si="197"/>
        <v>455.31511649580614</v>
      </c>
      <c r="H1907">
        <v>425.48400000000004</v>
      </c>
      <c r="I1907" t="s">
        <v>38</v>
      </c>
      <c r="J1907">
        <f t="shared" si="199"/>
        <v>9.3801587301587315</v>
      </c>
      <c r="K1907">
        <v>4893.7504664999997</v>
      </c>
    </row>
    <row r="1908" spans="1:11" x14ac:dyDescent="0.35">
      <c r="A1908" s="1">
        <v>41579</v>
      </c>
      <c r="B1908" t="s">
        <v>7</v>
      </c>
      <c r="C1908" t="s">
        <v>38</v>
      </c>
      <c r="D1908">
        <v>9092</v>
      </c>
      <c r="E1908">
        <v>106896</v>
      </c>
      <c r="F1908">
        <f t="shared" si="193"/>
        <v>11.757149142102948</v>
      </c>
      <c r="G1908">
        <f t="shared" si="197"/>
        <v>533.30428508578973</v>
      </c>
      <c r="H1908">
        <v>359.084</v>
      </c>
      <c r="I1908" t="s">
        <v>38</v>
      </c>
      <c r="J1908">
        <f t="shared" si="199"/>
        <v>7.9163139329806</v>
      </c>
      <c r="K1908">
        <v>4893.7504664999997</v>
      </c>
    </row>
    <row r="1909" spans="1:11" x14ac:dyDescent="0.35">
      <c r="A1909" s="1">
        <v>41609</v>
      </c>
      <c r="B1909" t="s">
        <v>7</v>
      </c>
      <c r="C1909" t="s">
        <v>38</v>
      </c>
      <c r="D1909">
        <v>7535</v>
      </c>
      <c r="E1909">
        <v>86684</v>
      </c>
      <c r="F1909">
        <f t="shared" si="193"/>
        <v>11.504180491041804</v>
      </c>
      <c r="G1909">
        <f t="shared" si="197"/>
        <v>521.8296270736563</v>
      </c>
      <c r="H1909">
        <v>269.83949999999993</v>
      </c>
      <c r="I1909" t="s">
        <v>38</v>
      </c>
      <c r="J1909">
        <f t="shared" si="199"/>
        <v>5.948842592592591</v>
      </c>
      <c r="K1909">
        <v>4893.7504664999997</v>
      </c>
    </row>
    <row r="1910" spans="1:11" x14ac:dyDescent="0.35">
      <c r="A1910" s="1">
        <v>41275</v>
      </c>
      <c r="B1910" t="s">
        <v>8</v>
      </c>
      <c r="C1910" t="s">
        <v>38</v>
      </c>
      <c r="D1910">
        <v>8214</v>
      </c>
      <c r="E1910">
        <v>82410</v>
      </c>
      <c r="F1910">
        <f t="shared" si="193"/>
        <v>10.032870708546385</v>
      </c>
      <c r="G1910">
        <f t="shared" si="197"/>
        <v>455.09101533966401</v>
      </c>
      <c r="H1910">
        <v>1116.9000000000001</v>
      </c>
      <c r="I1910" t="s">
        <v>38</v>
      </c>
      <c r="J1910">
        <f t="shared" si="199"/>
        <v>24.623015873015877</v>
      </c>
      <c r="K1910">
        <v>8667.0620736000001</v>
      </c>
    </row>
    <row r="1911" spans="1:11" x14ac:dyDescent="0.35">
      <c r="A1911" s="1">
        <v>41306</v>
      </c>
      <c r="B1911" t="s">
        <v>8</v>
      </c>
      <c r="C1911" t="s">
        <v>38</v>
      </c>
      <c r="D1911">
        <v>10710</v>
      </c>
      <c r="E1911">
        <v>84810</v>
      </c>
      <c r="F1911">
        <f t="shared" si="193"/>
        <v>7.9187675070028014</v>
      </c>
      <c r="G1911">
        <f t="shared" si="197"/>
        <v>359.19529411764705</v>
      </c>
      <c r="H1911">
        <v>1028.875</v>
      </c>
      <c r="I1911" t="s">
        <v>38</v>
      </c>
      <c r="J1911">
        <f t="shared" si="199"/>
        <v>22.682429453262788</v>
      </c>
      <c r="K1911">
        <v>8667.0620736000001</v>
      </c>
    </row>
    <row r="1912" spans="1:11" x14ac:dyDescent="0.35">
      <c r="A1912" s="1">
        <v>41334</v>
      </c>
      <c r="B1912" t="s">
        <v>8</v>
      </c>
      <c r="C1912" t="s">
        <v>38</v>
      </c>
      <c r="D1912">
        <v>5029</v>
      </c>
      <c r="E1912">
        <v>47026</v>
      </c>
      <c r="F1912">
        <f t="shared" si="193"/>
        <v>9.3509644064426336</v>
      </c>
      <c r="G1912">
        <f t="shared" si="197"/>
        <v>424.15974547623784</v>
      </c>
      <c r="H1912">
        <v>1106.9000000000001</v>
      </c>
      <c r="I1912" t="s">
        <v>38</v>
      </c>
      <c r="J1912">
        <f t="shared" si="199"/>
        <v>24.402557319223988</v>
      </c>
      <c r="K1912">
        <v>8667.0620736000001</v>
      </c>
    </row>
    <row r="1913" spans="1:11" x14ac:dyDescent="0.35">
      <c r="A1913" s="1">
        <v>41365</v>
      </c>
      <c r="B1913" t="s">
        <v>8</v>
      </c>
      <c r="C1913" t="s">
        <v>38</v>
      </c>
      <c r="D1913">
        <v>3852</v>
      </c>
      <c r="E1913">
        <v>35126</v>
      </c>
      <c r="F1913">
        <f t="shared" si="193"/>
        <v>9.1188992731048799</v>
      </c>
      <c r="G1913">
        <f t="shared" si="197"/>
        <v>413.63327102803737</v>
      </c>
      <c r="H1913">
        <v>1102.0340000000001</v>
      </c>
      <c r="I1913" t="s">
        <v>38</v>
      </c>
      <c r="J1913">
        <f t="shared" si="199"/>
        <v>24.295282186948857</v>
      </c>
      <c r="K1913">
        <v>8667.0620736000001</v>
      </c>
    </row>
    <row r="1914" spans="1:11" x14ac:dyDescent="0.35">
      <c r="A1914" s="1">
        <v>41395</v>
      </c>
      <c r="B1914" t="s">
        <v>8</v>
      </c>
      <c r="C1914" t="s">
        <v>38</v>
      </c>
      <c r="D1914">
        <v>5487</v>
      </c>
      <c r="E1914">
        <v>50214</v>
      </c>
      <c r="F1914">
        <f t="shared" si="193"/>
        <v>9.1514488791689441</v>
      </c>
      <c r="G1914">
        <f t="shared" si="197"/>
        <v>415.10972115910329</v>
      </c>
      <c r="H1914">
        <v>1060.5566666666666</v>
      </c>
      <c r="I1914" t="s">
        <v>38</v>
      </c>
      <c r="J1914">
        <f t="shared" si="199"/>
        <v>23.380878894767783</v>
      </c>
      <c r="K1914">
        <v>8667.0620736000001</v>
      </c>
    </row>
    <row r="1915" spans="1:11" x14ac:dyDescent="0.35">
      <c r="A1915" s="1">
        <v>41426</v>
      </c>
      <c r="B1915" t="s">
        <v>8</v>
      </c>
      <c r="C1915" t="s">
        <v>38</v>
      </c>
      <c r="D1915">
        <v>5221</v>
      </c>
      <c r="E1915">
        <v>41331</v>
      </c>
      <c r="F1915">
        <f t="shared" si="193"/>
        <v>7.9162995594713657</v>
      </c>
      <c r="G1915">
        <f t="shared" si="197"/>
        <v>359.08334801762112</v>
      </c>
      <c r="H1915">
        <v>1267.4411428571427</v>
      </c>
      <c r="I1915" t="s">
        <v>38</v>
      </c>
      <c r="J1915">
        <f t="shared" si="199"/>
        <v>27.94182413706223</v>
      </c>
      <c r="K1915">
        <v>8667.0620736000001</v>
      </c>
    </row>
    <row r="1916" spans="1:11" x14ac:dyDescent="0.35">
      <c r="A1916" s="1">
        <v>41456</v>
      </c>
      <c r="B1916" t="s">
        <v>8</v>
      </c>
      <c r="C1916" t="s">
        <v>38</v>
      </c>
      <c r="D1916">
        <v>3113</v>
      </c>
      <c r="E1916">
        <v>28403</v>
      </c>
      <c r="F1916">
        <f t="shared" si="193"/>
        <v>9.1239961451975589</v>
      </c>
      <c r="G1916">
        <f t="shared" si="197"/>
        <v>413.86446514616125</v>
      </c>
      <c r="H1916">
        <v>1221.5</v>
      </c>
      <c r="I1916" t="s">
        <v>38</v>
      </c>
      <c r="J1916">
        <f t="shared" si="199"/>
        <v>26.929012345679013</v>
      </c>
      <c r="K1916">
        <v>8667.0620736000001</v>
      </c>
    </row>
    <row r="1917" spans="1:11" x14ac:dyDescent="0.35">
      <c r="A1917" s="1">
        <v>41487</v>
      </c>
      <c r="B1917" t="s">
        <v>8</v>
      </c>
      <c r="C1917" t="s">
        <v>38</v>
      </c>
      <c r="D1917">
        <v>4681</v>
      </c>
      <c r="E1917">
        <v>37636</v>
      </c>
      <c r="F1917">
        <f t="shared" si="193"/>
        <v>8.0401623584704129</v>
      </c>
      <c r="G1917">
        <f t="shared" si="197"/>
        <v>364.70176458021791</v>
      </c>
      <c r="H1917">
        <v>1019.8125</v>
      </c>
      <c r="I1917" t="s">
        <v>38</v>
      </c>
      <c r="J1917">
        <f t="shared" si="199"/>
        <v>22.482638888888889</v>
      </c>
      <c r="K1917">
        <v>8667.0620736000001</v>
      </c>
    </row>
    <row r="1918" spans="1:11" x14ac:dyDescent="0.35">
      <c r="A1918" s="1">
        <v>41518</v>
      </c>
      <c r="B1918" t="s">
        <v>8</v>
      </c>
      <c r="C1918" t="s">
        <v>38</v>
      </c>
      <c r="D1918">
        <v>4068</v>
      </c>
      <c r="E1918">
        <v>35797</v>
      </c>
      <c r="F1918">
        <f t="shared" ref="F1918:F1956" si="200">E1918/D1918</f>
        <v>8.7996558505408071</v>
      </c>
      <c r="G1918">
        <f t="shared" si="197"/>
        <v>399.15238938053102</v>
      </c>
      <c r="H1918">
        <v>1041.5</v>
      </c>
      <c r="I1918" t="s">
        <v>38</v>
      </c>
      <c r="J1918">
        <f t="shared" si="199"/>
        <v>22.960758377425044</v>
      </c>
      <c r="K1918">
        <v>8667.0620736000001</v>
      </c>
    </row>
    <row r="1919" spans="1:11" x14ac:dyDescent="0.35">
      <c r="A1919" s="1">
        <v>41548</v>
      </c>
      <c r="B1919" t="s">
        <v>8</v>
      </c>
      <c r="C1919" t="s">
        <v>38</v>
      </c>
      <c r="D1919">
        <v>2717</v>
      </c>
      <c r="E1919">
        <v>22981</v>
      </c>
      <c r="F1919">
        <f t="shared" si="200"/>
        <v>8.4582259845417749</v>
      </c>
      <c r="G1919">
        <f t="shared" si="197"/>
        <v>383.66513065881492</v>
      </c>
      <c r="H1919">
        <v>1024</v>
      </c>
      <c r="I1919" t="s">
        <v>38</v>
      </c>
      <c r="J1919">
        <f t="shared" si="199"/>
        <v>22.57495590828924</v>
      </c>
      <c r="K1919">
        <v>8667.0620736000001</v>
      </c>
    </row>
    <row r="1920" spans="1:11" x14ac:dyDescent="0.35">
      <c r="A1920" s="1">
        <v>41579</v>
      </c>
      <c r="B1920" t="s">
        <v>8</v>
      </c>
      <c r="C1920" t="s">
        <v>38</v>
      </c>
      <c r="D1920">
        <v>6850</v>
      </c>
      <c r="E1920">
        <v>58724</v>
      </c>
      <c r="F1920">
        <f t="shared" si="200"/>
        <v>8.5728467153284669</v>
      </c>
      <c r="G1920">
        <f t="shared" si="197"/>
        <v>388.86432700729927</v>
      </c>
      <c r="H1920">
        <v>935.46333333333325</v>
      </c>
      <c r="I1920" t="s">
        <v>38</v>
      </c>
      <c r="J1920">
        <f t="shared" si="199"/>
        <v>20.62308935920047</v>
      </c>
      <c r="K1920">
        <v>8667.0620736000001</v>
      </c>
    </row>
    <row r="1921" spans="1:11" x14ac:dyDescent="0.35">
      <c r="A1921" s="1">
        <v>41609</v>
      </c>
      <c r="B1921" t="s">
        <v>8</v>
      </c>
      <c r="C1921" t="s">
        <v>38</v>
      </c>
      <c r="D1921">
        <v>7071</v>
      </c>
      <c r="E1921">
        <v>64928</v>
      </c>
      <c r="F1921">
        <f t="shared" si="200"/>
        <v>9.1822938763965496</v>
      </c>
      <c r="G1921">
        <f t="shared" si="197"/>
        <v>416.50885023334746</v>
      </c>
      <c r="H1921">
        <v>951.23249999999996</v>
      </c>
      <c r="I1921" t="s">
        <v>38</v>
      </c>
      <c r="J1921">
        <f t="shared" si="199"/>
        <v>20.970734126984127</v>
      </c>
      <c r="K1921">
        <v>8667.0620736000001</v>
      </c>
    </row>
    <row r="1922" spans="1:11" x14ac:dyDescent="0.35">
      <c r="A1922" s="1">
        <v>41275</v>
      </c>
      <c r="B1922" t="s">
        <v>9</v>
      </c>
      <c r="C1922" t="s">
        <v>38</v>
      </c>
      <c r="D1922">
        <v>3124</v>
      </c>
      <c r="E1922">
        <v>127420</v>
      </c>
      <c r="F1922">
        <f t="shared" si="200"/>
        <v>40.787451984635084</v>
      </c>
      <c r="G1922">
        <f t="shared" si="197"/>
        <v>1850.1188220230474</v>
      </c>
      <c r="H1922">
        <v>1112.5</v>
      </c>
      <c r="I1922" t="s">
        <v>38</v>
      </c>
      <c r="J1922">
        <f t="shared" si="199"/>
        <v>24.526014109347443</v>
      </c>
      <c r="K1922">
        <v>24550.120818416221</v>
      </c>
    </row>
    <row r="1923" spans="1:11" x14ac:dyDescent="0.35">
      <c r="A1923" s="1">
        <v>41306</v>
      </c>
      <c r="B1923" t="s">
        <v>9</v>
      </c>
      <c r="C1923" t="s">
        <v>38</v>
      </c>
      <c r="D1923">
        <v>3769</v>
      </c>
      <c r="E1923">
        <v>132785</v>
      </c>
      <c r="F1923">
        <f t="shared" si="200"/>
        <v>35.230830459007692</v>
      </c>
      <c r="G1923">
        <f t="shared" si="197"/>
        <v>1598.0704696205889</v>
      </c>
      <c r="H1923">
        <v>1031.25</v>
      </c>
      <c r="I1923" t="s">
        <v>38</v>
      </c>
      <c r="J1923">
        <f t="shared" si="199"/>
        <v>22.734788359788361</v>
      </c>
      <c r="K1923">
        <v>24550.120818416221</v>
      </c>
    </row>
    <row r="1924" spans="1:11" x14ac:dyDescent="0.35">
      <c r="A1924" s="1">
        <v>41334</v>
      </c>
      <c r="B1924" t="s">
        <v>9</v>
      </c>
      <c r="C1924" t="s">
        <v>38</v>
      </c>
      <c r="D1924">
        <v>1911</v>
      </c>
      <c r="E1924">
        <v>66565</v>
      </c>
      <c r="F1924">
        <f t="shared" si="200"/>
        <v>34.832548403976972</v>
      </c>
      <c r="G1924">
        <f t="shared" si="197"/>
        <v>1580.0043956043955</v>
      </c>
      <c r="H1924">
        <v>1187.5</v>
      </c>
      <c r="I1924" t="s">
        <v>38</v>
      </c>
      <c r="J1924">
        <f t="shared" si="199"/>
        <v>26.179453262786595</v>
      </c>
      <c r="K1924">
        <v>24550.120818416221</v>
      </c>
    </row>
    <row r="1925" spans="1:11" x14ac:dyDescent="0.35">
      <c r="A1925" s="1">
        <v>41365</v>
      </c>
      <c r="B1925" t="s">
        <v>9</v>
      </c>
      <c r="C1925" t="s">
        <v>38</v>
      </c>
      <c r="D1925">
        <v>3861</v>
      </c>
      <c r="E1925">
        <v>95804</v>
      </c>
      <c r="F1925">
        <f t="shared" si="200"/>
        <v>24.813260813260815</v>
      </c>
      <c r="G1925">
        <f t="shared" si="197"/>
        <v>1125.5295104895106</v>
      </c>
      <c r="H1925">
        <v>950.625</v>
      </c>
      <c r="I1925" t="s">
        <v>38</v>
      </c>
      <c r="J1925">
        <f t="shared" si="199"/>
        <v>20.957341269841269</v>
      </c>
      <c r="K1925">
        <v>24550.120818416221</v>
      </c>
    </row>
    <row r="1926" spans="1:11" x14ac:dyDescent="0.35">
      <c r="A1926" s="1">
        <v>41395</v>
      </c>
      <c r="B1926" t="s">
        <v>9</v>
      </c>
      <c r="C1926" t="s">
        <v>38</v>
      </c>
      <c r="D1926">
        <v>3636</v>
      </c>
      <c r="E1926">
        <v>139565</v>
      </c>
      <c r="F1926">
        <f t="shared" si="200"/>
        <v>38.384213421342132</v>
      </c>
      <c r="G1926">
        <f t="shared" si="197"/>
        <v>1741.1079207920791</v>
      </c>
      <c r="H1926">
        <v>792</v>
      </c>
      <c r="I1926" t="s">
        <v>38</v>
      </c>
      <c r="J1926">
        <f t="shared" si="199"/>
        <v>17.460317460317462</v>
      </c>
      <c r="K1926">
        <v>24550.120818416221</v>
      </c>
    </row>
    <row r="1927" spans="1:11" x14ac:dyDescent="0.35">
      <c r="A1927" s="1">
        <v>41426</v>
      </c>
      <c r="B1927" t="s">
        <v>9</v>
      </c>
      <c r="C1927" t="s">
        <v>38</v>
      </c>
      <c r="D1927">
        <v>3068</v>
      </c>
      <c r="E1927">
        <v>114770</v>
      </c>
      <c r="F1927">
        <f t="shared" si="200"/>
        <v>37.408735332464147</v>
      </c>
      <c r="G1927">
        <f t="shared" si="197"/>
        <v>1696.8602346805737</v>
      </c>
      <c r="H1927">
        <v>772.44346666666661</v>
      </c>
      <c r="I1927" t="s">
        <v>38</v>
      </c>
      <c r="J1927">
        <f t="shared" si="199"/>
        <v>17.02917695473251</v>
      </c>
      <c r="K1927">
        <v>24550.120818416221</v>
      </c>
    </row>
    <row r="1928" spans="1:11" x14ac:dyDescent="0.35">
      <c r="A1928" s="1">
        <v>41456</v>
      </c>
      <c r="B1928" t="s">
        <v>9</v>
      </c>
      <c r="C1928" t="s">
        <v>38</v>
      </c>
      <c r="D1928">
        <v>4841</v>
      </c>
      <c r="E1928">
        <v>187685</v>
      </c>
      <c r="F1928">
        <f t="shared" si="200"/>
        <v>38.769882255732284</v>
      </c>
      <c r="G1928">
        <f t="shared" si="197"/>
        <v>1758.6018591200163</v>
      </c>
      <c r="H1928">
        <v>880</v>
      </c>
      <c r="I1928" t="s">
        <v>38</v>
      </c>
      <c r="J1928">
        <f t="shared" si="199"/>
        <v>19.400352733686066</v>
      </c>
      <c r="K1928">
        <v>24550.120818416221</v>
      </c>
    </row>
    <row r="1929" spans="1:11" x14ac:dyDescent="0.35">
      <c r="A1929" s="1">
        <v>41487</v>
      </c>
      <c r="B1929" t="s">
        <v>9</v>
      </c>
      <c r="C1929" t="s">
        <v>38</v>
      </c>
      <c r="D1929">
        <v>3578</v>
      </c>
      <c r="E1929">
        <v>134472</v>
      </c>
      <c r="F1929">
        <f t="shared" si="200"/>
        <v>37.583007266629401</v>
      </c>
      <c r="G1929">
        <f t="shared" si="197"/>
        <v>1704.7652096143097</v>
      </c>
      <c r="H1929">
        <v>787.5</v>
      </c>
      <c r="I1929" t="s">
        <v>38</v>
      </c>
      <c r="J1929">
        <f t="shared" si="199"/>
        <v>17.361111111111111</v>
      </c>
      <c r="K1929">
        <v>24550.120818416221</v>
      </c>
    </row>
    <row r="1930" spans="1:11" x14ac:dyDescent="0.35">
      <c r="A1930" s="1">
        <v>41518</v>
      </c>
      <c r="B1930" t="s">
        <v>9</v>
      </c>
      <c r="C1930" t="s">
        <v>38</v>
      </c>
      <c r="D1930">
        <v>3024</v>
      </c>
      <c r="E1930">
        <v>104935</v>
      </c>
      <c r="F1930">
        <f t="shared" si="200"/>
        <v>34.700727513227513</v>
      </c>
      <c r="G1930">
        <f t="shared" si="197"/>
        <v>1574.0249999999999</v>
      </c>
      <c r="H1930">
        <v>717.2</v>
      </c>
      <c r="I1930" t="s">
        <v>38</v>
      </c>
      <c r="J1930">
        <f t="shared" si="199"/>
        <v>15.811287477954146</v>
      </c>
      <c r="K1930">
        <v>24550.120818416221</v>
      </c>
    </row>
    <row r="1931" spans="1:11" x14ac:dyDescent="0.35">
      <c r="A1931" s="1">
        <v>41548</v>
      </c>
      <c r="B1931" t="s">
        <v>9</v>
      </c>
      <c r="C1931" t="s">
        <v>38</v>
      </c>
      <c r="D1931">
        <v>3016</v>
      </c>
      <c r="E1931">
        <v>120989</v>
      </c>
      <c r="F1931">
        <f t="shared" si="200"/>
        <v>40.115716180371351</v>
      </c>
      <c r="G1931">
        <f t="shared" si="197"/>
        <v>1819.6488859416445</v>
      </c>
      <c r="H1931">
        <v>800</v>
      </c>
      <c r="I1931" t="s">
        <v>38</v>
      </c>
      <c r="J1931">
        <f t="shared" si="199"/>
        <v>17.636684303350972</v>
      </c>
      <c r="K1931">
        <v>24550.120818416221</v>
      </c>
    </row>
    <row r="1932" spans="1:11" x14ac:dyDescent="0.35">
      <c r="A1932" s="1">
        <v>41579</v>
      </c>
      <c r="B1932" t="s">
        <v>9</v>
      </c>
      <c r="C1932" t="s">
        <v>38</v>
      </c>
      <c r="D1932">
        <v>3574</v>
      </c>
      <c r="E1932">
        <v>110702</v>
      </c>
      <c r="F1932">
        <f t="shared" si="200"/>
        <v>30.974258533855625</v>
      </c>
      <c r="G1932">
        <f t="shared" si="197"/>
        <v>1404.9923670956912</v>
      </c>
      <c r="H1932">
        <v>800</v>
      </c>
      <c r="I1932" t="s">
        <v>38</v>
      </c>
      <c r="J1932">
        <f t="shared" si="199"/>
        <v>17.636684303350972</v>
      </c>
      <c r="K1932">
        <v>24550.120818416221</v>
      </c>
    </row>
    <row r="1933" spans="1:11" x14ac:dyDescent="0.35">
      <c r="A1933" s="1">
        <v>41609</v>
      </c>
      <c r="B1933" t="s">
        <v>9</v>
      </c>
      <c r="C1933" t="s">
        <v>38</v>
      </c>
      <c r="D1933">
        <v>2698</v>
      </c>
      <c r="E1933">
        <v>91028</v>
      </c>
      <c r="F1933">
        <f t="shared" si="200"/>
        <v>33.739065974796148</v>
      </c>
      <c r="G1933">
        <f t="shared" si="197"/>
        <v>1530.4040326167533</v>
      </c>
      <c r="H1933">
        <v>1158.3333333333333</v>
      </c>
      <c r="I1933" t="s">
        <v>38</v>
      </c>
      <c r="J1933">
        <f t="shared" si="199"/>
        <v>25.536449147560258</v>
      </c>
      <c r="K1933">
        <v>24550.120818416221</v>
      </c>
    </row>
    <row r="1934" spans="1:11" x14ac:dyDescent="0.35">
      <c r="A1934" s="1">
        <v>41275</v>
      </c>
      <c r="B1934" t="s">
        <v>10</v>
      </c>
      <c r="C1934" t="s">
        <v>38</v>
      </c>
      <c r="D1934">
        <v>9740</v>
      </c>
      <c r="E1934">
        <v>85684</v>
      </c>
      <c r="F1934">
        <f t="shared" si="200"/>
        <v>8.7971252566735121</v>
      </c>
      <c r="G1934">
        <f t="shared" si="197"/>
        <v>399.03760164271051</v>
      </c>
      <c r="H1934">
        <v>1515.2083333333333</v>
      </c>
      <c r="I1934" t="s">
        <v>38</v>
      </c>
      <c r="J1934">
        <f t="shared" si="199"/>
        <v>33.40406378600823</v>
      </c>
      <c r="K1934">
        <v>8436.0023040464621</v>
      </c>
    </row>
    <row r="1935" spans="1:11" x14ac:dyDescent="0.35">
      <c r="A1935" s="1">
        <v>41306</v>
      </c>
      <c r="B1935" t="s">
        <v>10</v>
      </c>
      <c r="C1935" t="s">
        <v>38</v>
      </c>
      <c r="D1935">
        <v>8120</v>
      </c>
      <c r="E1935">
        <v>62310</v>
      </c>
      <c r="F1935">
        <f t="shared" si="200"/>
        <v>7.6736453201970445</v>
      </c>
      <c r="G1935">
        <f t="shared" si="197"/>
        <v>348.07655172413791</v>
      </c>
      <c r="H1935">
        <v>1547.2916666666667</v>
      </c>
      <c r="I1935" t="s">
        <v>38</v>
      </c>
      <c r="J1935">
        <f t="shared" si="199"/>
        <v>34.1113683127572</v>
      </c>
      <c r="K1935">
        <v>8436.0023040464621</v>
      </c>
    </row>
    <row r="1936" spans="1:11" x14ac:dyDescent="0.35">
      <c r="A1936" s="1">
        <v>41334</v>
      </c>
      <c r="B1936" t="s">
        <v>10</v>
      </c>
      <c r="C1936" t="s">
        <v>38</v>
      </c>
      <c r="D1936">
        <v>5427</v>
      </c>
      <c r="E1936">
        <v>44806</v>
      </c>
      <c r="F1936">
        <f t="shared" si="200"/>
        <v>8.2561267735397088</v>
      </c>
      <c r="G1936">
        <f t="shared" si="197"/>
        <v>374.49791044776117</v>
      </c>
      <c r="H1936">
        <v>1426.875</v>
      </c>
      <c r="I1936" t="s">
        <v>38</v>
      </c>
      <c r="J1936">
        <f t="shared" si="199"/>
        <v>31.456679894179896</v>
      </c>
      <c r="K1936">
        <v>8436.0023040464621</v>
      </c>
    </row>
    <row r="1937" spans="1:11" x14ac:dyDescent="0.35">
      <c r="A1937" s="1">
        <v>41365</v>
      </c>
      <c r="B1937" t="s">
        <v>10</v>
      </c>
      <c r="C1937" t="s">
        <v>38</v>
      </c>
      <c r="D1937">
        <v>7715</v>
      </c>
      <c r="E1937">
        <v>64225</v>
      </c>
      <c r="F1937">
        <f t="shared" si="200"/>
        <v>8.3246921581335069</v>
      </c>
      <c r="G1937">
        <f t="shared" si="197"/>
        <v>377.60803629293588</v>
      </c>
      <c r="H1937">
        <v>1486.670142857143</v>
      </c>
      <c r="I1937" t="s">
        <v>38</v>
      </c>
      <c r="J1937">
        <f t="shared" si="199"/>
        <v>32.774914965986397</v>
      </c>
      <c r="K1937">
        <v>8436.0023040464621</v>
      </c>
    </row>
    <row r="1938" spans="1:11" x14ac:dyDescent="0.35">
      <c r="A1938" s="1">
        <v>41395</v>
      </c>
      <c r="B1938" t="s">
        <v>10</v>
      </c>
      <c r="C1938" t="s">
        <v>38</v>
      </c>
      <c r="D1938">
        <v>4734</v>
      </c>
      <c r="E1938">
        <v>40024</v>
      </c>
      <c r="F1938">
        <f t="shared" si="200"/>
        <v>8.4545838614279685</v>
      </c>
      <c r="G1938">
        <f t="shared" si="197"/>
        <v>383.49992395437266</v>
      </c>
      <c r="H1938">
        <v>1487.5</v>
      </c>
      <c r="I1938" t="s">
        <v>38</v>
      </c>
      <c r="J1938">
        <f t="shared" si="199"/>
        <v>32.793209876543209</v>
      </c>
      <c r="K1938">
        <v>8436.0023040464621</v>
      </c>
    </row>
    <row r="1939" spans="1:11" x14ac:dyDescent="0.35">
      <c r="A1939" s="1">
        <v>41426</v>
      </c>
      <c r="B1939" t="s">
        <v>10</v>
      </c>
      <c r="C1939" t="s">
        <v>38</v>
      </c>
      <c r="D1939">
        <v>7865</v>
      </c>
      <c r="E1939">
        <v>61328</v>
      </c>
      <c r="F1939">
        <f t="shared" si="200"/>
        <v>7.7975842339478705</v>
      </c>
      <c r="G1939">
        <f t="shared" ref="G1939:G1981" si="201">F1939*45.36</f>
        <v>353.69842085187543</v>
      </c>
      <c r="H1939">
        <v>1703.5471428571429</v>
      </c>
      <c r="I1939" t="s">
        <v>38</v>
      </c>
      <c r="J1939">
        <f t="shared" si="199"/>
        <v>37.55615394305871</v>
      </c>
      <c r="K1939">
        <v>8436.0023040464621</v>
      </c>
    </row>
    <row r="1940" spans="1:11" x14ac:dyDescent="0.35">
      <c r="A1940" s="1">
        <v>41456</v>
      </c>
      <c r="B1940" t="s">
        <v>10</v>
      </c>
      <c r="C1940" t="s">
        <v>38</v>
      </c>
      <c r="D1940">
        <v>5771</v>
      </c>
      <c r="E1940">
        <v>46142</v>
      </c>
      <c r="F1940">
        <f t="shared" si="200"/>
        <v>7.9954947149540807</v>
      </c>
      <c r="G1940">
        <f t="shared" si="201"/>
        <v>362.6756402703171</v>
      </c>
      <c r="H1940">
        <v>1773.5</v>
      </c>
      <c r="I1940" t="s">
        <v>38</v>
      </c>
      <c r="J1940">
        <f t="shared" si="199"/>
        <v>39.098324514991184</v>
      </c>
      <c r="K1940">
        <v>8436.0023040464621</v>
      </c>
    </row>
    <row r="1941" spans="1:11" x14ac:dyDescent="0.35">
      <c r="A1941" s="1">
        <v>41487</v>
      </c>
      <c r="B1941" t="s">
        <v>10</v>
      </c>
      <c r="C1941" t="s">
        <v>38</v>
      </c>
      <c r="D1941">
        <v>4392</v>
      </c>
      <c r="E1941">
        <v>50468</v>
      </c>
      <c r="F1941">
        <f t="shared" si="200"/>
        <v>11.490892531876138</v>
      </c>
      <c r="G1941">
        <f t="shared" si="201"/>
        <v>521.2268852459016</v>
      </c>
      <c r="H1941">
        <v>1821</v>
      </c>
      <c r="I1941" t="s">
        <v>38</v>
      </c>
      <c r="J1941">
        <f t="shared" si="199"/>
        <v>40.145502645502646</v>
      </c>
      <c r="K1941">
        <v>8436.0023040464621</v>
      </c>
    </row>
    <row r="1942" spans="1:11" x14ac:dyDescent="0.35">
      <c r="A1942" s="1">
        <v>41518</v>
      </c>
      <c r="B1942" t="s">
        <v>10</v>
      </c>
      <c r="C1942" t="s">
        <v>38</v>
      </c>
      <c r="D1942">
        <v>5255</v>
      </c>
      <c r="E1942">
        <v>44451</v>
      </c>
      <c r="F1942">
        <f t="shared" si="200"/>
        <v>8.4588011417697437</v>
      </c>
      <c r="G1942">
        <f t="shared" si="201"/>
        <v>383.69121979067558</v>
      </c>
      <c r="H1942">
        <v>1771.1666666666667</v>
      </c>
      <c r="I1942" t="s">
        <v>38</v>
      </c>
      <c r="J1942">
        <f t="shared" si="199"/>
        <v>39.046884185773074</v>
      </c>
      <c r="K1942">
        <v>8436.0023040464621</v>
      </c>
    </row>
    <row r="1943" spans="1:11" x14ac:dyDescent="0.35">
      <c r="A1943" s="1">
        <v>41548</v>
      </c>
      <c r="B1943" t="s">
        <v>10</v>
      </c>
      <c r="C1943" t="s">
        <v>38</v>
      </c>
      <c r="D1943">
        <v>5029</v>
      </c>
      <c r="E1943">
        <v>34236</v>
      </c>
      <c r="F1943">
        <f t="shared" si="200"/>
        <v>6.8077152515410617</v>
      </c>
      <c r="G1943">
        <f t="shared" si="201"/>
        <v>308.79796380990257</v>
      </c>
      <c r="H1943">
        <v>1757.8466666666666</v>
      </c>
      <c r="I1943" t="s">
        <v>38</v>
      </c>
      <c r="J1943">
        <f t="shared" si="199"/>
        <v>38.753233392122283</v>
      </c>
      <c r="K1943">
        <v>8436.0023040464621</v>
      </c>
    </row>
    <row r="1944" spans="1:11" x14ac:dyDescent="0.35">
      <c r="A1944" s="1">
        <v>41579</v>
      </c>
      <c r="B1944" t="s">
        <v>10</v>
      </c>
      <c r="C1944" t="s">
        <v>38</v>
      </c>
      <c r="D1944">
        <v>6102</v>
      </c>
      <c r="E1944">
        <v>48824</v>
      </c>
      <c r="F1944">
        <f t="shared" si="200"/>
        <v>8.0013110455588325</v>
      </c>
      <c r="G1944">
        <f t="shared" si="201"/>
        <v>362.93946902654864</v>
      </c>
      <c r="H1944">
        <v>1670</v>
      </c>
      <c r="I1944" t="s">
        <v>38</v>
      </c>
      <c r="J1944">
        <f t="shared" si="199"/>
        <v>36.816578483245152</v>
      </c>
      <c r="K1944">
        <v>8436.0023040464621</v>
      </c>
    </row>
    <row r="1945" spans="1:11" x14ac:dyDescent="0.35">
      <c r="A1945" s="1">
        <v>41609</v>
      </c>
      <c r="B1945" t="s">
        <v>10</v>
      </c>
      <c r="C1945" t="s">
        <v>38</v>
      </c>
      <c r="D1945">
        <v>8179</v>
      </c>
      <c r="E1945">
        <v>59125</v>
      </c>
      <c r="F1945">
        <f t="shared" si="200"/>
        <v>7.2288788360435259</v>
      </c>
      <c r="G1945">
        <f t="shared" si="201"/>
        <v>327.90194400293433</v>
      </c>
      <c r="H1945">
        <v>1678.61</v>
      </c>
      <c r="I1945" t="s">
        <v>38</v>
      </c>
      <c r="J1945">
        <f t="shared" si="199"/>
        <v>37.006393298059962</v>
      </c>
      <c r="K1945">
        <v>8436.0023040464621</v>
      </c>
    </row>
    <row r="1946" spans="1:11" x14ac:dyDescent="0.35">
      <c r="A1946" s="1">
        <v>41275</v>
      </c>
      <c r="B1946" t="s">
        <v>11</v>
      </c>
      <c r="C1946" t="s">
        <v>38</v>
      </c>
      <c r="D1946">
        <v>37584</v>
      </c>
      <c r="E1946">
        <v>341004</v>
      </c>
      <c r="F1946">
        <f t="shared" si="200"/>
        <v>9.0731162196679431</v>
      </c>
      <c r="G1946">
        <f t="shared" si="201"/>
        <v>411.55655172413788</v>
      </c>
      <c r="H1946">
        <v>455.32500000000005</v>
      </c>
      <c r="I1946" t="s">
        <v>38</v>
      </c>
      <c r="J1946">
        <f t="shared" si="199"/>
        <v>10.038029100529101</v>
      </c>
      <c r="K1946">
        <v>4461.1940527534653</v>
      </c>
    </row>
    <row r="1947" spans="1:11" x14ac:dyDescent="0.35">
      <c r="A1947" s="1">
        <v>41306</v>
      </c>
      <c r="B1947" t="s">
        <v>11</v>
      </c>
      <c r="C1947" t="s">
        <v>38</v>
      </c>
      <c r="D1947">
        <v>70102</v>
      </c>
      <c r="E1947">
        <v>537410</v>
      </c>
      <c r="F1947">
        <f t="shared" si="200"/>
        <v>7.6661150894411003</v>
      </c>
      <c r="G1947">
        <f t="shared" si="201"/>
        <v>347.73498045704832</v>
      </c>
      <c r="H1947">
        <v>449.90718500000003</v>
      </c>
      <c r="I1947" t="s">
        <v>38</v>
      </c>
      <c r="J1947">
        <f t="shared" si="199"/>
        <v>9.9185887345679014</v>
      </c>
      <c r="K1947">
        <v>4461.1940527534653</v>
      </c>
    </row>
    <row r="1948" spans="1:11" x14ac:dyDescent="0.35">
      <c r="A1948" s="1">
        <v>41334</v>
      </c>
      <c r="B1948" t="s">
        <v>11</v>
      </c>
      <c r="C1948" t="s">
        <v>38</v>
      </c>
      <c r="D1948">
        <v>17203</v>
      </c>
      <c r="E1948">
        <v>183796</v>
      </c>
      <c r="F1948">
        <f t="shared" si="200"/>
        <v>10.683950473754578</v>
      </c>
      <c r="G1948">
        <f t="shared" si="201"/>
        <v>484.62399348950765</v>
      </c>
      <c r="H1948">
        <v>514.80975000000001</v>
      </c>
      <c r="I1948" t="s">
        <v>38</v>
      </c>
      <c r="J1948">
        <f t="shared" si="199"/>
        <v>11.349421296296297</v>
      </c>
      <c r="K1948">
        <v>4461.1940527534653</v>
      </c>
    </row>
    <row r="1949" spans="1:11" x14ac:dyDescent="0.35">
      <c r="A1949" s="1">
        <v>41365</v>
      </c>
      <c r="B1949" t="s">
        <v>11</v>
      </c>
      <c r="C1949" t="s">
        <v>38</v>
      </c>
      <c r="D1949">
        <v>23879</v>
      </c>
      <c r="E1949">
        <v>266648</v>
      </c>
      <c r="F1949">
        <f t="shared" si="200"/>
        <v>11.166631768499519</v>
      </c>
      <c r="G1949">
        <f t="shared" si="201"/>
        <v>506.51841701913816</v>
      </c>
      <c r="H1949">
        <v>554.41049999999996</v>
      </c>
      <c r="I1949" t="s">
        <v>38</v>
      </c>
      <c r="J1949">
        <f t="shared" si="199"/>
        <v>12.222453703703703</v>
      </c>
      <c r="K1949">
        <v>4461.1940527534653</v>
      </c>
    </row>
    <row r="1950" spans="1:11" x14ac:dyDescent="0.35">
      <c r="A1950" s="1">
        <v>41395</v>
      </c>
      <c r="B1950" t="s">
        <v>11</v>
      </c>
      <c r="C1950" t="s">
        <v>38</v>
      </c>
      <c r="D1950">
        <v>22014</v>
      </c>
      <c r="E1950">
        <v>356100</v>
      </c>
      <c r="F1950">
        <f t="shared" si="200"/>
        <v>16.17606977378032</v>
      </c>
      <c r="G1950">
        <f t="shared" si="201"/>
        <v>733.74652493867529</v>
      </c>
      <c r="H1950">
        <v>733.30499999999995</v>
      </c>
      <c r="I1950" t="s">
        <v>38</v>
      </c>
      <c r="J1950">
        <f t="shared" si="199"/>
        <v>16.166335978835978</v>
      </c>
      <c r="K1950">
        <v>4461.1940527534653</v>
      </c>
    </row>
    <row r="1951" spans="1:11" x14ac:dyDescent="0.35">
      <c r="A1951" s="1">
        <v>41426</v>
      </c>
      <c r="B1951" t="s">
        <v>11</v>
      </c>
      <c r="C1951" t="s">
        <v>38</v>
      </c>
      <c r="D1951">
        <v>26483</v>
      </c>
      <c r="E1951">
        <v>277289</v>
      </c>
      <c r="F1951">
        <f t="shared" si="200"/>
        <v>10.470452743269266</v>
      </c>
      <c r="G1951">
        <f t="shared" si="201"/>
        <v>474.93973643469394</v>
      </c>
      <c r="H1951">
        <v>593.9697142857143</v>
      </c>
      <c r="I1951" t="s">
        <v>38</v>
      </c>
      <c r="J1951">
        <f t="shared" ref="J1951:J1981" si="202">H1951/45.36</f>
        <v>13.094570420760897</v>
      </c>
      <c r="K1951">
        <v>4461.1940527534653</v>
      </c>
    </row>
    <row r="1952" spans="1:11" x14ac:dyDescent="0.35">
      <c r="A1952" s="1">
        <v>41456</v>
      </c>
      <c r="B1952" t="s">
        <v>11</v>
      </c>
      <c r="C1952" t="s">
        <v>38</v>
      </c>
      <c r="D1952">
        <v>21822</v>
      </c>
      <c r="E1952">
        <v>224379</v>
      </c>
      <c r="F1952">
        <f t="shared" si="200"/>
        <v>10.282238108331041</v>
      </c>
      <c r="G1952">
        <f t="shared" si="201"/>
        <v>466.40232059389604</v>
      </c>
      <c r="H1952">
        <v>553.4666666666667</v>
      </c>
      <c r="I1952" t="s">
        <v>38</v>
      </c>
      <c r="J1952">
        <f t="shared" si="202"/>
        <v>12.201646090534981</v>
      </c>
      <c r="K1952">
        <v>4461.1940527534653</v>
      </c>
    </row>
    <row r="1953" spans="1:11" x14ac:dyDescent="0.35">
      <c r="A1953" s="1">
        <v>41487</v>
      </c>
      <c r="B1953" t="s">
        <v>11</v>
      </c>
      <c r="C1953" t="s">
        <v>38</v>
      </c>
      <c r="D1953">
        <v>29111</v>
      </c>
      <c r="E1953">
        <v>322849</v>
      </c>
      <c r="F1953">
        <f t="shared" si="200"/>
        <v>11.090275153721961</v>
      </c>
      <c r="G1953">
        <f t="shared" si="201"/>
        <v>503.05488097282819</v>
      </c>
      <c r="H1953">
        <v>471.59974999999997</v>
      </c>
      <c r="I1953" t="s">
        <v>38</v>
      </c>
      <c r="J1953">
        <f t="shared" si="202"/>
        <v>10.396819885361552</v>
      </c>
      <c r="K1953">
        <v>4461.1940527534653</v>
      </c>
    </row>
    <row r="1954" spans="1:11" x14ac:dyDescent="0.35">
      <c r="A1954" s="1">
        <v>41518</v>
      </c>
      <c r="B1954" t="s">
        <v>11</v>
      </c>
      <c r="C1954" t="s">
        <v>38</v>
      </c>
      <c r="D1954">
        <v>26856</v>
      </c>
      <c r="E1954">
        <v>315416</v>
      </c>
      <c r="F1954">
        <f t="shared" si="200"/>
        <v>11.74471254095919</v>
      </c>
      <c r="G1954">
        <f t="shared" si="201"/>
        <v>532.7401608579089</v>
      </c>
      <c r="H1954">
        <v>500.08233333333328</v>
      </c>
      <c r="I1954" t="s">
        <v>38</v>
      </c>
      <c r="J1954">
        <f t="shared" si="202"/>
        <v>11.024742798353909</v>
      </c>
      <c r="K1954">
        <v>4461.1940527534653</v>
      </c>
    </row>
    <row r="1955" spans="1:11" x14ac:dyDescent="0.35">
      <c r="A1955" s="1">
        <v>41548</v>
      </c>
      <c r="B1955" t="s">
        <v>11</v>
      </c>
      <c r="C1955" t="s">
        <v>38</v>
      </c>
      <c r="D1955">
        <v>25318</v>
      </c>
      <c r="E1955">
        <v>288680</v>
      </c>
      <c r="F1955">
        <f t="shared" si="200"/>
        <v>11.402164467967454</v>
      </c>
      <c r="G1955">
        <f t="shared" si="201"/>
        <v>517.20218026700365</v>
      </c>
      <c r="H1955">
        <v>423.84066666666672</v>
      </c>
      <c r="I1955" t="s">
        <v>38</v>
      </c>
      <c r="J1955">
        <f t="shared" si="202"/>
        <v>9.3439300411522641</v>
      </c>
      <c r="K1955">
        <v>4461.1940527534653</v>
      </c>
    </row>
    <row r="1956" spans="1:11" x14ac:dyDescent="0.35">
      <c r="A1956" s="1">
        <v>41579</v>
      </c>
      <c r="B1956" t="s">
        <v>11</v>
      </c>
      <c r="C1956" t="s">
        <v>38</v>
      </c>
      <c r="D1956">
        <v>45315</v>
      </c>
      <c r="E1956">
        <v>416050</v>
      </c>
      <c r="F1956">
        <f t="shared" si="200"/>
        <v>9.1812865497076022</v>
      </c>
      <c r="G1956">
        <f t="shared" si="201"/>
        <v>416.46315789473681</v>
      </c>
      <c r="H1956">
        <v>362.93880000000001</v>
      </c>
      <c r="I1956" t="s">
        <v>38</v>
      </c>
      <c r="J1956">
        <f t="shared" si="202"/>
        <v>8.0012962962962959</v>
      </c>
      <c r="K1956">
        <v>4461.1940527534653</v>
      </c>
    </row>
    <row r="1957" spans="1:11" x14ac:dyDescent="0.35">
      <c r="A1957" s="1">
        <v>41609</v>
      </c>
      <c r="B1957" t="s">
        <v>11</v>
      </c>
      <c r="C1957" t="s">
        <v>38</v>
      </c>
      <c r="D1957">
        <v>28598</v>
      </c>
      <c r="E1957">
        <v>341072</v>
      </c>
      <c r="F1957">
        <f>E1957/D1957</f>
        <v>11.926428421567941</v>
      </c>
      <c r="G1957">
        <f t="shared" si="201"/>
        <v>540.98279320232177</v>
      </c>
      <c r="H1957">
        <v>279.07154800000001</v>
      </c>
      <c r="I1957" t="s">
        <v>38</v>
      </c>
      <c r="J1957">
        <f t="shared" si="202"/>
        <v>6.1523709876543213</v>
      </c>
      <c r="K1957">
        <v>4461.1940527534653</v>
      </c>
    </row>
    <row r="1958" spans="1:11" x14ac:dyDescent="0.35">
      <c r="A1958" s="1">
        <v>41275</v>
      </c>
      <c r="B1958" t="s">
        <v>12</v>
      </c>
      <c r="C1958" t="s">
        <v>38</v>
      </c>
      <c r="D1958">
        <v>16646</v>
      </c>
      <c r="E1958">
        <v>93844</v>
      </c>
      <c r="F1958">
        <f t="shared" ref="F1958:F2016" si="203">E1958/D1958</f>
        <v>5.6376306620209062</v>
      </c>
      <c r="G1958">
        <f t="shared" si="201"/>
        <v>255.72292682926832</v>
      </c>
      <c r="H1958">
        <v>795.85</v>
      </c>
      <c r="I1958" t="s">
        <v>38</v>
      </c>
      <c r="J1958">
        <f t="shared" si="202"/>
        <v>17.545194003527339</v>
      </c>
      <c r="K1958">
        <v>1856.8216169999998</v>
      </c>
    </row>
    <row r="1959" spans="1:11" x14ac:dyDescent="0.35">
      <c r="A1959" s="1">
        <v>41306</v>
      </c>
      <c r="B1959" t="s">
        <v>12</v>
      </c>
      <c r="C1959" t="s">
        <v>38</v>
      </c>
      <c r="D1959">
        <v>12131</v>
      </c>
      <c r="E1959">
        <v>82668</v>
      </c>
      <c r="F1959">
        <f t="shared" si="203"/>
        <v>6.8146072046822193</v>
      </c>
      <c r="G1959">
        <f t="shared" si="201"/>
        <v>309.11058280438544</v>
      </c>
      <c r="H1959">
        <v>695.76333333333332</v>
      </c>
      <c r="I1959" t="s">
        <v>38</v>
      </c>
      <c r="J1959">
        <f t="shared" si="202"/>
        <v>15.338697824808936</v>
      </c>
      <c r="K1959">
        <v>1856.8216169999998</v>
      </c>
    </row>
    <row r="1960" spans="1:11" x14ac:dyDescent="0.35">
      <c r="A1960" s="1">
        <v>41334</v>
      </c>
      <c r="B1960" t="s">
        <v>12</v>
      </c>
      <c r="C1960" t="s">
        <v>38</v>
      </c>
      <c r="D1960">
        <v>12677</v>
      </c>
      <c r="E1960">
        <v>65703</v>
      </c>
      <c r="F1960">
        <f t="shared" si="203"/>
        <v>5.1828508322158235</v>
      </c>
      <c r="G1960">
        <f t="shared" si="201"/>
        <v>235.09411374930974</v>
      </c>
      <c r="H1960">
        <v>571.66599999999994</v>
      </c>
      <c r="I1960" t="s">
        <v>38</v>
      </c>
      <c r="J1960">
        <f t="shared" si="202"/>
        <v>12.602865961199294</v>
      </c>
      <c r="K1960">
        <v>1856.8216169999998</v>
      </c>
    </row>
    <row r="1961" spans="1:11" x14ac:dyDescent="0.35">
      <c r="A1961" s="1">
        <v>41365</v>
      </c>
      <c r="B1961" t="s">
        <v>12</v>
      </c>
      <c r="C1961" t="s">
        <v>38</v>
      </c>
      <c r="D1961">
        <v>12718</v>
      </c>
      <c r="E1961">
        <v>73611</v>
      </c>
      <c r="F1961">
        <f t="shared" si="203"/>
        <v>5.7879383550872783</v>
      </c>
      <c r="G1961">
        <f t="shared" si="201"/>
        <v>262.54088378675891</v>
      </c>
      <c r="H1961">
        <v>700.87142857142862</v>
      </c>
      <c r="I1961" t="s">
        <v>38</v>
      </c>
      <c r="J1961">
        <f t="shared" si="202"/>
        <v>15.451310153691107</v>
      </c>
      <c r="K1961">
        <v>1856.8216169999998</v>
      </c>
    </row>
    <row r="1962" spans="1:11" x14ac:dyDescent="0.35">
      <c r="A1962" s="1">
        <v>41395</v>
      </c>
      <c r="B1962" t="s">
        <v>12</v>
      </c>
      <c r="C1962" t="s">
        <v>38</v>
      </c>
      <c r="D1962">
        <v>12999</v>
      </c>
      <c r="E1962">
        <v>89812</v>
      </c>
      <c r="F1962">
        <f t="shared" si="203"/>
        <v>6.9091468574505734</v>
      </c>
      <c r="G1962">
        <f t="shared" si="201"/>
        <v>313.39890145395799</v>
      </c>
      <c r="H1962">
        <v>679.20749999999998</v>
      </c>
      <c r="I1962" t="s">
        <v>38</v>
      </c>
      <c r="J1962">
        <f t="shared" si="202"/>
        <v>14.973710317460318</v>
      </c>
      <c r="K1962">
        <v>1856.8216169999998</v>
      </c>
    </row>
    <row r="1963" spans="1:11" x14ac:dyDescent="0.35">
      <c r="A1963" s="1">
        <v>41426</v>
      </c>
      <c r="B1963" t="s">
        <v>12</v>
      </c>
      <c r="C1963" t="s">
        <v>38</v>
      </c>
      <c r="D1963">
        <v>18030</v>
      </c>
      <c r="E1963">
        <v>149438</v>
      </c>
      <c r="F1963">
        <f t="shared" si="203"/>
        <v>8.2882972823072656</v>
      </c>
      <c r="G1963">
        <f t="shared" si="201"/>
        <v>375.95716472545757</v>
      </c>
      <c r="H1963">
        <v>755.35714285714278</v>
      </c>
      <c r="I1963" t="s">
        <v>38</v>
      </c>
      <c r="J1963">
        <f t="shared" si="202"/>
        <v>16.652494331065757</v>
      </c>
      <c r="K1963">
        <v>1856.8216169999998</v>
      </c>
    </row>
    <row r="1964" spans="1:11" x14ac:dyDescent="0.35">
      <c r="A1964" s="1">
        <v>41456</v>
      </c>
      <c r="B1964" t="s">
        <v>12</v>
      </c>
      <c r="C1964" t="s">
        <v>38</v>
      </c>
      <c r="D1964">
        <v>8258</v>
      </c>
      <c r="E1964">
        <v>56151</v>
      </c>
      <c r="F1964">
        <f t="shared" si="203"/>
        <v>6.799588278033422</v>
      </c>
      <c r="G1964">
        <f t="shared" si="201"/>
        <v>308.429324291596</v>
      </c>
      <c r="H1964">
        <v>875.5</v>
      </c>
      <c r="I1964" t="s">
        <v>38</v>
      </c>
      <c r="J1964">
        <f t="shared" si="202"/>
        <v>19.301146384479718</v>
      </c>
      <c r="K1964">
        <v>1856.8216169999998</v>
      </c>
    </row>
    <row r="1965" spans="1:11" x14ac:dyDescent="0.35">
      <c r="A1965" s="1">
        <v>41487</v>
      </c>
      <c r="B1965" t="s">
        <v>12</v>
      </c>
      <c r="C1965" t="s">
        <v>38</v>
      </c>
      <c r="D1965">
        <v>10329</v>
      </c>
      <c r="E1965">
        <v>66535</v>
      </c>
      <c r="F1965">
        <f t="shared" si="203"/>
        <v>6.4415722722431985</v>
      </c>
      <c r="G1965">
        <f t="shared" si="201"/>
        <v>292.18971826895148</v>
      </c>
      <c r="H1965">
        <v>684.65499999999997</v>
      </c>
      <c r="I1965" t="s">
        <v>38</v>
      </c>
      <c r="J1965">
        <f t="shared" si="202"/>
        <v>15.093805114638448</v>
      </c>
      <c r="K1965">
        <v>1856.8216169999998</v>
      </c>
    </row>
    <row r="1966" spans="1:11" x14ac:dyDescent="0.35">
      <c r="A1966" s="1">
        <v>41518</v>
      </c>
      <c r="B1966" t="s">
        <v>12</v>
      </c>
      <c r="C1966" t="s">
        <v>38</v>
      </c>
      <c r="D1966">
        <v>9587</v>
      </c>
      <c r="E1966">
        <v>63408</v>
      </c>
      <c r="F1966">
        <f t="shared" si="203"/>
        <v>6.6139563992907062</v>
      </c>
      <c r="G1966">
        <f t="shared" si="201"/>
        <v>300.00906227182645</v>
      </c>
      <c r="H1966">
        <v>702.61166666666668</v>
      </c>
      <c r="I1966" t="s">
        <v>38</v>
      </c>
      <c r="J1966">
        <f t="shared" si="202"/>
        <v>15.48967519106408</v>
      </c>
      <c r="K1966">
        <v>1856.8216169999998</v>
      </c>
    </row>
    <row r="1967" spans="1:11" x14ac:dyDescent="0.35">
      <c r="A1967" s="1">
        <v>41548</v>
      </c>
      <c r="B1967" t="s">
        <v>12</v>
      </c>
      <c r="C1967" t="s">
        <v>38</v>
      </c>
      <c r="D1967">
        <v>10602</v>
      </c>
      <c r="E1967">
        <v>64514</v>
      </c>
      <c r="F1967">
        <f t="shared" si="203"/>
        <v>6.0850782871156381</v>
      </c>
      <c r="G1967">
        <f t="shared" si="201"/>
        <v>276.01915110356532</v>
      </c>
      <c r="H1967">
        <v>620.18399999999997</v>
      </c>
      <c r="I1967" t="s">
        <v>38</v>
      </c>
      <c r="J1967">
        <f t="shared" si="202"/>
        <v>13.672486772486772</v>
      </c>
      <c r="K1967">
        <v>1856.8216169999998</v>
      </c>
    </row>
    <row r="1968" spans="1:11" x14ac:dyDescent="0.35">
      <c r="A1968" s="1">
        <v>41579</v>
      </c>
      <c r="B1968" t="s">
        <v>12</v>
      </c>
      <c r="C1968" t="s">
        <v>38</v>
      </c>
      <c r="D1968">
        <v>12052</v>
      </c>
      <c r="E1968">
        <v>63891</v>
      </c>
      <c r="F1968">
        <f t="shared" si="203"/>
        <v>5.3012777962163957</v>
      </c>
      <c r="G1968">
        <f t="shared" si="201"/>
        <v>240.4659608363757</v>
      </c>
      <c r="H1968">
        <v>658.76599999999996</v>
      </c>
      <c r="I1968" t="s">
        <v>38</v>
      </c>
      <c r="J1968">
        <f t="shared" si="202"/>
        <v>14.523059964726631</v>
      </c>
      <c r="K1968">
        <v>1856.8216169999998</v>
      </c>
    </row>
    <row r="1969" spans="1:11" x14ac:dyDescent="0.35">
      <c r="A1969" s="1">
        <v>41609</v>
      </c>
      <c r="B1969" t="s">
        <v>12</v>
      </c>
      <c r="C1969" t="s">
        <v>38</v>
      </c>
      <c r="D1969">
        <v>14707</v>
      </c>
      <c r="E1969">
        <v>84298</v>
      </c>
      <c r="F1969">
        <f t="shared" si="203"/>
        <v>5.7318283810430408</v>
      </c>
      <c r="G1969">
        <f t="shared" si="201"/>
        <v>259.99573536411231</v>
      </c>
      <c r="H1969">
        <v>657.45833333333337</v>
      </c>
      <c r="I1969" t="s">
        <v>38</v>
      </c>
      <c r="J1969">
        <f t="shared" si="202"/>
        <v>14.494231334509113</v>
      </c>
      <c r="K1969">
        <v>1856.8216169999998</v>
      </c>
    </row>
    <row r="1970" spans="1:11" x14ac:dyDescent="0.35">
      <c r="A1970" s="1">
        <v>41275</v>
      </c>
      <c r="B1970" t="s">
        <v>13</v>
      </c>
      <c r="C1970" t="s">
        <v>38</v>
      </c>
      <c r="D1970">
        <v>6440</v>
      </c>
      <c r="E1970">
        <v>41201</v>
      </c>
      <c r="F1970">
        <f t="shared" si="203"/>
        <v>6.3976708074534159</v>
      </c>
      <c r="G1970">
        <f t="shared" si="201"/>
        <v>290.19834782608694</v>
      </c>
      <c r="H1970">
        <v>530.34375</v>
      </c>
      <c r="I1970" t="s">
        <v>38</v>
      </c>
      <c r="J1970">
        <f t="shared" si="202"/>
        <v>11.691881613756614</v>
      </c>
      <c r="K1970">
        <v>7498.499866956</v>
      </c>
    </row>
    <row r="1971" spans="1:11" x14ac:dyDescent="0.35">
      <c r="A1971" s="1">
        <v>41306</v>
      </c>
      <c r="B1971" t="s">
        <v>13</v>
      </c>
      <c r="C1971" t="s">
        <v>38</v>
      </c>
      <c r="D1971">
        <v>6310</v>
      </c>
      <c r="E1971">
        <v>42010</v>
      </c>
      <c r="F1971">
        <f t="shared" si="203"/>
        <v>6.6576862123613312</v>
      </c>
      <c r="G1971">
        <f t="shared" si="201"/>
        <v>301.99264659271</v>
      </c>
      <c r="H1971">
        <v>526.12639999999999</v>
      </c>
      <c r="I1971" t="s">
        <v>38</v>
      </c>
      <c r="J1971">
        <f t="shared" si="202"/>
        <v>11.598906525573192</v>
      </c>
      <c r="K1971">
        <v>7498.499866956</v>
      </c>
    </row>
    <row r="1972" spans="1:11" x14ac:dyDescent="0.35">
      <c r="A1972" s="1">
        <v>41334</v>
      </c>
      <c r="B1972" t="s">
        <v>13</v>
      </c>
      <c r="C1972" t="s">
        <v>38</v>
      </c>
      <c r="D1972">
        <v>4407</v>
      </c>
      <c r="E1972">
        <v>50377</v>
      </c>
      <c r="F1972">
        <f t="shared" si="203"/>
        <v>11.431132289539368</v>
      </c>
      <c r="G1972">
        <f t="shared" si="201"/>
        <v>518.51616065350572</v>
      </c>
      <c r="H1972">
        <v>602.21875</v>
      </c>
      <c r="I1972" t="s">
        <v>38</v>
      </c>
      <c r="J1972">
        <f t="shared" si="202"/>
        <v>13.276427469135802</v>
      </c>
      <c r="K1972">
        <v>7498.499866956</v>
      </c>
    </row>
    <row r="1973" spans="1:11" x14ac:dyDescent="0.35">
      <c r="A1973" s="1">
        <v>41365</v>
      </c>
      <c r="B1973" t="s">
        <v>13</v>
      </c>
      <c r="C1973" t="s">
        <v>38</v>
      </c>
      <c r="D1973">
        <v>7677</v>
      </c>
      <c r="E1973">
        <v>77621</v>
      </c>
      <c r="F1973">
        <f t="shared" si="203"/>
        <v>10.110850592679432</v>
      </c>
      <c r="G1973">
        <f t="shared" si="201"/>
        <v>458.62818288393902</v>
      </c>
      <c r="H1973">
        <v>548.07696428571433</v>
      </c>
      <c r="I1973" t="s">
        <v>38</v>
      </c>
      <c r="J1973">
        <f t="shared" si="202"/>
        <v>12.082825491307636</v>
      </c>
      <c r="K1973">
        <v>7498.499866956</v>
      </c>
    </row>
    <row r="1974" spans="1:11" x14ac:dyDescent="0.35">
      <c r="A1974" s="1">
        <v>41395</v>
      </c>
      <c r="B1974" t="s">
        <v>13</v>
      </c>
      <c r="C1974" t="s">
        <v>38</v>
      </c>
      <c r="D1974">
        <v>7291</v>
      </c>
      <c r="E1974">
        <v>54210</v>
      </c>
      <c r="F1974">
        <f t="shared" si="203"/>
        <v>7.435194074886847</v>
      </c>
      <c r="G1974">
        <f t="shared" si="201"/>
        <v>337.26040323686738</v>
      </c>
      <c r="H1974">
        <v>546.88799999999992</v>
      </c>
      <c r="I1974" t="s">
        <v>38</v>
      </c>
      <c r="J1974">
        <f t="shared" si="202"/>
        <v>12.056613756613755</v>
      </c>
      <c r="K1974">
        <v>7498.499866956</v>
      </c>
    </row>
    <row r="1975" spans="1:11" x14ac:dyDescent="0.35">
      <c r="A1975" s="1">
        <v>41426</v>
      </c>
      <c r="B1975" t="s">
        <v>13</v>
      </c>
      <c r="C1975" t="s">
        <v>38</v>
      </c>
      <c r="D1975">
        <v>7158</v>
      </c>
      <c r="E1975">
        <v>38839</v>
      </c>
      <c r="F1975">
        <f t="shared" si="203"/>
        <v>5.4259569712210114</v>
      </c>
      <c r="G1975">
        <f t="shared" si="201"/>
        <v>246.12140821458507</v>
      </c>
      <c r="H1975">
        <v>483.60202380952376</v>
      </c>
      <c r="I1975" t="s">
        <v>38</v>
      </c>
      <c r="J1975">
        <f t="shared" si="202"/>
        <v>10.661420277987737</v>
      </c>
      <c r="K1975">
        <v>7498.499866956</v>
      </c>
    </row>
    <row r="1976" spans="1:11" x14ac:dyDescent="0.35">
      <c r="A1976" s="1">
        <v>41456</v>
      </c>
      <c r="B1976" t="s">
        <v>13</v>
      </c>
      <c r="C1976" t="s">
        <v>38</v>
      </c>
      <c r="D1976">
        <v>5668</v>
      </c>
      <c r="E1976">
        <v>49417</v>
      </c>
      <c r="F1976">
        <f t="shared" si="203"/>
        <v>8.7185956245589278</v>
      </c>
      <c r="G1976">
        <f t="shared" si="201"/>
        <v>395.47549752999294</v>
      </c>
      <c r="H1976">
        <v>565.0916666666667</v>
      </c>
      <c r="I1976" t="s">
        <v>38</v>
      </c>
      <c r="J1976">
        <f t="shared" si="202"/>
        <v>12.457929159318049</v>
      </c>
      <c r="K1976">
        <v>7498.499866956</v>
      </c>
    </row>
    <row r="1977" spans="1:11" x14ac:dyDescent="0.35">
      <c r="A1977" s="1">
        <v>41487</v>
      </c>
      <c r="B1977" t="s">
        <v>13</v>
      </c>
      <c r="C1977" t="s">
        <v>38</v>
      </c>
      <c r="D1977">
        <v>4954</v>
      </c>
      <c r="E1977">
        <v>44324</v>
      </c>
      <c r="F1977">
        <f t="shared" si="203"/>
        <v>8.9471134436818733</v>
      </c>
      <c r="G1977">
        <f t="shared" si="201"/>
        <v>405.84106580540976</v>
      </c>
      <c r="H1977">
        <v>699.26287500000001</v>
      </c>
      <c r="I1977" t="s">
        <v>38</v>
      </c>
      <c r="J1977">
        <f t="shared" si="202"/>
        <v>15.415848214285715</v>
      </c>
      <c r="K1977">
        <v>7498.499866956</v>
      </c>
    </row>
    <row r="1978" spans="1:11" x14ac:dyDescent="0.35">
      <c r="A1978" s="1">
        <v>41518</v>
      </c>
      <c r="B1978" t="s">
        <v>13</v>
      </c>
      <c r="C1978" t="s">
        <v>38</v>
      </c>
      <c r="D1978">
        <v>3675</v>
      </c>
      <c r="E1978">
        <v>38761</v>
      </c>
      <c r="F1978">
        <f t="shared" si="203"/>
        <v>10.547210884353742</v>
      </c>
      <c r="G1978">
        <f t="shared" si="201"/>
        <v>478.42148571428572</v>
      </c>
      <c r="H1978">
        <v>761.875</v>
      </c>
      <c r="I1978" t="s">
        <v>38</v>
      </c>
      <c r="J1978">
        <f t="shared" si="202"/>
        <v>16.796186067019402</v>
      </c>
      <c r="K1978">
        <v>7498.499866956</v>
      </c>
    </row>
    <row r="1979" spans="1:11" x14ac:dyDescent="0.35">
      <c r="A1979" s="1">
        <v>41548</v>
      </c>
      <c r="B1979" t="s">
        <v>13</v>
      </c>
      <c r="C1979" t="s">
        <v>38</v>
      </c>
      <c r="D1979">
        <v>2545</v>
      </c>
      <c r="E1979">
        <v>27176</v>
      </c>
      <c r="F1979">
        <f t="shared" si="203"/>
        <v>10.678192534381139</v>
      </c>
      <c r="G1979">
        <f t="shared" si="201"/>
        <v>484.3628133595285</v>
      </c>
      <c r="H1979">
        <v>827.43</v>
      </c>
      <c r="I1979" t="s">
        <v>38</v>
      </c>
      <c r="J1979">
        <f t="shared" si="202"/>
        <v>18.241402116402117</v>
      </c>
      <c r="K1979">
        <v>7498.499866956</v>
      </c>
    </row>
    <row r="1980" spans="1:11" x14ac:dyDescent="0.35">
      <c r="A1980" s="1">
        <v>41579</v>
      </c>
      <c r="B1980" t="s">
        <v>13</v>
      </c>
      <c r="C1980" t="s">
        <v>38</v>
      </c>
      <c r="D1980">
        <v>8275</v>
      </c>
      <c r="E1980">
        <v>27695</v>
      </c>
      <c r="F1980">
        <f t="shared" si="203"/>
        <v>3.3468277945619334</v>
      </c>
      <c r="G1980">
        <f t="shared" si="201"/>
        <v>151.81210876132928</v>
      </c>
      <c r="H1980">
        <v>827.2</v>
      </c>
      <c r="I1980" t="s">
        <v>38</v>
      </c>
      <c r="J1980">
        <f t="shared" si="202"/>
        <v>18.236331569664905</v>
      </c>
      <c r="K1980">
        <v>7498.499866956</v>
      </c>
    </row>
    <row r="1981" spans="1:11" x14ac:dyDescent="0.35">
      <c r="A1981" s="1">
        <v>41609</v>
      </c>
      <c r="B1981" t="s">
        <v>13</v>
      </c>
      <c r="C1981" t="s">
        <v>38</v>
      </c>
      <c r="D1981">
        <v>7556</v>
      </c>
      <c r="E1981">
        <v>43712</v>
      </c>
      <c r="F1981">
        <f t="shared" si="203"/>
        <v>5.7850714663843306</v>
      </c>
      <c r="G1981">
        <f t="shared" si="201"/>
        <v>262.41084171519321</v>
      </c>
      <c r="H1981">
        <v>836.26</v>
      </c>
      <c r="I1981" t="s">
        <v>38</v>
      </c>
      <c r="J1981">
        <f t="shared" si="202"/>
        <v>18.436067019400351</v>
      </c>
      <c r="K1981">
        <v>7498.499866956</v>
      </c>
    </row>
    <row r="1982" spans="1:11" x14ac:dyDescent="0.35">
      <c r="A1982" s="1">
        <v>41275</v>
      </c>
      <c r="B1982" t="s">
        <v>14</v>
      </c>
      <c r="C1982" t="s">
        <v>40</v>
      </c>
      <c r="D1982">
        <v>85478</v>
      </c>
      <c r="E1982">
        <v>92182</v>
      </c>
      <c r="F1982">
        <f t="shared" si="203"/>
        <v>1.0784295374248345</v>
      </c>
      <c r="G1982">
        <f>F1982*562.34</f>
        <v>606.44406607548149</v>
      </c>
      <c r="H1982">
        <v>5156.25</v>
      </c>
      <c r="I1982" t="s">
        <v>40</v>
      </c>
      <c r="J1982">
        <f>(H1982/1000)/0.56234</f>
        <v>9.1692748159476487</v>
      </c>
      <c r="K1982">
        <v>6492.5610346041321</v>
      </c>
    </row>
    <row r="1983" spans="1:11" x14ac:dyDescent="0.35">
      <c r="A1983" s="1">
        <v>41306</v>
      </c>
      <c r="B1983" t="s">
        <v>14</v>
      </c>
      <c r="C1983" t="s">
        <v>40</v>
      </c>
      <c r="D1983">
        <v>84100</v>
      </c>
      <c r="E1983">
        <v>94079</v>
      </c>
      <c r="F1983">
        <f t="shared" si="203"/>
        <v>1.1186563614744351</v>
      </c>
      <c r="G1983">
        <f t="shared" ref="G1983:G1993" si="204">F1983*562.34</f>
        <v>629.06521831153384</v>
      </c>
      <c r="H1983">
        <v>6140</v>
      </c>
      <c r="I1983" t="s">
        <v>40</v>
      </c>
      <c r="J1983">
        <f t="shared" ref="J1983:J1993" si="205">(H1983/1000)/0.56234</f>
        <v>10.918661308105417</v>
      </c>
      <c r="K1983">
        <v>6492.5610346041321</v>
      </c>
    </row>
    <row r="1984" spans="1:11" x14ac:dyDescent="0.35">
      <c r="A1984" s="1">
        <v>41334</v>
      </c>
      <c r="B1984" t="s">
        <v>14</v>
      </c>
      <c r="C1984" t="s">
        <v>40</v>
      </c>
      <c r="D1984">
        <v>54277</v>
      </c>
      <c r="E1984">
        <v>54078</v>
      </c>
      <c r="F1984">
        <f t="shared" si="203"/>
        <v>0.99633362197615938</v>
      </c>
      <c r="G1984">
        <f t="shared" si="204"/>
        <v>560.27824898207348</v>
      </c>
      <c r="H1984">
        <v>10000</v>
      </c>
      <c r="I1984" t="s">
        <v>40</v>
      </c>
      <c r="J1984">
        <f t="shared" si="205"/>
        <v>17.782836006686349</v>
      </c>
      <c r="K1984">
        <v>6492.5610346041321</v>
      </c>
    </row>
    <row r="1985" spans="1:12" x14ac:dyDescent="0.35">
      <c r="A1985" s="1">
        <v>41365</v>
      </c>
      <c r="B1985" t="s">
        <v>14</v>
      </c>
      <c r="C1985" t="s">
        <v>40</v>
      </c>
      <c r="D1985">
        <v>9519</v>
      </c>
      <c r="E1985">
        <v>11037</v>
      </c>
      <c r="F1985">
        <f t="shared" si="203"/>
        <v>1.1594705326189725</v>
      </c>
      <c r="G1985">
        <f t="shared" si="204"/>
        <v>652.01665931295304</v>
      </c>
      <c r="H1985">
        <v>5500</v>
      </c>
      <c r="I1985" t="s">
        <v>40</v>
      </c>
      <c r="J1985">
        <f t="shared" si="205"/>
        <v>9.780559803677491</v>
      </c>
      <c r="K1985">
        <v>6492.5610346041321</v>
      </c>
    </row>
    <row r="1986" spans="1:12" x14ac:dyDescent="0.35">
      <c r="A1986" s="1">
        <v>41395</v>
      </c>
      <c r="B1986" t="s">
        <v>14</v>
      </c>
      <c r="C1986" t="s">
        <v>40</v>
      </c>
      <c r="D1986">
        <v>4559</v>
      </c>
      <c r="E1986">
        <v>7005</v>
      </c>
      <c r="F1986">
        <f t="shared" si="203"/>
        <v>1.5365211669225707</v>
      </c>
      <c r="G1986">
        <f t="shared" si="204"/>
        <v>864.04731300723847</v>
      </c>
      <c r="H1986">
        <v>5000</v>
      </c>
      <c r="I1986" t="s">
        <v>40</v>
      </c>
      <c r="J1986">
        <f t="shared" si="205"/>
        <v>8.8914180033431744</v>
      </c>
      <c r="K1986">
        <v>6492.5610346041321</v>
      </c>
    </row>
    <row r="1987" spans="1:12" x14ac:dyDescent="0.35">
      <c r="A1987" s="1">
        <v>41426</v>
      </c>
      <c r="B1987" t="s">
        <v>14</v>
      </c>
      <c r="C1987" t="s">
        <v>40</v>
      </c>
      <c r="D1987">
        <v>4329</v>
      </c>
      <c r="E1987">
        <v>8508</v>
      </c>
      <c r="F1987">
        <f t="shared" si="203"/>
        <v>1.9653499653499653</v>
      </c>
      <c r="G1987">
        <f t="shared" si="204"/>
        <v>1105.1948995148996</v>
      </c>
      <c r="H1987">
        <v>5500</v>
      </c>
      <c r="I1987" t="s">
        <v>40</v>
      </c>
      <c r="J1987">
        <f t="shared" si="205"/>
        <v>9.780559803677491</v>
      </c>
      <c r="K1987">
        <v>6492.5610346041321</v>
      </c>
    </row>
    <row r="1988" spans="1:12" x14ac:dyDescent="0.35">
      <c r="A1988" s="1">
        <v>41456</v>
      </c>
      <c r="B1988" t="s">
        <v>14</v>
      </c>
      <c r="C1988" t="s">
        <v>40</v>
      </c>
      <c r="D1988">
        <v>57184</v>
      </c>
      <c r="E1988">
        <v>70330</v>
      </c>
      <c r="F1988">
        <f t="shared" si="203"/>
        <v>1.2298894795747062</v>
      </c>
      <c r="G1988">
        <f t="shared" si="204"/>
        <v>691.61604994404036</v>
      </c>
      <c r="H1988">
        <v>5062.5</v>
      </c>
      <c r="I1988" t="s">
        <v>40</v>
      </c>
      <c r="J1988">
        <f t="shared" si="205"/>
        <v>9.0025607283849638</v>
      </c>
      <c r="K1988">
        <v>6492.5610346041321</v>
      </c>
    </row>
    <row r="1989" spans="1:12" x14ac:dyDescent="0.35">
      <c r="A1989" s="1">
        <v>41487</v>
      </c>
      <c r="B1989" t="s">
        <v>14</v>
      </c>
      <c r="C1989" t="s">
        <v>40</v>
      </c>
      <c r="D1989">
        <v>70345</v>
      </c>
      <c r="E1989">
        <v>165120</v>
      </c>
      <c r="F1989">
        <f t="shared" si="203"/>
        <v>2.3472883644893026</v>
      </c>
      <c r="G1989">
        <f t="shared" si="204"/>
        <v>1319.9741388869145</v>
      </c>
      <c r="H1989">
        <v>4483.5535714285716</v>
      </c>
      <c r="I1989" t="s">
        <v>40</v>
      </c>
      <c r="J1989">
        <f t="shared" si="205"/>
        <v>7.9730297887907176</v>
      </c>
      <c r="K1989">
        <v>6492.5610346041321</v>
      </c>
    </row>
    <row r="1990" spans="1:12" x14ac:dyDescent="0.35">
      <c r="A1990" s="1">
        <v>41518</v>
      </c>
      <c r="B1990" t="s">
        <v>14</v>
      </c>
      <c r="C1990" t="s">
        <v>40</v>
      </c>
      <c r="D1990">
        <v>76310</v>
      </c>
      <c r="E1990">
        <v>121272</v>
      </c>
      <c r="F1990">
        <f t="shared" si="203"/>
        <v>1.5892019394574761</v>
      </c>
      <c r="G1990">
        <f t="shared" si="204"/>
        <v>893.67181863451719</v>
      </c>
      <c r="H1990">
        <v>4839.0625</v>
      </c>
      <c r="I1990" t="s">
        <v>40</v>
      </c>
      <c r="J1990">
        <f t="shared" si="205"/>
        <v>8.6052254863605651</v>
      </c>
      <c r="K1990">
        <v>6492.5610346041321</v>
      </c>
    </row>
    <row r="1991" spans="1:12" x14ac:dyDescent="0.35">
      <c r="A1991" s="1">
        <v>41548</v>
      </c>
      <c r="B1991" t="s">
        <v>14</v>
      </c>
      <c r="C1991" t="s">
        <v>40</v>
      </c>
      <c r="D1991">
        <v>66909</v>
      </c>
      <c r="E1991">
        <v>91932</v>
      </c>
      <c r="F1991">
        <f t="shared" si="203"/>
        <v>1.3739855624803838</v>
      </c>
      <c r="G1991">
        <f t="shared" si="204"/>
        <v>772.64704120521913</v>
      </c>
      <c r="H1991">
        <v>4835.8</v>
      </c>
      <c r="I1991" t="s">
        <v>40</v>
      </c>
      <c r="J1991">
        <f t="shared" si="205"/>
        <v>8.5994238361133846</v>
      </c>
      <c r="K1991">
        <v>6492.5610346041321</v>
      </c>
    </row>
    <row r="1992" spans="1:12" x14ac:dyDescent="0.35">
      <c r="A1992" s="1">
        <v>41579</v>
      </c>
      <c r="B1992" t="s">
        <v>14</v>
      </c>
      <c r="C1992" t="s">
        <v>40</v>
      </c>
      <c r="D1992">
        <v>52546</v>
      </c>
      <c r="E1992">
        <v>53210</v>
      </c>
      <c r="F1992">
        <f t="shared" si="203"/>
        <v>1.0126365470254635</v>
      </c>
      <c r="G1992">
        <f t="shared" si="204"/>
        <v>569.44603585429911</v>
      </c>
      <c r="H1992">
        <v>5917.85</v>
      </c>
      <c r="I1992" t="s">
        <v>40</v>
      </c>
      <c r="J1992">
        <f t="shared" si="205"/>
        <v>10.523615606216881</v>
      </c>
      <c r="K1992">
        <v>6492.5610346041321</v>
      </c>
    </row>
    <row r="1993" spans="1:12" x14ac:dyDescent="0.35">
      <c r="A1993" s="1">
        <v>41609</v>
      </c>
      <c r="B1993" t="s">
        <v>14</v>
      </c>
      <c r="C1993" t="s">
        <v>40</v>
      </c>
      <c r="D1993">
        <v>50839</v>
      </c>
      <c r="E1993">
        <v>85631</v>
      </c>
      <c r="F1993">
        <f t="shared" si="203"/>
        <v>1.6843564979641614</v>
      </c>
      <c r="G1993">
        <f t="shared" si="204"/>
        <v>947.18103306516662</v>
      </c>
      <c r="H1993">
        <v>5021.6660000000002</v>
      </c>
      <c r="I1993" t="s">
        <v>40</v>
      </c>
      <c r="J1993">
        <f t="shared" si="205"/>
        <v>8.9299462958352596</v>
      </c>
      <c r="K1993">
        <v>6492.5610346041321</v>
      </c>
    </row>
    <row r="1994" spans="1:12" x14ac:dyDescent="0.35">
      <c r="A1994" s="1">
        <v>41275</v>
      </c>
      <c r="B1994" t="s">
        <v>15</v>
      </c>
      <c r="C1994" t="s">
        <v>41</v>
      </c>
      <c r="D1994">
        <v>349987</v>
      </c>
      <c r="E1994">
        <v>2645349</v>
      </c>
      <c r="F1994">
        <f t="shared" si="203"/>
        <v>7.5584207413418216</v>
      </c>
      <c r="G1994">
        <f>F1994*27.21</f>
        <v>205.66462837191096</v>
      </c>
      <c r="H1994">
        <v>166.1</v>
      </c>
      <c r="I1994" t="s">
        <v>58</v>
      </c>
      <c r="J1994">
        <f>H1994/27.21</f>
        <v>6.1043733921352441</v>
      </c>
      <c r="K1994">
        <f>$L$1994+$L$1995</f>
        <v>11852.284554274473</v>
      </c>
      <c r="L1994">
        <v>7257.2444626440965</v>
      </c>
    </row>
    <row r="1995" spans="1:12" x14ac:dyDescent="0.35">
      <c r="A1995" s="1">
        <v>41306</v>
      </c>
      <c r="B1995" t="s">
        <v>15</v>
      </c>
      <c r="C1995" t="s">
        <v>41</v>
      </c>
      <c r="D1995">
        <v>373687</v>
      </c>
      <c r="E1995">
        <v>2634477</v>
      </c>
      <c r="F1995">
        <f t="shared" si="203"/>
        <v>7.0499562468054817</v>
      </c>
      <c r="G1995">
        <f t="shared" ref="G1995:G2005" si="206">F1995*27.21</f>
        <v>191.82930947557716</v>
      </c>
      <c r="H1995">
        <v>175.32000000000002</v>
      </c>
      <c r="I1995" t="s">
        <v>58</v>
      </c>
      <c r="J1995">
        <f t="shared" ref="J1995:J2005" si="207">H1995/27.21</f>
        <v>6.4432194046306508</v>
      </c>
      <c r="K1995">
        <f t="shared" ref="K1995:K2006" si="208">$L$1994+$L$1995</f>
        <v>11852.284554274473</v>
      </c>
      <c r="L1995">
        <v>4595.0400916303752</v>
      </c>
    </row>
    <row r="1996" spans="1:12" x14ac:dyDescent="0.35">
      <c r="A1996" s="1">
        <v>41334</v>
      </c>
      <c r="B1996" t="s">
        <v>15</v>
      </c>
      <c r="C1996" t="s">
        <v>41</v>
      </c>
      <c r="D1996">
        <v>376742</v>
      </c>
      <c r="E1996">
        <v>2960511</v>
      </c>
      <c r="F1996">
        <f t="shared" si="203"/>
        <v>7.8581920783984796</v>
      </c>
      <c r="G1996">
        <f t="shared" si="206"/>
        <v>213.82140645322264</v>
      </c>
      <c r="H1996">
        <v>159.27166666666668</v>
      </c>
      <c r="I1996" t="s">
        <v>58</v>
      </c>
      <c r="J1996">
        <f t="shared" si="207"/>
        <v>5.8534239862795543</v>
      </c>
      <c r="K1996">
        <f t="shared" si="208"/>
        <v>11852.284554274473</v>
      </c>
    </row>
    <row r="1997" spans="1:12" x14ac:dyDescent="0.35">
      <c r="A1997" s="1">
        <v>41365</v>
      </c>
      <c r="B1997" t="s">
        <v>15</v>
      </c>
      <c r="C1997" t="s">
        <v>41</v>
      </c>
      <c r="D1997">
        <v>371631</v>
      </c>
      <c r="E1997">
        <v>3006548</v>
      </c>
      <c r="F1997">
        <f t="shared" si="203"/>
        <v>8.0901431796593926</v>
      </c>
      <c r="G1997">
        <f t="shared" si="206"/>
        <v>220.13279591853208</v>
      </c>
      <c r="H1997">
        <v>170.95833333333334</v>
      </c>
      <c r="I1997" t="s">
        <v>58</v>
      </c>
      <c r="J1997">
        <f t="shared" si="207"/>
        <v>6.2829229449957129</v>
      </c>
      <c r="K1997">
        <f t="shared" si="208"/>
        <v>11852.284554274473</v>
      </c>
    </row>
    <row r="1998" spans="1:12" x14ac:dyDescent="0.35">
      <c r="A1998" s="1">
        <v>41395</v>
      </c>
      <c r="B1998" t="s">
        <v>15</v>
      </c>
      <c r="C1998" t="s">
        <v>41</v>
      </c>
      <c r="D1998">
        <v>369870</v>
      </c>
      <c r="E1998">
        <v>3312016</v>
      </c>
      <c r="F1998">
        <f t="shared" si="203"/>
        <v>8.9545407845999954</v>
      </c>
      <c r="G1998">
        <f t="shared" si="206"/>
        <v>243.65305474896587</v>
      </c>
      <c r="H1998">
        <v>155.26333333333335</v>
      </c>
      <c r="I1998" t="s">
        <v>58</v>
      </c>
      <c r="J1998">
        <f t="shared" si="207"/>
        <v>5.7061129486708326</v>
      </c>
      <c r="K1998">
        <f t="shared" si="208"/>
        <v>11852.284554274473</v>
      </c>
    </row>
    <row r="1999" spans="1:12" x14ac:dyDescent="0.35">
      <c r="A1999" s="1">
        <v>41426</v>
      </c>
      <c r="B1999" t="s">
        <v>15</v>
      </c>
      <c r="C1999" t="s">
        <v>41</v>
      </c>
      <c r="D1999">
        <v>375334</v>
      </c>
      <c r="E1999">
        <v>3515433</v>
      </c>
      <c r="F1999">
        <f t="shared" si="203"/>
        <v>9.366145886064146</v>
      </c>
      <c r="G1999">
        <f t="shared" si="206"/>
        <v>254.85282955980543</v>
      </c>
      <c r="H1999">
        <v>126.90306122448979</v>
      </c>
      <c r="I1999" t="s">
        <v>58</v>
      </c>
      <c r="J1999">
        <f t="shared" si="207"/>
        <v>4.6638390747699292</v>
      </c>
      <c r="K1999">
        <f t="shared" si="208"/>
        <v>11852.284554274473</v>
      </c>
    </row>
    <row r="2000" spans="1:12" x14ac:dyDescent="0.35">
      <c r="A2000" s="1">
        <v>41456</v>
      </c>
      <c r="B2000" t="s">
        <v>15</v>
      </c>
      <c r="C2000" t="s">
        <v>41</v>
      </c>
      <c r="D2000">
        <v>376872</v>
      </c>
      <c r="E2000">
        <v>3493838</v>
      </c>
      <c r="F2000">
        <f t="shared" si="203"/>
        <v>9.2706223863805217</v>
      </c>
      <c r="G2000">
        <f t="shared" si="206"/>
        <v>252.25363513341401</v>
      </c>
      <c r="H2000">
        <v>142.38833333333332</v>
      </c>
      <c r="I2000" t="s">
        <v>58</v>
      </c>
      <c r="J2000">
        <f t="shared" si="207"/>
        <v>5.2329413205929187</v>
      </c>
      <c r="K2000">
        <f t="shared" si="208"/>
        <v>11852.284554274473</v>
      </c>
    </row>
    <row r="2001" spans="1:12" x14ac:dyDescent="0.35">
      <c r="A2001" s="1">
        <v>41487</v>
      </c>
      <c r="B2001" t="s">
        <v>15</v>
      </c>
      <c r="C2001" t="s">
        <v>41</v>
      </c>
      <c r="D2001">
        <v>397890</v>
      </c>
      <c r="E2001">
        <v>3356233</v>
      </c>
      <c r="F2001">
        <f t="shared" si="203"/>
        <v>8.4350775339918069</v>
      </c>
      <c r="G2001">
        <f t="shared" si="206"/>
        <v>229.51845969991709</v>
      </c>
      <c r="H2001">
        <v>140.96464285714288</v>
      </c>
      <c r="I2001" t="s">
        <v>58</v>
      </c>
      <c r="J2001">
        <f t="shared" si="207"/>
        <v>5.1806189951173423</v>
      </c>
      <c r="K2001">
        <f t="shared" si="208"/>
        <v>11852.284554274473</v>
      </c>
    </row>
    <row r="2002" spans="1:12" x14ac:dyDescent="0.35">
      <c r="A2002" s="1">
        <v>41518</v>
      </c>
      <c r="B2002" t="s">
        <v>15</v>
      </c>
      <c r="C2002" t="s">
        <v>41</v>
      </c>
      <c r="D2002">
        <v>388284</v>
      </c>
      <c r="E2002">
        <v>3501715</v>
      </c>
      <c r="F2002">
        <f t="shared" si="203"/>
        <v>9.0184375354122235</v>
      </c>
      <c r="G2002">
        <f t="shared" si="206"/>
        <v>245.39168533856662</v>
      </c>
      <c r="H2002">
        <v>139.02833333333334</v>
      </c>
      <c r="I2002" t="s">
        <v>58</v>
      </c>
      <c r="J2002">
        <f t="shared" si="207"/>
        <v>5.1094573073624892</v>
      </c>
      <c r="K2002">
        <f t="shared" si="208"/>
        <v>11852.284554274473</v>
      </c>
    </row>
    <row r="2003" spans="1:12" x14ac:dyDescent="0.35">
      <c r="A2003" s="1">
        <v>41548</v>
      </c>
      <c r="B2003" t="s">
        <v>15</v>
      </c>
      <c r="C2003" t="s">
        <v>41</v>
      </c>
      <c r="D2003">
        <v>381977</v>
      </c>
      <c r="E2003">
        <v>3978941</v>
      </c>
      <c r="F2003">
        <f t="shared" si="203"/>
        <v>10.416703099924865</v>
      </c>
      <c r="G2003">
        <f t="shared" si="206"/>
        <v>283.43849134895561</v>
      </c>
      <c r="H2003">
        <v>133.93</v>
      </c>
      <c r="I2003" t="s">
        <v>58</v>
      </c>
      <c r="J2003">
        <f t="shared" si="207"/>
        <v>4.9220874678427053</v>
      </c>
      <c r="K2003">
        <f t="shared" si="208"/>
        <v>11852.284554274473</v>
      </c>
    </row>
    <row r="2004" spans="1:12" x14ac:dyDescent="0.35">
      <c r="A2004" s="1">
        <v>41579</v>
      </c>
      <c r="B2004" t="s">
        <v>15</v>
      </c>
      <c r="C2004" t="s">
        <v>41</v>
      </c>
      <c r="D2004">
        <v>399641</v>
      </c>
      <c r="E2004">
        <v>3468960</v>
      </c>
      <c r="F2004">
        <f t="shared" si="203"/>
        <v>8.6801904709476752</v>
      </c>
      <c r="G2004">
        <f t="shared" si="206"/>
        <v>236.18798271448625</v>
      </c>
      <c r="H2004">
        <v>132.6</v>
      </c>
      <c r="I2004" t="s">
        <v>58</v>
      </c>
      <c r="J2004">
        <f t="shared" si="207"/>
        <v>4.8732083792723264</v>
      </c>
      <c r="K2004">
        <f t="shared" si="208"/>
        <v>11852.284554274473</v>
      </c>
    </row>
    <row r="2005" spans="1:12" x14ac:dyDescent="0.35">
      <c r="A2005" s="1">
        <v>41609</v>
      </c>
      <c r="B2005" t="s">
        <v>15</v>
      </c>
      <c r="C2005" t="s">
        <v>41</v>
      </c>
      <c r="D2005">
        <v>352474</v>
      </c>
      <c r="E2005">
        <v>3811025</v>
      </c>
      <c r="F2005">
        <f t="shared" si="203"/>
        <v>10.812215936494606</v>
      </c>
      <c r="G2005">
        <f t="shared" si="206"/>
        <v>294.20039563201823</v>
      </c>
      <c r="H2005">
        <v>144.666</v>
      </c>
      <c r="I2005" t="s">
        <v>58</v>
      </c>
      <c r="J2005">
        <f t="shared" si="207"/>
        <v>5.3166482910694599</v>
      </c>
      <c r="K2005">
        <f t="shared" si="208"/>
        <v>11852.284554274473</v>
      </c>
    </row>
    <row r="2006" spans="1:12" x14ac:dyDescent="0.35">
      <c r="A2006" s="1">
        <v>41275</v>
      </c>
      <c r="B2006" t="s">
        <v>18</v>
      </c>
      <c r="C2006" t="s">
        <v>40</v>
      </c>
      <c r="D2006">
        <v>694120</v>
      </c>
      <c r="E2006">
        <v>125567</v>
      </c>
      <c r="F2006">
        <f t="shared" si="203"/>
        <v>0.18090099694577305</v>
      </c>
      <c r="G2006">
        <f>F2006*408.15</f>
        <v>73.834741903417267</v>
      </c>
      <c r="H2006">
        <v>6101.0830000000005</v>
      </c>
      <c r="I2006" t="s">
        <v>40</v>
      </c>
      <c r="J2006">
        <f>(H2006/1000)/0.40815</f>
        <v>14.948139164522848</v>
      </c>
      <c r="K2006" s="4">
        <f>$L$2006+$L$2007</f>
        <v>11461.359791266193</v>
      </c>
      <c r="L2006">
        <v>7727.8788673088884</v>
      </c>
    </row>
    <row r="2007" spans="1:12" x14ac:dyDescent="0.35">
      <c r="A2007" s="1">
        <v>41306</v>
      </c>
      <c r="B2007" t="s">
        <v>18</v>
      </c>
      <c r="C2007" t="s">
        <v>40</v>
      </c>
      <c r="D2007">
        <v>721041</v>
      </c>
      <c r="E2007">
        <v>144874</v>
      </c>
      <c r="F2007">
        <f t="shared" si="203"/>
        <v>0.2009233871582892</v>
      </c>
      <c r="G2007">
        <f t="shared" ref="G2007:G2017" si="209">F2007*408.15</f>
        <v>82.006880468655737</v>
      </c>
      <c r="H2007">
        <v>5157.6108333333332</v>
      </c>
      <c r="I2007" t="s">
        <v>40</v>
      </c>
      <c r="J2007">
        <f t="shared" ref="J2007:J2017" si="210">(H2007/1000)/0.40815</f>
        <v>12.636557229776633</v>
      </c>
      <c r="K2007" s="4">
        <f t="shared" ref="K2007:K2017" si="211">$L$2006+$L$2007</f>
        <v>11461.359791266193</v>
      </c>
      <c r="L2007" s="3">
        <f>+[1]Hoja1!$H$117</f>
        <v>3733.480923957306</v>
      </c>
    </row>
    <row r="2008" spans="1:12" x14ac:dyDescent="0.35">
      <c r="A2008" s="1">
        <v>41334</v>
      </c>
      <c r="B2008" t="s">
        <v>18</v>
      </c>
      <c r="C2008" t="s">
        <v>40</v>
      </c>
      <c r="D2008">
        <v>710732</v>
      </c>
      <c r="E2008">
        <v>144329</v>
      </c>
      <c r="F2008">
        <f t="shared" si="203"/>
        <v>0.20307091843338981</v>
      </c>
      <c r="G2008">
        <f t="shared" si="209"/>
        <v>82.883395358588047</v>
      </c>
      <c r="H2008">
        <v>5139.57</v>
      </c>
      <c r="I2008" t="s">
        <v>40</v>
      </c>
      <c r="J2008">
        <f t="shared" si="210"/>
        <v>12.592355751561925</v>
      </c>
      <c r="K2008" s="4">
        <f t="shared" si="211"/>
        <v>11461.359791266193</v>
      </c>
    </row>
    <row r="2009" spans="1:12" x14ac:dyDescent="0.35">
      <c r="A2009" s="1">
        <v>41365</v>
      </c>
      <c r="B2009" t="s">
        <v>18</v>
      </c>
      <c r="C2009" t="s">
        <v>40</v>
      </c>
      <c r="D2009">
        <v>722902</v>
      </c>
      <c r="E2009">
        <v>307366</v>
      </c>
      <c r="F2009">
        <f t="shared" si="203"/>
        <v>0.42518349651820025</v>
      </c>
      <c r="G2009">
        <f t="shared" si="209"/>
        <v>173.53864410390344</v>
      </c>
      <c r="H2009">
        <v>4901.3616666666667</v>
      </c>
      <c r="I2009" t="s">
        <v>40</v>
      </c>
      <c r="J2009">
        <f t="shared" si="210"/>
        <v>12.008726366940257</v>
      </c>
      <c r="K2009" s="4">
        <f t="shared" si="211"/>
        <v>11461.359791266193</v>
      </c>
    </row>
    <row r="2010" spans="1:12" x14ac:dyDescent="0.35">
      <c r="A2010" s="1">
        <v>41395</v>
      </c>
      <c r="B2010" t="s">
        <v>18</v>
      </c>
      <c r="C2010" t="s">
        <v>40</v>
      </c>
      <c r="D2010">
        <v>725984</v>
      </c>
      <c r="E2010">
        <v>155508</v>
      </c>
      <c r="F2010">
        <f t="shared" si="203"/>
        <v>0.21420306783620577</v>
      </c>
      <c r="G2010">
        <f t="shared" si="209"/>
        <v>87.42698213734738</v>
      </c>
      <c r="H2010">
        <v>4352</v>
      </c>
      <c r="I2010" t="s">
        <v>40</v>
      </c>
      <c r="J2010">
        <f t="shared" si="210"/>
        <v>10.662746539262526</v>
      </c>
      <c r="K2010" s="4">
        <f t="shared" si="211"/>
        <v>11461.359791266193</v>
      </c>
    </row>
    <row r="2011" spans="1:12" x14ac:dyDescent="0.35">
      <c r="A2011" s="1">
        <v>41426</v>
      </c>
      <c r="B2011" t="s">
        <v>18</v>
      </c>
      <c r="C2011" t="s">
        <v>40</v>
      </c>
      <c r="D2011">
        <v>743075</v>
      </c>
      <c r="E2011">
        <v>174229</v>
      </c>
      <c r="F2011">
        <f t="shared" si="203"/>
        <v>0.23447027554419136</v>
      </c>
      <c r="G2011">
        <f t="shared" si="209"/>
        <v>95.699042963361705</v>
      </c>
      <c r="H2011">
        <v>4392.7334693877556</v>
      </c>
      <c r="I2011" t="s">
        <v>40</v>
      </c>
      <c r="J2011">
        <f t="shared" si="210"/>
        <v>10.762546782770443</v>
      </c>
      <c r="K2011" s="4">
        <f t="shared" si="211"/>
        <v>11461.359791266193</v>
      </c>
    </row>
    <row r="2012" spans="1:12" x14ac:dyDescent="0.35">
      <c r="A2012" s="1">
        <v>41456</v>
      </c>
      <c r="B2012" t="s">
        <v>18</v>
      </c>
      <c r="C2012" t="s">
        <v>40</v>
      </c>
      <c r="D2012">
        <v>755524</v>
      </c>
      <c r="E2012">
        <v>198219</v>
      </c>
      <c r="F2012">
        <f t="shared" si="203"/>
        <v>0.26235963384353111</v>
      </c>
      <c r="G2012">
        <f t="shared" si="209"/>
        <v>107.08208455323722</v>
      </c>
      <c r="H2012">
        <v>4450.6949999999997</v>
      </c>
      <c r="I2012" t="s">
        <v>40</v>
      </c>
      <c r="J2012">
        <f t="shared" si="210"/>
        <v>10.904557148107312</v>
      </c>
      <c r="K2012" s="4">
        <f t="shared" si="211"/>
        <v>11461.359791266193</v>
      </c>
    </row>
    <row r="2013" spans="1:12" x14ac:dyDescent="0.35">
      <c r="A2013" s="1">
        <v>41487</v>
      </c>
      <c r="B2013" t="s">
        <v>18</v>
      </c>
      <c r="C2013" t="s">
        <v>40</v>
      </c>
      <c r="D2013">
        <v>775538</v>
      </c>
      <c r="E2013">
        <v>235605</v>
      </c>
      <c r="F2013">
        <f t="shared" si="203"/>
        <v>0.30379555869602781</v>
      </c>
      <c r="G2013">
        <f t="shared" si="209"/>
        <v>123.99415728178374</v>
      </c>
      <c r="H2013">
        <v>4343.4171428571426</v>
      </c>
      <c r="I2013" t="s">
        <v>40</v>
      </c>
      <c r="J2013">
        <f t="shared" si="210"/>
        <v>10.641717855830313</v>
      </c>
      <c r="K2013" s="4">
        <f t="shared" si="211"/>
        <v>11461.359791266193</v>
      </c>
    </row>
    <row r="2014" spans="1:12" x14ac:dyDescent="0.35">
      <c r="A2014" s="1">
        <v>41518</v>
      </c>
      <c r="B2014" t="s">
        <v>18</v>
      </c>
      <c r="C2014" t="s">
        <v>40</v>
      </c>
      <c r="D2014">
        <v>724032</v>
      </c>
      <c r="E2014">
        <v>186407</v>
      </c>
      <c r="F2014">
        <f t="shared" si="203"/>
        <v>0.25745685273579066</v>
      </c>
      <c r="G2014">
        <f t="shared" si="209"/>
        <v>105.08101444411295</v>
      </c>
      <c r="H2014">
        <v>4052</v>
      </c>
      <c r="I2014" t="s">
        <v>40</v>
      </c>
      <c r="J2014">
        <f t="shared" si="210"/>
        <v>9.9277226509861549</v>
      </c>
      <c r="K2014" s="4">
        <f t="shared" si="211"/>
        <v>11461.359791266193</v>
      </c>
    </row>
    <row r="2015" spans="1:12" x14ac:dyDescent="0.35">
      <c r="A2015" s="1">
        <v>41548</v>
      </c>
      <c r="B2015" t="s">
        <v>18</v>
      </c>
      <c r="C2015" t="s">
        <v>40</v>
      </c>
      <c r="D2015">
        <v>652483</v>
      </c>
      <c r="E2015">
        <v>164569</v>
      </c>
      <c r="F2015">
        <f t="shared" si="203"/>
        <v>0.25221959805849348</v>
      </c>
      <c r="G2015">
        <f t="shared" si="209"/>
        <v>102.94342894757411</v>
      </c>
      <c r="H2015">
        <v>3914.1666666666665</v>
      </c>
      <c r="I2015" t="s">
        <v>40</v>
      </c>
      <c r="J2015">
        <f t="shared" si="210"/>
        <v>9.5900200089836254</v>
      </c>
      <c r="K2015" s="4">
        <f t="shared" si="211"/>
        <v>11461.359791266193</v>
      </c>
    </row>
    <row r="2016" spans="1:12" x14ac:dyDescent="0.35">
      <c r="A2016" s="1">
        <v>41579</v>
      </c>
      <c r="B2016" t="s">
        <v>18</v>
      </c>
      <c r="C2016" t="s">
        <v>40</v>
      </c>
      <c r="D2016">
        <v>743356</v>
      </c>
      <c r="E2016">
        <v>133718</v>
      </c>
      <c r="F2016">
        <f t="shared" si="203"/>
        <v>0.17988420084051249</v>
      </c>
      <c r="G2016">
        <f t="shared" si="209"/>
        <v>73.419736573055161</v>
      </c>
      <c r="H2016">
        <v>3387.8339999999998</v>
      </c>
      <c r="I2016" t="s">
        <v>40</v>
      </c>
      <c r="J2016">
        <f t="shared" si="210"/>
        <v>8.3004630650496125</v>
      </c>
      <c r="K2016" s="4">
        <f t="shared" si="211"/>
        <v>11461.359791266193</v>
      </c>
    </row>
    <row r="2017" spans="1:11" x14ac:dyDescent="0.35">
      <c r="A2017" s="1">
        <v>41609</v>
      </c>
      <c r="B2017" t="s">
        <v>18</v>
      </c>
      <c r="C2017" t="s">
        <v>40</v>
      </c>
      <c r="D2017">
        <v>696448</v>
      </c>
      <c r="E2017">
        <v>253874</v>
      </c>
      <c r="F2017">
        <f>E2017/D2017</f>
        <v>0.36452685627641979</v>
      </c>
      <c r="G2017">
        <f t="shared" si="209"/>
        <v>148.78163638922072</v>
      </c>
      <c r="H2017">
        <v>3709.0989999999997</v>
      </c>
      <c r="I2017" t="s">
        <v>40</v>
      </c>
      <c r="J2017">
        <f t="shared" si="210"/>
        <v>9.0875878966066388</v>
      </c>
      <c r="K2017" s="4">
        <f t="shared" si="211"/>
        <v>11461.359791266193</v>
      </c>
    </row>
    <row r="2018" spans="1:11" x14ac:dyDescent="0.35">
      <c r="A2018" s="1">
        <v>41640</v>
      </c>
      <c r="B2018" t="s">
        <v>2</v>
      </c>
      <c r="C2018" t="s">
        <v>38</v>
      </c>
      <c r="D2018">
        <v>7561</v>
      </c>
      <c r="E2018">
        <v>24023</v>
      </c>
      <c r="F2018">
        <f t="shared" ref="F2018:F2081" si="212">E2018/D2018</f>
        <v>3.1772252347573073</v>
      </c>
      <c r="G2018">
        <f>F2018*45.36</f>
        <v>144.11893664859147</v>
      </c>
      <c r="H2018">
        <v>1778.3205090303029</v>
      </c>
      <c r="I2018" t="s">
        <v>59</v>
      </c>
      <c r="J2018">
        <f>H2018/110</f>
        <v>16.166550082093664</v>
      </c>
      <c r="K2018">
        <v>7973.2432584128101</v>
      </c>
    </row>
    <row r="2019" spans="1:11" x14ac:dyDescent="0.35">
      <c r="A2019" s="1">
        <v>41671</v>
      </c>
      <c r="B2019" t="s">
        <v>2</v>
      </c>
      <c r="C2019" t="s">
        <v>38</v>
      </c>
      <c r="D2019">
        <v>6800</v>
      </c>
      <c r="E2019">
        <v>25032</v>
      </c>
      <c r="F2019">
        <f t="shared" si="212"/>
        <v>3.6811764705882353</v>
      </c>
      <c r="G2019">
        <f t="shared" ref="G2019:G2082" si="213">F2019*45.36</f>
        <v>166.97816470588236</v>
      </c>
      <c r="H2019">
        <v>1817.6618030303027</v>
      </c>
      <c r="I2019" t="s">
        <v>59</v>
      </c>
      <c r="J2019">
        <f t="shared" ref="J2019:J2029" si="214">H2019/110</f>
        <v>16.524198209366389</v>
      </c>
      <c r="K2019">
        <v>7973.2432584128101</v>
      </c>
    </row>
    <row r="2020" spans="1:11" x14ac:dyDescent="0.35">
      <c r="A2020" s="1">
        <v>41699</v>
      </c>
      <c r="B2020" t="s">
        <v>2</v>
      </c>
      <c r="C2020" t="s">
        <v>38</v>
      </c>
      <c r="D2020">
        <v>92893</v>
      </c>
      <c r="E2020">
        <v>408742</v>
      </c>
      <c r="F2020">
        <f t="shared" si="212"/>
        <v>4.4001377929445704</v>
      </c>
      <c r="G2020">
        <f t="shared" si="213"/>
        <v>199.59025028796572</v>
      </c>
      <c r="H2020">
        <v>1650.2272727272725</v>
      </c>
      <c r="I2020" t="s">
        <v>59</v>
      </c>
      <c r="J2020">
        <f t="shared" si="214"/>
        <v>15.002066115702478</v>
      </c>
      <c r="K2020">
        <v>7973.2432584128101</v>
      </c>
    </row>
    <row r="2021" spans="1:11" x14ac:dyDescent="0.35">
      <c r="A2021" s="1">
        <v>41730</v>
      </c>
      <c r="B2021" t="s">
        <v>2</v>
      </c>
      <c r="C2021" t="s">
        <v>38</v>
      </c>
      <c r="D2021">
        <v>455717</v>
      </c>
      <c r="E2021">
        <v>2090400</v>
      </c>
      <c r="F2021">
        <f t="shared" si="212"/>
        <v>4.587057318467382</v>
      </c>
      <c r="G2021">
        <f t="shared" si="213"/>
        <v>208.06891996568044</v>
      </c>
      <c r="H2021">
        <v>1841.8542424242423</v>
      </c>
      <c r="I2021" t="s">
        <v>59</v>
      </c>
      <c r="J2021">
        <f t="shared" si="214"/>
        <v>16.744129476584021</v>
      </c>
      <c r="K2021">
        <v>7973.2432584128101</v>
      </c>
    </row>
    <row r="2022" spans="1:11" x14ac:dyDescent="0.35">
      <c r="A2022" s="1">
        <v>41760</v>
      </c>
      <c r="B2022" t="s">
        <v>2</v>
      </c>
      <c r="C2022" t="s">
        <v>38</v>
      </c>
      <c r="D2022">
        <v>490190</v>
      </c>
      <c r="E2022">
        <v>2375061</v>
      </c>
      <c r="F2022">
        <f t="shared" si="212"/>
        <v>4.8451845202880515</v>
      </c>
      <c r="G2022">
        <f t="shared" si="213"/>
        <v>219.77756984026601</v>
      </c>
      <c r="H2022">
        <v>1833.9165151515151</v>
      </c>
      <c r="I2022" t="s">
        <v>59</v>
      </c>
      <c r="J2022">
        <f t="shared" si="214"/>
        <v>16.671968319559227</v>
      </c>
      <c r="K2022">
        <v>7973.2432584128101</v>
      </c>
    </row>
    <row r="2023" spans="1:11" x14ac:dyDescent="0.35">
      <c r="A2023" s="1">
        <v>41791</v>
      </c>
      <c r="B2023" t="s">
        <v>2</v>
      </c>
      <c r="C2023" t="s">
        <v>38</v>
      </c>
      <c r="D2023">
        <v>169022</v>
      </c>
      <c r="E2023">
        <v>846254</v>
      </c>
      <c r="F2023">
        <f t="shared" si="212"/>
        <v>5.0067683496822895</v>
      </c>
      <c r="G2023">
        <f t="shared" si="213"/>
        <v>227.10701234158864</v>
      </c>
      <c r="H2023">
        <v>1838.9798863636363</v>
      </c>
      <c r="I2023" t="s">
        <v>59</v>
      </c>
      <c r="J2023">
        <f t="shared" si="214"/>
        <v>16.717998966942147</v>
      </c>
      <c r="K2023">
        <v>7973.2432584128101</v>
      </c>
    </row>
    <row r="2024" spans="1:11" x14ac:dyDescent="0.35">
      <c r="A2024" s="1">
        <v>41821</v>
      </c>
      <c r="B2024" t="s">
        <v>2</v>
      </c>
      <c r="C2024" t="s">
        <v>38</v>
      </c>
      <c r="D2024">
        <v>39836</v>
      </c>
      <c r="E2024">
        <v>166046</v>
      </c>
      <c r="F2024">
        <f t="shared" si="212"/>
        <v>4.1682397831107538</v>
      </c>
      <c r="G2024">
        <f t="shared" si="213"/>
        <v>189.0713565619038</v>
      </c>
      <c r="H2024">
        <v>1901.7532222222223</v>
      </c>
      <c r="I2024" t="s">
        <v>59</v>
      </c>
      <c r="J2024">
        <f t="shared" si="214"/>
        <v>17.288665656565659</v>
      </c>
      <c r="K2024">
        <v>7973.2432584128101</v>
      </c>
    </row>
    <row r="2025" spans="1:11" x14ac:dyDescent="0.35">
      <c r="A2025" s="1">
        <v>41852</v>
      </c>
      <c r="B2025" t="s">
        <v>2</v>
      </c>
      <c r="C2025" t="s">
        <v>38</v>
      </c>
      <c r="D2025">
        <v>76460</v>
      </c>
      <c r="E2025">
        <v>329162</v>
      </c>
      <c r="F2025">
        <f t="shared" si="212"/>
        <v>4.3050222338477635</v>
      </c>
      <c r="G2025">
        <f t="shared" si="213"/>
        <v>195.27580852733456</v>
      </c>
      <c r="H2025">
        <v>1811.6265422535212</v>
      </c>
      <c r="I2025" t="s">
        <v>59</v>
      </c>
      <c r="J2025">
        <f t="shared" si="214"/>
        <v>16.469332202304738</v>
      </c>
      <c r="K2025">
        <v>7973.2432584128101</v>
      </c>
    </row>
    <row r="2026" spans="1:11" x14ac:dyDescent="0.35">
      <c r="A2026" s="1">
        <v>41883</v>
      </c>
      <c r="B2026" t="s">
        <v>2</v>
      </c>
      <c r="C2026" t="s">
        <v>38</v>
      </c>
      <c r="D2026">
        <v>337172</v>
      </c>
      <c r="E2026">
        <v>1448666</v>
      </c>
      <c r="F2026">
        <f t="shared" si="212"/>
        <v>4.2965192839263047</v>
      </c>
      <c r="G2026">
        <f t="shared" si="213"/>
        <v>194.89011471889717</v>
      </c>
      <c r="H2026">
        <v>2063.2766666666666</v>
      </c>
      <c r="I2026" t="s">
        <v>59</v>
      </c>
      <c r="J2026">
        <f t="shared" si="214"/>
        <v>18.757060606060605</v>
      </c>
      <c r="K2026">
        <v>7973.2432584128101</v>
      </c>
    </row>
    <row r="2027" spans="1:11" x14ac:dyDescent="0.35">
      <c r="A2027" s="1">
        <v>41913</v>
      </c>
      <c r="B2027" t="s">
        <v>2</v>
      </c>
      <c r="C2027" t="s">
        <v>38</v>
      </c>
      <c r="D2027">
        <v>548919</v>
      </c>
      <c r="E2027">
        <v>2623187</v>
      </c>
      <c r="F2027">
        <f t="shared" si="212"/>
        <v>4.7788234694007681</v>
      </c>
      <c r="G2027">
        <f t="shared" si="213"/>
        <v>216.76743257201883</v>
      </c>
      <c r="H2027">
        <v>1895.3412365217391</v>
      </c>
      <c r="I2027" t="s">
        <v>59</v>
      </c>
      <c r="J2027">
        <f t="shared" si="214"/>
        <v>17.230374877470357</v>
      </c>
      <c r="K2027">
        <v>7973.2432584128101</v>
      </c>
    </row>
    <row r="2028" spans="1:11" x14ac:dyDescent="0.35">
      <c r="A2028" s="1">
        <v>41944</v>
      </c>
      <c r="B2028" t="s">
        <v>2</v>
      </c>
      <c r="C2028" t="s">
        <v>38</v>
      </c>
      <c r="D2028">
        <v>290884</v>
      </c>
      <c r="E2028">
        <v>1133230</v>
      </c>
      <c r="F2028">
        <f t="shared" si="212"/>
        <v>3.8958141389694863</v>
      </c>
      <c r="G2028">
        <f t="shared" si="213"/>
        <v>176.71412934365588</v>
      </c>
      <c r="H2028">
        <v>1832.516195652174</v>
      </c>
      <c r="I2028" t="s">
        <v>59</v>
      </c>
      <c r="J2028">
        <f t="shared" si="214"/>
        <v>16.659238142292491</v>
      </c>
      <c r="K2028">
        <v>7973.2432584128101</v>
      </c>
    </row>
    <row r="2029" spans="1:11" x14ac:dyDescent="0.35">
      <c r="A2029" s="1">
        <v>41974</v>
      </c>
      <c r="B2029" t="s">
        <v>2</v>
      </c>
      <c r="C2029" t="s">
        <v>38</v>
      </c>
      <c r="D2029">
        <v>78743</v>
      </c>
      <c r="E2029">
        <v>259278</v>
      </c>
      <c r="F2029">
        <f t="shared" si="212"/>
        <v>3.2927117331064348</v>
      </c>
      <c r="G2029">
        <f t="shared" si="213"/>
        <v>149.35740421370789</v>
      </c>
      <c r="H2029">
        <v>1922.8690217391304</v>
      </c>
      <c r="I2029" t="s">
        <v>59</v>
      </c>
      <c r="J2029">
        <f t="shared" si="214"/>
        <v>17.480627470355731</v>
      </c>
      <c r="K2029">
        <v>7973.2432584128101</v>
      </c>
    </row>
    <row r="2030" spans="1:11" x14ac:dyDescent="0.35">
      <c r="A2030" s="1">
        <v>41640</v>
      </c>
      <c r="B2030" t="s">
        <v>5</v>
      </c>
      <c r="C2030" t="s">
        <v>38</v>
      </c>
      <c r="D2030">
        <v>28272</v>
      </c>
      <c r="E2030">
        <v>51069</v>
      </c>
      <c r="F2030">
        <f t="shared" si="212"/>
        <v>1.8063455008488964</v>
      </c>
      <c r="G2030">
        <f t="shared" si="213"/>
        <v>81.93583191850594</v>
      </c>
      <c r="H2030">
        <v>721.82142857142856</v>
      </c>
      <c r="I2030" t="s">
        <v>38</v>
      </c>
      <c r="J2030">
        <f>H2030/45.36</f>
        <v>15.913170823885109</v>
      </c>
      <c r="K2030">
        <v>2447.4016475999997</v>
      </c>
    </row>
    <row r="2031" spans="1:11" x14ac:dyDescent="0.35">
      <c r="A2031" s="1">
        <v>41671</v>
      </c>
      <c r="B2031" t="s">
        <v>5</v>
      </c>
      <c r="C2031" t="s">
        <v>38</v>
      </c>
      <c r="D2031">
        <v>30218</v>
      </c>
      <c r="E2031">
        <v>72720</v>
      </c>
      <c r="F2031">
        <f t="shared" si="212"/>
        <v>2.4065126745648291</v>
      </c>
      <c r="G2031">
        <f t="shared" si="213"/>
        <v>109.15941491826065</v>
      </c>
      <c r="H2031">
        <v>711.25</v>
      </c>
      <c r="I2031" t="s">
        <v>38</v>
      </c>
      <c r="J2031">
        <f t="shared" ref="J2031:J2094" si="215">H2031/45.36</f>
        <v>15.680114638447971</v>
      </c>
      <c r="K2031">
        <v>2447.4016475999997</v>
      </c>
    </row>
    <row r="2032" spans="1:11" x14ac:dyDescent="0.35">
      <c r="A2032" s="1">
        <v>41699</v>
      </c>
      <c r="B2032" t="s">
        <v>5</v>
      </c>
      <c r="C2032" t="s">
        <v>38</v>
      </c>
      <c r="D2032">
        <v>18220</v>
      </c>
      <c r="E2032">
        <v>33965</v>
      </c>
      <c r="F2032">
        <f t="shared" si="212"/>
        <v>1.8641602634467618</v>
      </c>
      <c r="G2032">
        <f t="shared" si="213"/>
        <v>84.558309549945108</v>
      </c>
      <c r="H2032">
        <v>750.26142857142861</v>
      </c>
      <c r="I2032" t="s">
        <v>38</v>
      </c>
      <c r="J2032">
        <f t="shared" si="215"/>
        <v>16.540154950869237</v>
      </c>
      <c r="K2032">
        <v>2447.4016475999997</v>
      </c>
    </row>
    <row r="2033" spans="1:11" x14ac:dyDescent="0.35">
      <c r="A2033" s="1">
        <v>41730</v>
      </c>
      <c r="B2033" t="s">
        <v>5</v>
      </c>
      <c r="C2033" t="s">
        <v>38</v>
      </c>
      <c r="D2033">
        <v>23520</v>
      </c>
      <c r="E2033">
        <v>54121</v>
      </c>
      <c r="F2033">
        <f t="shared" si="212"/>
        <v>2.3010629251700681</v>
      </c>
      <c r="G2033">
        <f t="shared" si="213"/>
        <v>104.37621428571428</v>
      </c>
      <c r="H2033">
        <v>736.92857142857144</v>
      </c>
      <c r="I2033" t="s">
        <v>38</v>
      </c>
      <c r="J2033">
        <f t="shared" si="215"/>
        <v>16.246220710506424</v>
      </c>
      <c r="K2033">
        <v>2447.4016475999997</v>
      </c>
    </row>
    <row r="2034" spans="1:11" x14ac:dyDescent="0.35">
      <c r="A2034" s="1">
        <v>41760</v>
      </c>
      <c r="B2034" t="s">
        <v>5</v>
      </c>
      <c r="C2034" t="s">
        <v>38</v>
      </c>
      <c r="D2034">
        <v>14360</v>
      </c>
      <c r="E2034">
        <v>28126</v>
      </c>
      <c r="F2034">
        <f t="shared" si="212"/>
        <v>1.9586350974930362</v>
      </c>
      <c r="G2034">
        <f t="shared" si="213"/>
        <v>88.843688022284127</v>
      </c>
      <c r="H2034">
        <v>750.25047619047621</v>
      </c>
      <c r="I2034" t="s">
        <v>38</v>
      </c>
      <c r="J2034">
        <f t="shared" si="215"/>
        <v>16.539913496262702</v>
      </c>
      <c r="K2034">
        <v>2447.4016475999997</v>
      </c>
    </row>
    <row r="2035" spans="1:11" x14ac:dyDescent="0.35">
      <c r="A2035" s="1">
        <v>41791</v>
      </c>
      <c r="B2035" t="s">
        <v>5</v>
      </c>
      <c r="C2035" t="s">
        <v>38</v>
      </c>
      <c r="D2035">
        <v>34588</v>
      </c>
      <c r="E2035">
        <v>85474</v>
      </c>
      <c r="F2035">
        <f t="shared" si="212"/>
        <v>2.4712038857407195</v>
      </c>
      <c r="G2035">
        <f t="shared" si="213"/>
        <v>112.09380825719903</v>
      </c>
      <c r="H2035">
        <v>762.61833333333334</v>
      </c>
      <c r="I2035" t="s">
        <v>38</v>
      </c>
      <c r="J2035">
        <f t="shared" si="215"/>
        <v>16.812573486184597</v>
      </c>
      <c r="K2035">
        <v>2447.4016475999997</v>
      </c>
    </row>
    <row r="2036" spans="1:11" x14ac:dyDescent="0.35">
      <c r="A2036" s="1">
        <v>41821</v>
      </c>
      <c r="B2036" t="s">
        <v>5</v>
      </c>
      <c r="C2036" t="s">
        <v>38</v>
      </c>
      <c r="D2036">
        <v>35328</v>
      </c>
      <c r="E2036">
        <v>87857</v>
      </c>
      <c r="F2036">
        <f t="shared" si="212"/>
        <v>2.4868942481884058</v>
      </c>
      <c r="G2036">
        <f t="shared" si="213"/>
        <v>112.80552309782608</v>
      </c>
      <c r="H2036">
        <v>720.49055555555549</v>
      </c>
      <c r="I2036" t="s">
        <v>38</v>
      </c>
      <c r="J2036">
        <f t="shared" si="215"/>
        <v>15.883830589849108</v>
      </c>
      <c r="K2036">
        <v>2447.4016475999997</v>
      </c>
    </row>
    <row r="2037" spans="1:11" x14ac:dyDescent="0.35">
      <c r="A2037" s="1">
        <v>41852</v>
      </c>
      <c r="B2037" t="s">
        <v>5</v>
      </c>
      <c r="C2037" t="s">
        <v>38</v>
      </c>
      <c r="D2037">
        <v>53672</v>
      </c>
      <c r="E2037">
        <v>91943</v>
      </c>
      <c r="F2037">
        <f t="shared" si="212"/>
        <v>1.7130533611566552</v>
      </c>
      <c r="G2037">
        <f t="shared" si="213"/>
        <v>77.704100462065881</v>
      </c>
      <c r="H2037">
        <v>711.34142857142865</v>
      </c>
      <c r="I2037" t="s">
        <v>38</v>
      </c>
      <c r="J2037">
        <f t="shared" si="215"/>
        <v>15.682130259511213</v>
      </c>
      <c r="K2037">
        <v>2447.4016475999997</v>
      </c>
    </row>
    <row r="2038" spans="1:11" x14ac:dyDescent="0.35">
      <c r="A2038" s="1">
        <v>41883</v>
      </c>
      <c r="B2038" t="s">
        <v>5</v>
      </c>
      <c r="C2038" t="s">
        <v>38</v>
      </c>
      <c r="D2038">
        <v>46198</v>
      </c>
      <c r="E2038">
        <v>70817</v>
      </c>
      <c r="F2038">
        <f t="shared" si="212"/>
        <v>1.5329018572232564</v>
      </c>
      <c r="G2038">
        <f t="shared" si="213"/>
        <v>69.532428243646905</v>
      </c>
      <c r="H2038">
        <v>741.87285714285713</v>
      </c>
      <c r="I2038" t="s">
        <v>38</v>
      </c>
      <c r="J2038">
        <f t="shared" si="215"/>
        <v>16.355221718316955</v>
      </c>
      <c r="K2038">
        <v>2447.4016475999997</v>
      </c>
    </row>
    <row r="2039" spans="1:11" x14ac:dyDescent="0.35">
      <c r="A2039" s="1">
        <v>41913</v>
      </c>
      <c r="B2039" t="s">
        <v>5</v>
      </c>
      <c r="C2039" t="s">
        <v>38</v>
      </c>
      <c r="D2039">
        <v>29563</v>
      </c>
      <c r="E2039">
        <v>76566</v>
      </c>
      <c r="F2039">
        <f t="shared" si="212"/>
        <v>2.589926597435984</v>
      </c>
      <c r="G2039">
        <f t="shared" si="213"/>
        <v>117.47907045969623</v>
      </c>
      <c r="H2039">
        <v>791.50777777777773</v>
      </c>
      <c r="I2039" t="s">
        <v>38</v>
      </c>
      <c r="J2039">
        <f t="shared" si="215"/>
        <v>17.449466000391926</v>
      </c>
      <c r="K2039">
        <v>2447.4016475999997</v>
      </c>
    </row>
    <row r="2040" spans="1:11" x14ac:dyDescent="0.35">
      <c r="A2040" s="1">
        <v>41944</v>
      </c>
      <c r="B2040" t="s">
        <v>5</v>
      </c>
      <c r="C2040" t="s">
        <v>38</v>
      </c>
      <c r="D2040">
        <v>25874</v>
      </c>
      <c r="E2040">
        <v>57009</v>
      </c>
      <c r="F2040">
        <f t="shared" si="212"/>
        <v>2.2033315297209555</v>
      </c>
      <c r="G2040">
        <f t="shared" si="213"/>
        <v>99.943118188142535</v>
      </c>
      <c r="H2040">
        <v>793.84277777777788</v>
      </c>
      <c r="I2040" t="s">
        <v>38</v>
      </c>
      <c r="J2040">
        <f t="shared" si="215"/>
        <v>17.500943072702334</v>
      </c>
      <c r="K2040">
        <v>2447.4016475999997</v>
      </c>
    </row>
    <row r="2041" spans="1:11" x14ac:dyDescent="0.35">
      <c r="A2041" s="1">
        <v>41974</v>
      </c>
      <c r="B2041" t="s">
        <v>5</v>
      </c>
      <c r="C2041" t="s">
        <v>38</v>
      </c>
      <c r="D2041">
        <v>45216.999999999993</v>
      </c>
      <c r="E2041">
        <v>83408</v>
      </c>
      <c r="F2041">
        <f t="shared" si="212"/>
        <v>1.8446159630227572</v>
      </c>
      <c r="G2041">
        <f t="shared" si="213"/>
        <v>83.67178008271226</v>
      </c>
      <c r="H2041">
        <v>770.9996666666666</v>
      </c>
      <c r="I2041" t="s">
        <v>38</v>
      </c>
      <c r="J2041">
        <f t="shared" si="215"/>
        <v>16.997347148736036</v>
      </c>
      <c r="K2041">
        <v>2447.4016475999997</v>
      </c>
    </row>
    <row r="2042" spans="1:11" x14ac:dyDescent="0.35">
      <c r="A2042" s="1">
        <v>41640</v>
      </c>
      <c r="B2042" t="s">
        <v>7</v>
      </c>
      <c r="C2042" t="s">
        <v>38</v>
      </c>
      <c r="D2042">
        <v>5599</v>
      </c>
      <c r="E2042">
        <v>84698</v>
      </c>
      <c r="F2042">
        <f t="shared" si="212"/>
        <v>15.127344168601535</v>
      </c>
      <c r="G2042">
        <f t="shared" si="213"/>
        <v>686.17633148776565</v>
      </c>
      <c r="H2042">
        <v>249.89445000000001</v>
      </c>
      <c r="I2042" t="s">
        <v>38</v>
      </c>
      <c r="J2042">
        <f t="shared" si="215"/>
        <v>5.5091369047619052</v>
      </c>
      <c r="K2042">
        <v>5243.9203425000005</v>
      </c>
    </row>
    <row r="2043" spans="1:11" x14ac:dyDescent="0.35">
      <c r="A2043" s="1">
        <v>41671</v>
      </c>
      <c r="B2043" t="s">
        <v>7</v>
      </c>
      <c r="C2043" t="s">
        <v>38</v>
      </c>
      <c r="D2043">
        <v>8929</v>
      </c>
      <c r="E2043">
        <v>76395</v>
      </c>
      <c r="F2043">
        <f t="shared" si="212"/>
        <v>8.5558293201926308</v>
      </c>
      <c r="G2043">
        <f t="shared" si="213"/>
        <v>388.09241796393775</v>
      </c>
      <c r="H2043">
        <v>236.37075000000004</v>
      </c>
      <c r="I2043" t="s">
        <v>38</v>
      </c>
      <c r="J2043">
        <f t="shared" si="215"/>
        <v>5.2109953703703713</v>
      </c>
      <c r="K2043">
        <v>5243.9203425000005</v>
      </c>
    </row>
    <row r="2044" spans="1:11" x14ac:dyDescent="0.35">
      <c r="A2044" s="1">
        <v>41699</v>
      </c>
      <c r="B2044" t="s">
        <v>7</v>
      </c>
      <c r="C2044" t="s">
        <v>38</v>
      </c>
      <c r="D2044">
        <v>8305</v>
      </c>
      <c r="E2044">
        <v>79507</v>
      </c>
      <c r="F2044">
        <f t="shared" si="212"/>
        <v>9.5733895243829021</v>
      </c>
      <c r="G2044">
        <f t="shared" si="213"/>
        <v>434.24894882600842</v>
      </c>
      <c r="H2044">
        <v>248.08299999999997</v>
      </c>
      <c r="I2044" t="s">
        <v>38</v>
      </c>
      <c r="J2044">
        <f t="shared" si="215"/>
        <v>5.4692019400352727</v>
      </c>
      <c r="K2044">
        <v>5243.9203425000005</v>
      </c>
    </row>
    <row r="2045" spans="1:11" x14ac:dyDescent="0.35">
      <c r="A2045" s="1">
        <v>41730</v>
      </c>
      <c r="B2045" t="s">
        <v>7</v>
      </c>
      <c r="C2045" t="s">
        <v>38</v>
      </c>
      <c r="D2045">
        <v>11204</v>
      </c>
      <c r="E2045">
        <v>165182</v>
      </c>
      <c r="F2045">
        <f t="shared" si="212"/>
        <v>14.743127454480543</v>
      </c>
      <c r="G2045">
        <f t="shared" si="213"/>
        <v>668.74826133523743</v>
      </c>
      <c r="H2045">
        <v>316.91566666666665</v>
      </c>
      <c r="I2045" t="s">
        <v>38</v>
      </c>
      <c r="J2045">
        <f t="shared" si="215"/>
        <v>6.98667695473251</v>
      </c>
      <c r="K2045">
        <v>5243.9203425000005</v>
      </c>
    </row>
    <row r="2046" spans="1:11" x14ac:dyDescent="0.35">
      <c r="A2046" s="1">
        <v>41760</v>
      </c>
      <c r="B2046" t="s">
        <v>7</v>
      </c>
      <c r="C2046" t="s">
        <v>38</v>
      </c>
      <c r="D2046">
        <v>6185</v>
      </c>
      <c r="E2046">
        <v>62667</v>
      </c>
      <c r="F2046">
        <f t="shared" si="212"/>
        <v>10.132093775262732</v>
      </c>
      <c r="G2046">
        <f t="shared" si="213"/>
        <v>459.5917736459175</v>
      </c>
      <c r="H2046">
        <v>440.83333333333331</v>
      </c>
      <c r="I2046" t="s">
        <v>38</v>
      </c>
      <c r="J2046">
        <f t="shared" si="215"/>
        <v>9.7185479129923564</v>
      </c>
      <c r="K2046">
        <v>5243.9203425000005</v>
      </c>
    </row>
    <row r="2047" spans="1:11" x14ac:dyDescent="0.35">
      <c r="A2047" s="1">
        <v>41791</v>
      </c>
      <c r="B2047" t="s">
        <v>7</v>
      </c>
      <c r="C2047" t="s">
        <v>38</v>
      </c>
      <c r="D2047">
        <v>8854</v>
      </c>
      <c r="E2047">
        <v>95211</v>
      </c>
      <c r="F2047">
        <f t="shared" si="212"/>
        <v>10.753444770725096</v>
      </c>
      <c r="G2047">
        <f t="shared" si="213"/>
        <v>487.77625480009038</v>
      </c>
      <c r="H2047">
        <v>332.46091666666666</v>
      </c>
      <c r="I2047" t="s">
        <v>38</v>
      </c>
      <c r="J2047">
        <f t="shared" si="215"/>
        <v>7.3293852880658434</v>
      </c>
      <c r="K2047">
        <v>5243.9203425000005</v>
      </c>
    </row>
    <row r="2048" spans="1:11" x14ac:dyDescent="0.35">
      <c r="A2048" s="1">
        <v>41821</v>
      </c>
      <c r="B2048" t="s">
        <v>7</v>
      </c>
      <c r="C2048" t="s">
        <v>38</v>
      </c>
      <c r="D2048">
        <v>5601</v>
      </c>
      <c r="E2048">
        <v>62528</v>
      </c>
      <c r="F2048">
        <f t="shared" si="212"/>
        <v>11.163720764149259</v>
      </c>
      <c r="G2048">
        <f t="shared" si="213"/>
        <v>506.3863738618104</v>
      </c>
      <c r="H2048">
        <v>364.31919999999991</v>
      </c>
      <c r="I2048" t="s">
        <v>38</v>
      </c>
      <c r="J2048">
        <f t="shared" si="215"/>
        <v>8.0317283950617266</v>
      </c>
      <c r="K2048">
        <v>5243.9203425000005</v>
      </c>
    </row>
    <row r="2049" spans="1:11" x14ac:dyDescent="0.35">
      <c r="A2049" s="1">
        <v>41852</v>
      </c>
      <c r="B2049" t="s">
        <v>7</v>
      </c>
      <c r="C2049" t="s">
        <v>38</v>
      </c>
      <c r="D2049">
        <v>5828</v>
      </c>
      <c r="E2049">
        <v>71356</v>
      </c>
      <c r="F2049">
        <f t="shared" si="212"/>
        <v>12.243651338366506</v>
      </c>
      <c r="G2049">
        <f t="shared" si="213"/>
        <v>555.37202470830471</v>
      </c>
      <c r="H2049">
        <v>370.80516666666665</v>
      </c>
      <c r="I2049" t="s">
        <v>38</v>
      </c>
      <c r="J2049">
        <f t="shared" si="215"/>
        <v>8.1747170781892997</v>
      </c>
      <c r="K2049">
        <v>5243.9203425000005</v>
      </c>
    </row>
    <row r="2050" spans="1:11" x14ac:dyDescent="0.35">
      <c r="A2050" s="1">
        <v>41883</v>
      </c>
      <c r="B2050" t="s">
        <v>7</v>
      </c>
      <c r="C2050" t="s">
        <v>38</v>
      </c>
      <c r="D2050">
        <v>4052</v>
      </c>
      <c r="E2050">
        <v>49365</v>
      </c>
      <c r="F2050">
        <f t="shared" si="212"/>
        <v>12.182872655478777</v>
      </c>
      <c r="G2050">
        <f t="shared" si="213"/>
        <v>552.61510365251729</v>
      </c>
      <c r="H2050">
        <v>384.74484999999999</v>
      </c>
      <c r="I2050" t="s">
        <v>38</v>
      </c>
      <c r="J2050">
        <f t="shared" si="215"/>
        <v>8.4820293209876549</v>
      </c>
      <c r="K2050">
        <v>5243.9203425000005</v>
      </c>
    </row>
    <row r="2051" spans="1:11" x14ac:dyDescent="0.35">
      <c r="A2051" s="1">
        <v>41913</v>
      </c>
      <c r="B2051" t="s">
        <v>7</v>
      </c>
      <c r="C2051" t="s">
        <v>38</v>
      </c>
      <c r="D2051">
        <v>4764</v>
      </c>
      <c r="E2051">
        <v>62618</v>
      </c>
      <c r="F2051">
        <f t="shared" si="212"/>
        <v>13.14399664147775</v>
      </c>
      <c r="G2051">
        <f t="shared" si="213"/>
        <v>596.21168765743073</v>
      </c>
      <c r="H2051">
        <v>631.29999999999995</v>
      </c>
      <c r="I2051" t="s">
        <v>38</v>
      </c>
      <c r="J2051">
        <f t="shared" si="215"/>
        <v>13.917548500881834</v>
      </c>
      <c r="K2051">
        <v>5243.9203425000005</v>
      </c>
    </row>
    <row r="2052" spans="1:11" x14ac:dyDescent="0.35">
      <c r="A2052" s="1">
        <v>41944</v>
      </c>
      <c r="B2052" t="s">
        <v>7</v>
      </c>
      <c r="C2052" t="s">
        <v>38</v>
      </c>
      <c r="D2052">
        <v>9852</v>
      </c>
      <c r="E2052">
        <v>96551.000000000015</v>
      </c>
      <c r="F2052">
        <f t="shared" si="212"/>
        <v>9.8001421031262694</v>
      </c>
      <c r="G2052">
        <f t="shared" si="213"/>
        <v>444.53444579780756</v>
      </c>
      <c r="H2052">
        <v>586.74004629629633</v>
      </c>
      <c r="I2052" t="s">
        <v>38</v>
      </c>
      <c r="J2052">
        <f t="shared" si="215"/>
        <v>12.935186205826639</v>
      </c>
      <c r="K2052">
        <v>5243.9203425000005</v>
      </c>
    </row>
    <row r="2053" spans="1:11" x14ac:dyDescent="0.35">
      <c r="A2053" s="1">
        <v>41974</v>
      </c>
      <c r="B2053" t="s">
        <v>7</v>
      </c>
      <c r="C2053" t="s">
        <v>38</v>
      </c>
      <c r="D2053">
        <v>7010</v>
      </c>
      <c r="E2053">
        <v>81967</v>
      </c>
      <c r="F2053">
        <f t="shared" si="212"/>
        <v>11.692867332382312</v>
      </c>
      <c r="G2053">
        <f t="shared" si="213"/>
        <v>530.38846219686161</v>
      </c>
      <c r="H2053">
        <v>415.46886500000005</v>
      </c>
      <c r="I2053" t="s">
        <v>38</v>
      </c>
      <c r="J2053">
        <f t="shared" si="215"/>
        <v>9.1593665123456809</v>
      </c>
      <c r="K2053">
        <v>5243.9203425000005</v>
      </c>
    </row>
    <row r="2054" spans="1:11" x14ac:dyDescent="0.35">
      <c r="A2054" s="1">
        <v>41640</v>
      </c>
      <c r="B2054" t="s">
        <v>8</v>
      </c>
      <c r="C2054" t="s">
        <v>38</v>
      </c>
      <c r="D2054">
        <v>8619</v>
      </c>
      <c r="E2054">
        <v>82419</v>
      </c>
      <c r="F2054">
        <f t="shared" si="212"/>
        <v>9.5624782457361643</v>
      </c>
      <c r="G2054">
        <f t="shared" si="213"/>
        <v>433.75401322659241</v>
      </c>
      <c r="H2054">
        <v>975.70833333333337</v>
      </c>
      <c r="I2054" t="s">
        <v>38</v>
      </c>
      <c r="J2054">
        <f t="shared" si="215"/>
        <v>21.51032480893592</v>
      </c>
      <c r="K2054">
        <v>9418.5442176000015</v>
      </c>
    </row>
    <row r="2055" spans="1:11" x14ac:dyDescent="0.35">
      <c r="A2055" s="1">
        <v>41671</v>
      </c>
      <c r="B2055" t="s">
        <v>8</v>
      </c>
      <c r="C2055" t="s">
        <v>38</v>
      </c>
      <c r="D2055">
        <v>6678</v>
      </c>
      <c r="E2055">
        <v>70376</v>
      </c>
      <c r="F2055">
        <f t="shared" si="212"/>
        <v>10.538484576220425</v>
      </c>
      <c r="G2055">
        <f t="shared" si="213"/>
        <v>478.02566037735846</v>
      </c>
      <c r="H2055">
        <v>1023.3194444444445</v>
      </c>
      <c r="I2055" t="s">
        <v>38</v>
      </c>
      <c r="J2055">
        <f t="shared" si="215"/>
        <v>22.559952478933962</v>
      </c>
      <c r="K2055">
        <v>9418.5442176000015</v>
      </c>
    </row>
    <row r="2056" spans="1:11" x14ac:dyDescent="0.35">
      <c r="A2056" s="1">
        <v>41699</v>
      </c>
      <c r="B2056" t="s">
        <v>8</v>
      </c>
      <c r="C2056" t="s">
        <v>38</v>
      </c>
      <c r="D2056">
        <v>5152</v>
      </c>
      <c r="E2056">
        <v>47084</v>
      </c>
      <c r="F2056">
        <f t="shared" si="212"/>
        <v>9.1389751552795033</v>
      </c>
      <c r="G2056">
        <f t="shared" si="213"/>
        <v>414.54391304347826</v>
      </c>
      <c r="H2056">
        <v>892.01333333333332</v>
      </c>
      <c r="I2056" t="s">
        <v>38</v>
      </c>
      <c r="J2056">
        <f t="shared" si="215"/>
        <v>19.66519694297472</v>
      </c>
      <c r="K2056">
        <v>9418.5442176000015</v>
      </c>
    </row>
    <row r="2057" spans="1:11" x14ac:dyDescent="0.35">
      <c r="A2057" s="1">
        <v>41730</v>
      </c>
      <c r="B2057" t="s">
        <v>8</v>
      </c>
      <c r="C2057" t="s">
        <v>38</v>
      </c>
      <c r="D2057">
        <v>4715</v>
      </c>
      <c r="E2057">
        <v>43249</v>
      </c>
      <c r="F2057">
        <f t="shared" si="212"/>
        <v>9.1726405090137852</v>
      </c>
      <c r="G2057">
        <f t="shared" si="213"/>
        <v>416.07097348886532</v>
      </c>
      <c r="H2057">
        <v>1003.2083333333334</v>
      </c>
      <c r="I2057" t="s">
        <v>38</v>
      </c>
      <c r="J2057">
        <f t="shared" si="215"/>
        <v>22.11658583186361</v>
      </c>
      <c r="K2057">
        <v>9418.5442176000015</v>
      </c>
    </row>
    <row r="2058" spans="1:11" x14ac:dyDescent="0.35">
      <c r="A2058" s="1">
        <v>41760</v>
      </c>
      <c r="B2058" t="s">
        <v>8</v>
      </c>
      <c r="C2058" t="s">
        <v>38</v>
      </c>
      <c r="D2058">
        <v>3655</v>
      </c>
      <c r="E2058">
        <v>33245</v>
      </c>
      <c r="F2058">
        <f t="shared" si="212"/>
        <v>9.0957592339261293</v>
      </c>
      <c r="G2058">
        <f t="shared" si="213"/>
        <v>412.5836388508892</v>
      </c>
      <c r="H2058">
        <v>912</v>
      </c>
      <c r="I2058" t="s">
        <v>38</v>
      </c>
      <c r="J2058">
        <f t="shared" si="215"/>
        <v>20.105820105820108</v>
      </c>
      <c r="K2058">
        <v>9418.5442176000015</v>
      </c>
    </row>
    <row r="2059" spans="1:11" x14ac:dyDescent="0.35">
      <c r="A2059" s="1">
        <v>41791</v>
      </c>
      <c r="B2059" t="s">
        <v>8</v>
      </c>
      <c r="C2059" t="s">
        <v>38</v>
      </c>
      <c r="D2059">
        <v>4987</v>
      </c>
      <c r="E2059">
        <v>39897</v>
      </c>
      <c r="F2059">
        <f t="shared" si="212"/>
        <v>8.0002005213555236</v>
      </c>
      <c r="G2059">
        <f t="shared" si="213"/>
        <v>362.88909564868652</v>
      </c>
      <c r="H2059">
        <v>934.36666666666656</v>
      </c>
      <c r="I2059" t="s">
        <v>38</v>
      </c>
      <c r="J2059">
        <f t="shared" si="215"/>
        <v>20.598912404467956</v>
      </c>
      <c r="K2059">
        <v>9418.5442176000015</v>
      </c>
    </row>
    <row r="2060" spans="1:11" x14ac:dyDescent="0.35">
      <c r="A2060" s="1">
        <v>41821</v>
      </c>
      <c r="B2060" t="s">
        <v>8</v>
      </c>
      <c r="C2060" t="s">
        <v>38</v>
      </c>
      <c r="D2060">
        <v>4092</v>
      </c>
      <c r="E2060">
        <v>31466</v>
      </c>
      <c r="F2060">
        <f t="shared" si="212"/>
        <v>7.6896383186705766</v>
      </c>
      <c r="G2060">
        <f t="shared" si="213"/>
        <v>348.80199413489737</v>
      </c>
      <c r="H2060">
        <v>879</v>
      </c>
      <c r="I2060" t="s">
        <v>38</v>
      </c>
      <c r="J2060">
        <f t="shared" si="215"/>
        <v>19.37830687830688</v>
      </c>
      <c r="K2060">
        <v>9418.5442176000015</v>
      </c>
    </row>
    <row r="2061" spans="1:11" x14ac:dyDescent="0.35">
      <c r="A2061" s="1">
        <v>41852</v>
      </c>
      <c r="B2061" t="s">
        <v>8</v>
      </c>
      <c r="C2061" t="s">
        <v>38</v>
      </c>
      <c r="D2061">
        <v>5279</v>
      </c>
      <c r="E2061">
        <v>39261</v>
      </c>
      <c r="F2061">
        <f t="shared" si="212"/>
        <v>7.4372040159121049</v>
      </c>
      <c r="G2061">
        <f t="shared" si="213"/>
        <v>337.3515741617731</v>
      </c>
      <c r="H2061">
        <v>957.91666666666663</v>
      </c>
      <c r="I2061" t="s">
        <v>38</v>
      </c>
      <c r="J2061">
        <f t="shared" si="215"/>
        <v>21.118092298647852</v>
      </c>
      <c r="K2061">
        <v>9418.5442176000015</v>
      </c>
    </row>
    <row r="2062" spans="1:11" x14ac:dyDescent="0.35">
      <c r="A2062" s="1">
        <v>41883</v>
      </c>
      <c r="B2062" t="s">
        <v>8</v>
      </c>
      <c r="C2062" t="s">
        <v>38</v>
      </c>
      <c r="D2062">
        <v>2431</v>
      </c>
      <c r="E2062">
        <v>29194</v>
      </c>
      <c r="F2062">
        <f t="shared" si="212"/>
        <v>12.009049773755656</v>
      </c>
      <c r="G2062">
        <f t="shared" si="213"/>
        <v>544.73049773755656</v>
      </c>
      <c r="H2062">
        <v>1019.75</v>
      </c>
      <c r="I2062" t="s">
        <v>38</v>
      </c>
      <c r="J2062">
        <f t="shared" si="215"/>
        <v>22.48126102292769</v>
      </c>
      <c r="K2062">
        <v>9418.5442176000015</v>
      </c>
    </row>
    <row r="2063" spans="1:11" x14ac:dyDescent="0.35">
      <c r="A2063" s="1">
        <v>41913</v>
      </c>
      <c r="B2063" t="s">
        <v>8</v>
      </c>
      <c r="C2063" t="s">
        <v>38</v>
      </c>
      <c r="D2063">
        <v>2768</v>
      </c>
      <c r="E2063">
        <v>23069</v>
      </c>
      <c r="F2063">
        <f t="shared" si="212"/>
        <v>8.3341763005780347</v>
      </c>
      <c r="G2063">
        <f t="shared" si="213"/>
        <v>378.03823699421963</v>
      </c>
      <c r="H2063">
        <v>1270.3125</v>
      </c>
      <c r="I2063" t="s">
        <v>38</v>
      </c>
      <c r="J2063">
        <f t="shared" si="215"/>
        <v>28.005125661375661</v>
      </c>
      <c r="K2063">
        <v>9418.5442176000015</v>
      </c>
    </row>
    <row r="2064" spans="1:11" x14ac:dyDescent="0.35">
      <c r="A2064" s="1">
        <v>41944</v>
      </c>
      <c r="B2064" t="s">
        <v>8</v>
      </c>
      <c r="C2064" t="s">
        <v>38</v>
      </c>
      <c r="D2064">
        <v>6987</v>
      </c>
      <c r="E2064">
        <v>55212</v>
      </c>
      <c r="F2064">
        <f t="shared" si="212"/>
        <v>7.9021039072563335</v>
      </c>
      <c r="G2064">
        <f t="shared" si="213"/>
        <v>358.43943323314727</v>
      </c>
      <c r="H2064">
        <v>1261.6666666666667</v>
      </c>
      <c r="I2064" t="s">
        <v>38</v>
      </c>
      <c r="J2064">
        <f t="shared" si="215"/>
        <v>27.814520870076429</v>
      </c>
      <c r="K2064">
        <v>9418.5442176000015</v>
      </c>
    </row>
    <row r="2065" spans="1:11" x14ac:dyDescent="0.35">
      <c r="A2065" s="1">
        <v>41974</v>
      </c>
      <c r="B2065" t="s">
        <v>8</v>
      </c>
      <c r="C2065" t="s">
        <v>38</v>
      </c>
      <c r="D2065">
        <v>6844</v>
      </c>
      <c r="E2065">
        <v>60662.000000000007</v>
      </c>
      <c r="F2065">
        <f t="shared" si="212"/>
        <v>8.8635300993571029</v>
      </c>
      <c r="G2065">
        <f t="shared" si="213"/>
        <v>402.04972530683818</v>
      </c>
      <c r="H2065">
        <v>1045.25</v>
      </c>
      <c r="I2065" t="s">
        <v>38</v>
      </c>
      <c r="J2065">
        <f t="shared" si="215"/>
        <v>23.043430335097003</v>
      </c>
      <c r="K2065">
        <v>9418.5442176000015</v>
      </c>
    </row>
    <row r="2066" spans="1:11" x14ac:dyDescent="0.35">
      <c r="A2066" s="1">
        <v>41640</v>
      </c>
      <c r="B2066" t="s">
        <v>9</v>
      </c>
      <c r="C2066" t="s">
        <v>38</v>
      </c>
      <c r="D2066">
        <v>3041</v>
      </c>
      <c r="E2066">
        <v>127562</v>
      </c>
      <c r="F2066">
        <f t="shared" si="212"/>
        <v>41.947385728378826</v>
      </c>
      <c r="G2066">
        <f t="shared" si="213"/>
        <v>1902.7334166392636</v>
      </c>
      <c r="H2066">
        <v>990.56520000000012</v>
      </c>
      <c r="I2066" t="s">
        <v>38</v>
      </c>
      <c r="J2066">
        <f t="shared" si="215"/>
        <v>21.837857142857146</v>
      </c>
      <c r="K2066">
        <v>26184.169346685889</v>
      </c>
    </row>
    <row r="2067" spans="1:11" x14ac:dyDescent="0.35">
      <c r="A2067" s="1">
        <v>41671</v>
      </c>
      <c r="B2067" t="s">
        <v>9</v>
      </c>
      <c r="C2067" t="s">
        <v>38</v>
      </c>
      <c r="D2067">
        <v>3773</v>
      </c>
      <c r="E2067">
        <v>146220</v>
      </c>
      <c r="F2067">
        <f t="shared" si="212"/>
        <v>38.754306917572222</v>
      </c>
      <c r="G2067">
        <f t="shared" si="213"/>
        <v>1757.895361781076</v>
      </c>
      <c r="H2067">
        <v>901.3125</v>
      </c>
      <c r="I2067" t="s">
        <v>38</v>
      </c>
      <c r="J2067">
        <f t="shared" si="215"/>
        <v>19.870205026455025</v>
      </c>
      <c r="K2067">
        <v>26184.169346685889</v>
      </c>
    </row>
    <row r="2068" spans="1:11" x14ac:dyDescent="0.35">
      <c r="A2068" s="1">
        <v>41699</v>
      </c>
      <c r="B2068" t="s">
        <v>9</v>
      </c>
      <c r="C2068" t="s">
        <v>38</v>
      </c>
      <c r="D2068">
        <v>3409</v>
      </c>
      <c r="E2068">
        <v>117300</v>
      </c>
      <c r="F2068">
        <f t="shared" si="212"/>
        <v>34.408917571135227</v>
      </c>
      <c r="G2068">
        <f t="shared" si="213"/>
        <v>1560.7885010266939</v>
      </c>
      <c r="H2068">
        <v>793.8508888888889</v>
      </c>
      <c r="I2068" t="s">
        <v>38</v>
      </c>
      <c r="J2068">
        <f t="shared" si="215"/>
        <v>17.501121889084853</v>
      </c>
      <c r="K2068">
        <v>26184.169346685889</v>
      </c>
    </row>
    <row r="2069" spans="1:11" x14ac:dyDescent="0.35">
      <c r="A2069" s="1">
        <v>41730</v>
      </c>
      <c r="B2069" t="s">
        <v>9</v>
      </c>
      <c r="C2069" t="s">
        <v>38</v>
      </c>
      <c r="D2069">
        <v>4057</v>
      </c>
      <c r="E2069">
        <v>156780</v>
      </c>
      <c r="F2069">
        <f t="shared" si="212"/>
        <v>38.644318461917671</v>
      </c>
      <c r="G2069">
        <f t="shared" si="213"/>
        <v>1752.9062854325855</v>
      </c>
      <c r="H2069">
        <v>682.65</v>
      </c>
      <c r="I2069" t="s">
        <v>38</v>
      </c>
      <c r="J2069">
        <f t="shared" si="215"/>
        <v>15.049603174603174</v>
      </c>
      <c r="K2069">
        <v>26184.169346685889</v>
      </c>
    </row>
    <row r="2070" spans="1:11" x14ac:dyDescent="0.35">
      <c r="A2070" s="1">
        <v>41760</v>
      </c>
      <c r="B2070" t="s">
        <v>9</v>
      </c>
      <c r="C2070" t="s">
        <v>38</v>
      </c>
      <c r="D2070">
        <v>4287</v>
      </c>
      <c r="E2070">
        <v>168200</v>
      </c>
      <c r="F2070">
        <f t="shared" si="212"/>
        <v>39.234896197807323</v>
      </c>
      <c r="G2070">
        <f t="shared" si="213"/>
        <v>1779.6948915325402</v>
      </c>
      <c r="H2070">
        <v>574</v>
      </c>
      <c r="I2070" t="s">
        <v>38</v>
      </c>
      <c r="J2070">
        <f t="shared" si="215"/>
        <v>12.654320987654321</v>
      </c>
      <c r="K2070">
        <v>26184.169346685889</v>
      </c>
    </row>
    <row r="2071" spans="1:11" x14ac:dyDescent="0.35">
      <c r="A2071" s="1">
        <v>41791</v>
      </c>
      <c r="B2071" t="s">
        <v>9</v>
      </c>
      <c r="C2071" t="s">
        <v>38</v>
      </c>
      <c r="D2071">
        <v>3411</v>
      </c>
      <c r="E2071">
        <v>129890</v>
      </c>
      <c r="F2071">
        <f t="shared" si="212"/>
        <v>38.079742011140425</v>
      </c>
      <c r="G2071">
        <f t="shared" si="213"/>
        <v>1727.2970976253296</v>
      </c>
      <c r="H2071">
        <v>787.5</v>
      </c>
      <c r="I2071" t="s">
        <v>38</v>
      </c>
      <c r="J2071">
        <f t="shared" si="215"/>
        <v>17.361111111111111</v>
      </c>
      <c r="K2071">
        <v>26184.169346685889</v>
      </c>
    </row>
    <row r="2072" spans="1:11" x14ac:dyDescent="0.35">
      <c r="A2072" s="1">
        <v>41821</v>
      </c>
      <c r="B2072" t="s">
        <v>9</v>
      </c>
      <c r="C2072" t="s">
        <v>38</v>
      </c>
      <c r="D2072">
        <v>1641</v>
      </c>
      <c r="E2072">
        <v>84546</v>
      </c>
      <c r="F2072">
        <f t="shared" si="212"/>
        <v>51.521023765996347</v>
      </c>
      <c r="G2072">
        <f t="shared" si="213"/>
        <v>2336.9936380255945</v>
      </c>
      <c r="H2072">
        <v>887.5</v>
      </c>
      <c r="I2072" t="s">
        <v>38</v>
      </c>
      <c r="J2072">
        <f t="shared" si="215"/>
        <v>19.565696649029981</v>
      </c>
      <c r="K2072">
        <v>26184.169346685889</v>
      </c>
    </row>
    <row r="2073" spans="1:11" x14ac:dyDescent="0.35">
      <c r="A2073" s="1">
        <v>41852</v>
      </c>
      <c r="B2073" t="s">
        <v>9</v>
      </c>
      <c r="C2073" t="s">
        <v>38</v>
      </c>
      <c r="D2073">
        <v>2479</v>
      </c>
      <c r="E2073">
        <v>100560</v>
      </c>
      <c r="F2073">
        <f t="shared" si="212"/>
        <v>40.564743848325939</v>
      </c>
      <c r="G2073">
        <f t="shared" si="213"/>
        <v>1840.0167809600646</v>
      </c>
      <c r="H2073">
        <v>931.05666666666673</v>
      </c>
      <c r="I2073" t="s">
        <v>38</v>
      </c>
      <c r="J2073">
        <f t="shared" si="215"/>
        <v>20.525940623162846</v>
      </c>
      <c r="K2073">
        <v>26184.169346685889</v>
      </c>
    </row>
    <row r="2074" spans="1:11" x14ac:dyDescent="0.35">
      <c r="A2074" s="1">
        <v>41883</v>
      </c>
      <c r="B2074" t="s">
        <v>9</v>
      </c>
      <c r="C2074" t="s">
        <v>38</v>
      </c>
      <c r="D2074">
        <v>3719</v>
      </c>
      <c r="E2074">
        <v>138620</v>
      </c>
      <c r="F2074">
        <f t="shared" si="212"/>
        <v>37.273460607690239</v>
      </c>
      <c r="G2074">
        <f t="shared" si="213"/>
        <v>1690.7241731648292</v>
      </c>
      <c r="H2074">
        <v>983.33333333333337</v>
      </c>
      <c r="I2074" t="s">
        <v>38</v>
      </c>
      <c r="J2074">
        <f t="shared" si="215"/>
        <v>21.678424456202237</v>
      </c>
      <c r="K2074">
        <v>26184.169346685889</v>
      </c>
    </row>
    <row r="2075" spans="1:11" x14ac:dyDescent="0.35">
      <c r="A2075" s="1">
        <v>41913</v>
      </c>
      <c r="B2075" t="s">
        <v>9</v>
      </c>
      <c r="C2075" t="s">
        <v>38</v>
      </c>
      <c r="D2075">
        <v>3463</v>
      </c>
      <c r="E2075">
        <v>105980</v>
      </c>
      <c r="F2075">
        <f t="shared" si="212"/>
        <v>30.603522956973723</v>
      </c>
      <c r="G2075">
        <f t="shared" si="213"/>
        <v>1388.1758013283281</v>
      </c>
      <c r="H2075">
        <v>862.5</v>
      </c>
      <c r="I2075" t="s">
        <v>38</v>
      </c>
      <c r="J2075">
        <f t="shared" si="215"/>
        <v>19.014550264550266</v>
      </c>
      <c r="K2075">
        <v>26184.169346685889</v>
      </c>
    </row>
    <row r="2076" spans="1:11" x14ac:dyDescent="0.35">
      <c r="A2076" s="1">
        <v>41944</v>
      </c>
      <c r="B2076" t="s">
        <v>9</v>
      </c>
      <c r="C2076" t="s">
        <v>38</v>
      </c>
      <c r="D2076">
        <v>4020.9999999999995</v>
      </c>
      <c r="E2076">
        <v>111206.99999999999</v>
      </c>
      <c r="F2076">
        <f t="shared" si="212"/>
        <v>27.656553096244714</v>
      </c>
      <c r="G2076">
        <f t="shared" si="213"/>
        <v>1254.5012484456602</v>
      </c>
      <c r="H2076">
        <v>935</v>
      </c>
      <c r="I2076" t="s">
        <v>38</v>
      </c>
      <c r="J2076">
        <f t="shared" si="215"/>
        <v>20.612874779541446</v>
      </c>
      <c r="K2076">
        <v>26184.169346685889</v>
      </c>
    </row>
    <row r="2077" spans="1:11" x14ac:dyDescent="0.35">
      <c r="A2077" s="1">
        <v>41974</v>
      </c>
      <c r="B2077" t="s">
        <v>9</v>
      </c>
      <c r="C2077" t="s">
        <v>38</v>
      </c>
      <c r="D2077">
        <v>2706</v>
      </c>
      <c r="E2077">
        <v>94514.999999999985</v>
      </c>
      <c r="F2077">
        <f t="shared" si="212"/>
        <v>34.927937915742788</v>
      </c>
      <c r="G2077">
        <f t="shared" si="213"/>
        <v>1584.3312638580928</v>
      </c>
      <c r="H2077">
        <v>825</v>
      </c>
      <c r="I2077" t="s">
        <v>38</v>
      </c>
      <c r="J2077">
        <f t="shared" si="215"/>
        <v>18.187830687830687</v>
      </c>
      <c r="K2077">
        <v>26184.169346685889</v>
      </c>
    </row>
    <row r="2078" spans="1:11" x14ac:dyDescent="0.35">
      <c r="A2078" s="1">
        <v>41640</v>
      </c>
      <c r="B2078" t="s">
        <v>10</v>
      </c>
      <c r="C2078" t="s">
        <v>38</v>
      </c>
      <c r="D2078">
        <v>5858</v>
      </c>
      <c r="E2078">
        <v>83448</v>
      </c>
      <c r="F2078">
        <f t="shared" si="212"/>
        <v>14.245134858313417</v>
      </c>
      <c r="G2078">
        <f t="shared" si="213"/>
        <v>646.15931717309661</v>
      </c>
      <c r="H2078">
        <v>1431.4285714285713</v>
      </c>
      <c r="I2078" t="s">
        <v>38</v>
      </c>
      <c r="J2078">
        <f t="shared" si="215"/>
        <v>31.557067271352985</v>
      </c>
      <c r="K2078">
        <v>9105.9886041600002</v>
      </c>
    </row>
    <row r="2079" spans="1:11" x14ac:dyDescent="0.35">
      <c r="A2079" s="1">
        <v>41671</v>
      </c>
      <c r="B2079" t="s">
        <v>10</v>
      </c>
      <c r="C2079" t="s">
        <v>38</v>
      </c>
      <c r="D2079">
        <v>8146</v>
      </c>
      <c r="E2079">
        <v>62546</v>
      </c>
      <c r="F2079">
        <f t="shared" si="212"/>
        <v>7.6781242327522712</v>
      </c>
      <c r="G2079">
        <f t="shared" si="213"/>
        <v>348.27971519764304</v>
      </c>
      <c r="H2079">
        <v>1385</v>
      </c>
      <c r="I2079" t="s">
        <v>38</v>
      </c>
      <c r="J2079">
        <f t="shared" si="215"/>
        <v>30.533509700176367</v>
      </c>
      <c r="K2079">
        <v>9105.9886041600002</v>
      </c>
    </row>
    <row r="2080" spans="1:11" x14ac:dyDescent="0.35">
      <c r="A2080" s="1">
        <v>41699</v>
      </c>
      <c r="B2080" t="s">
        <v>10</v>
      </c>
      <c r="C2080" t="s">
        <v>38</v>
      </c>
      <c r="D2080">
        <v>5480</v>
      </c>
      <c r="E2080">
        <v>45319</v>
      </c>
      <c r="F2080">
        <f t="shared" si="212"/>
        <v>8.2698905109489047</v>
      </c>
      <c r="G2080">
        <f t="shared" si="213"/>
        <v>375.12223357664232</v>
      </c>
      <c r="H2080">
        <v>1232.6151600000001</v>
      </c>
      <c r="I2080" t="s">
        <v>38</v>
      </c>
      <c r="J2080">
        <f t="shared" si="215"/>
        <v>27.174055555555558</v>
      </c>
      <c r="K2080">
        <v>9105.9886041600002</v>
      </c>
    </row>
    <row r="2081" spans="1:11" x14ac:dyDescent="0.35">
      <c r="A2081" s="1">
        <v>41730</v>
      </c>
      <c r="B2081" t="s">
        <v>10</v>
      </c>
      <c r="C2081" t="s">
        <v>38</v>
      </c>
      <c r="D2081">
        <v>6251</v>
      </c>
      <c r="E2081">
        <v>65210</v>
      </c>
      <c r="F2081">
        <f t="shared" si="212"/>
        <v>10.43193089105743</v>
      </c>
      <c r="G2081">
        <f t="shared" si="213"/>
        <v>473.19238521836502</v>
      </c>
      <c r="H2081">
        <v>1428</v>
      </c>
      <c r="I2081" t="s">
        <v>38</v>
      </c>
      <c r="J2081">
        <f t="shared" si="215"/>
        <v>31.481481481481481</v>
      </c>
      <c r="K2081">
        <v>9105.9886041600002</v>
      </c>
    </row>
    <row r="2082" spans="1:11" x14ac:dyDescent="0.35">
      <c r="A2082" s="1">
        <v>41760</v>
      </c>
      <c r="B2082" t="s">
        <v>10</v>
      </c>
      <c r="C2082" t="s">
        <v>38</v>
      </c>
      <c r="D2082">
        <v>4960</v>
      </c>
      <c r="E2082">
        <v>35824</v>
      </c>
      <c r="F2082">
        <f t="shared" ref="F2082:F2145" si="216">E2082/D2082</f>
        <v>7.2225806451612904</v>
      </c>
      <c r="G2082">
        <f t="shared" si="213"/>
        <v>327.6162580645161</v>
      </c>
      <c r="H2082">
        <v>1356</v>
      </c>
      <c r="I2082" t="s">
        <v>38</v>
      </c>
      <c r="J2082">
        <f t="shared" si="215"/>
        <v>29.894179894179896</v>
      </c>
      <c r="K2082">
        <v>9105.9886041600002</v>
      </c>
    </row>
    <row r="2083" spans="1:11" x14ac:dyDescent="0.35">
      <c r="A2083" s="1">
        <v>41791</v>
      </c>
      <c r="B2083" t="s">
        <v>10</v>
      </c>
      <c r="C2083" t="s">
        <v>38</v>
      </c>
      <c r="D2083">
        <v>7854</v>
      </c>
      <c r="E2083">
        <v>59874</v>
      </c>
      <c r="F2083">
        <f t="shared" si="216"/>
        <v>7.6233766233766236</v>
      </c>
      <c r="G2083">
        <f t="shared" ref="G2083:G2125" si="217">F2083*45.36</f>
        <v>345.79636363636365</v>
      </c>
      <c r="H2083">
        <v>1365.7142857142858</v>
      </c>
      <c r="I2083" t="s">
        <v>38</v>
      </c>
      <c r="J2083">
        <f t="shared" si="215"/>
        <v>30.108339632149157</v>
      </c>
      <c r="K2083">
        <v>9105.9886041600002</v>
      </c>
    </row>
    <row r="2084" spans="1:11" x14ac:dyDescent="0.35">
      <c r="A2084" s="1">
        <v>41821</v>
      </c>
      <c r="B2084" t="s">
        <v>10</v>
      </c>
      <c r="C2084" t="s">
        <v>38</v>
      </c>
      <c r="D2084">
        <v>3887</v>
      </c>
      <c r="E2084">
        <v>29673</v>
      </c>
      <c r="F2084">
        <f t="shared" si="216"/>
        <v>7.6339078981219446</v>
      </c>
      <c r="G2084">
        <f t="shared" si="217"/>
        <v>346.2740622588114</v>
      </c>
      <c r="H2084">
        <v>1335.2083333333333</v>
      </c>
      <c r="I2084" t="s">
        <v>38</v>
      </c>
      <c r="J2084">
        <f t="shared" si="215"/>
        <v>29.435809817754262</v>
      </c>
      <c r="K2084">
        <v>9105.9886041600002</v>
      </c>
    </row>
    <row r="2085" spans="1:11" x14ac:dyDescent="0.35">
      <c r="A2085" s="1">
        <v>41852</v>
      </c>
      <c r="B2085" t="s">
        <v>10</v>
      </c>
      <c r="C2085" t="s">
        <v>38</v>
      </c>
      <c r="D2085">
        <v>4875</v>
      </c>
      <c r="E2085">
        <v>50810</v>
      </c>
      <c r="F2085">
        <f t="shared" si="216"/>
        <v>10.422564102564102</v>
      </c>
      <c r="G2085">
        <f t="shared" si="217"/>
        <v>472.76750769230767</v>
      </c>
      <c r="H2085">
        <v>1403.19</v>
      </c>
      <c r="I2085" t="s">
        <v>38</v>
      </c>
      <c r="J2085">
        <f t="shared" si="215"/>
        <v>30.93452380952381</v>
      </c>
      <c r="K2085">
        <v>9105.9886041600002</v>
      </c>
    </row>
    <row r="2086" spans="1:11" x14ac:dyDescent="0.35">
      <c r="A2086" s="1">
        <v>41883</v>
      </c>
      <c r="B2086" t="s">
        <v>10</v>
      </c>
      <c r="C2086" t="s">
        <v>38</v>
      </c>
      <c r="D2086">
        <v>4184</v>
      </c>
      <c r="E2086">
        <v>32373</v>
      </c>
      <c r="F2086">
        <f t="shared" si="216"/>
        <v>7.737332695984704</v>
      </c>
      <c r="G2086">
        <f t="shared" si="217"/>
        <v>350.96541108986617</v>
      </c>
      <c r="H2086">
        <v>1407.9444444444446</v>
      </c>
      <c r="I2086" t="s">
        <v>38</v>
      </c>
      <c r="J2086">
        <f t="shared" si="215"/>
        <v>31.039339604154421</v>
      </c>
      <c r="K2086">
        <v>9105.9886041600002</v>
      </c>
    </row>
    <row r="2087" spans="1:11" x14ac:dyDescent="0.35">
      <c r="A2087" s="1">
        <v>41913</v>
      </c>
      <c r="B2087" t="s">
        <v>10</v>
      </c>
      <c r="C2087" t="s">
        <v>38</v>
      </c>
      <c r="D2087">
        <v>5210</v>
      </c>
      <c r="E2087">
        <v>38359</v>
      </c>
      <c r="F2087">
        <f t="shared" si="216"/>
        <v>7.3625719769673701</v>
      </c>
      <c r="G2087">
        <f t="shared" si="217"/>
        <v>333.96626487523991</v>
      </c>
      <c r="H2087">
        <v>1553.2142857142858</v>
      </c>
      <c r="I2087" t="s">
        <v>38</v>
      </c>
      <c r="J2087">
        <f t="shared" si="215"/>
        <v>34.24193751574704</v>
      </c>
      <c r="K2087">
        <v>9105.9886041600002</v>
      </c>
    </row>
    <row r="2088" spans="1:11" x14ac:dyDescent="0.35">
      <c r="A2088" s="1">
        <v>41944</v>
      </c>
      <c r="B2088" t="s">
        <v>10</v>
      </c>
      <c r="C2088" t="s">
        <v>38</v>
      </c>
      <c r="D2088">
        <v>6999.0000000000009</v>
      </c>
      <c r="E2088">
        <v>60580</v>
      </c>
      <c r="F2088">
        <f t="shared" si="216"/>
        <v>8.6555222174596356</v>
      </c>
      <c r="G2088">
        <f t="shared" si="217"/>
        <v>392.61448778396908</v>
      </c>
      <c r="H2088">
        <v>1376.5178571428571</v>
      </c>
      <c r="I2088" t="s">
        <v>38</v>
      </c>
      <c r="J2088">
        <f t="shared" si="215"/>
        <v>30.346513605442176</v>
      </c>
      <c r="K2088">
        <v>9105.9886041600002</v>
      </c>
    </row>
    <row r="2089" spans="1:11" x14ac:dyDescent="0.35">
      <c r="A2089" s="1">
        <v>41974</v>
      </c>
      <c r="B2089" t="s">
        <v>10</v>
      </c>
      <c r="C2089" t="s">
        <v>38</v>
      </c>
      <c r="D2089">
        <v>8235</v>
      </c>
      <c r="E2089">
        <v>57249.000000000007</v>
      </c>
      <c r="F2089">
        <f t="shared" si="216"/>
        <v>6.9519125683060121</v>
      </c>
      <c r="G2089">
        <f t="shared" si="217"/>
        <v>315.33875409836071</v>
      </c>
      <c r="H2089">
        <v>1359.8112000000001</v>
      </c>
      <c r="I2089" t="s">
        <v>38</v>
      </c>
      <c r="J2089">
        <f t="shared" si="215"/>
        <v>29.978201058201062</v>
      </c>
      <c r="K2089">
        <v>9105.9886041600002</v>
      </c>
    </row>
    <row r="2090" spans="1:11" x14ac:dyDescent="0.35">
      <c r="A2090" s="1">
        <v>41640</v>
      </c>
      <c r="B2090" t="s">
        <v>11</v>
      </c>
      <c r="C2090" t="s">
        <v>38</v>
      </c>
      <c r="D2090">
        <v>32267</v>
      </c>
      <c r="E2090">
        <v>341293</v>
      </c>
      <c r="F2090">
        <f t="shared" si="216"/>
        <v>10.577153128583383</v>
      </c>
      <c r="G2090">
        <f t="shared" si="217"/>
        <v>479.77966591254227</v>
      </c>
      <c r="H2090">
        <v>336.49</v>
      </c>
      <c r="I2090" t="s">
        <v>38</v>
      </c>
      <c r="J2090">
        <f t="shared" si="215"/>
        <v>7.4182098765432105</v>
      </c>
      <c r="K2090">
        <v>4871.6687043187831</v>
      </c>
    </row>
    <row r="2091" spans="1:11" x14ac:dyDescent="0.35">
      <c r="A2091" s="1">
        <v>41671</v>
      </c>
      <c r="B2091" t="s">
        <v>11</v>
      </c>
      <c r="C2091" t="s">
        <v>38</v>
      </c>
      <c r="D2091">
        <v>59376</v>
      </c>
      <c r="E2091">
        <v>519059</v>
      </c>
      <c r="F2091">
        <f t="shared" si="216"/>
        <v>8.7418990838049044</v>
      </c>
      <c r="G2091">
        <f t="shared" si="217"/>
        <v>396.53254244139043</v>
      </c>
      <c r="H2091">
        <v>279.07154800000001</v>
      </c>
      <c r="I2091" t="s">
        <v>38</v>
      </c>
      <c r="J2091">
        <f t="shared" si="215"/>
        <v>6.1523709876543213</v>
      </c>
      <c r="K2091">
        <v>4871.6687043187831</v>
      </c>
    </row>
    <row r="2092" spans="1:11" x14ac:dyDescent="0.35">
      <c r="A2092" s="1">
        <v>41699</v>
      </c>
      <c r="B2092" t="s">
        <v>11</v>
      </c>
      <c r="C2092" t="s">
        <v>38</v>
      </c>
      <c r="D2092">
        <v>24252</v>
      </c>
      <c r="E2092">
        <v>283111</v>
      </c>
      <c r="F2092">
        <f t="shared" si="216"/>
        <v>11.673717631535544</v>
      </c>
      <c r="G2092">
        <f t="shared" si="217"/>
        <v>529.51983176645228</v>
      </c>
      <c r="H2092">
        <v>293.08500000000004</v>
      </c>
      <c r="I2092" t="s">
        <v>38</v>
      </c>
      <c r="J2092">
        <f t="shared" si="215"/>
        <v>6.4613095238095246</v>
      </c>
      <c r="K2092">
        <v>4871.6687043187831</v>
      </c>
    </row>
    <row r="2093" spans="1:11" x14ac:dyDescent="0.35">
      <c r="A2093" s="1">
        <v>41730</v>
      </c>
      <c r="B2093" t="s">
        <v>11</v>
      </c>
      <c r="C2093" t="s">
        <v>38</v>
      </c>
      <c r="D2093">
        <v>26926</v>
      </c>
      <c r="E2093">
        <v>296755</v>
      </c>
      <c r="F2093">
        <f t="shared" si="216"/>
        <v>11.021131991383793</v>
      </c>
      <c r="G2093">
        <f t="shared" si="217"/>
        <v>499.91854712916887</v>
      </c>
      <c r="H2093">
        <v>314.51488095238096</v>
      </c>
      <c r="I2093" t="s">
        <v>38</v>
      </c>
      <c r="J2093">
        <f t="shared" si="215"/>
        <v>6.9337495800789455</v>
      </c>
      <c r="K2093">
        <v>4871.6687043187831</v>
      </c>
    </row>
    <row r="2094" spans="1:11" x14ac:dyDescent="0.35">
      <c r="A2094" s="1">
        <v>41760</v>
      </c>
      <c r="B2094" t="s">
        <v>11</v>
      </c>
      <c r="C2094" t="s">
        <v>38</v>
      </c>
      <c r="D2094">
        <v>27945</v>
      </c>
      <c r="E2094">
        <v>312993</v>
      </c>
      <c r="F2094">
        <f t="shared" si="216"/>
        <v>11.200322061191626</v>
      </c>
      <c r="G2094">
        <f t="shared" si="217"/>
        <v>508.04660869565214</v>
      </c>
      <c r="H2094">
        <v>287.63335714285716</v>
      </c>
      <c r="I2094" t="s">
        <v>38</v>
      </c>
      <c r="J2094">
        <f t="shared" si="215"/>
        <v>6.3411233938019658</v>
      </c>
      <c r="K2094">
        <v>4871.6687043187831</v>
      </c>
    </row>
    <row r="2095" spans="1:11" x14ac:dyDescent="0.35">
      <c r="A2095" s="1">
        <v>41791</v>
      </c>
      <c r="B2095" t="s">
        <v>11</v>
      </c>
      <c r="C2095" t="s">
        <v>38</v>
      </c>
      <c r="D2095">
        <v>27071</v>
      </c>
      <c r="E2095">
        <v>304822</v>
      </c>
      <c r="F2095">
        <f t="shared" si="216"/>
        <v>11.260093827342914</v>
      </c>
      <c r="G2095">
        <f t="shared" si="217"/>
        <v>510.75785600827453</v>
      </c>
      <c r="H2095">
        <v>285.52782142857143</v>
      </c>
      <c r="I2095" t="s">
        <v>38</v>
      </c>
      <c r="J2095">
        <f t="shared" ref="J2095:J2114" si="218">H2095/45.36</f>
        <v>6.2947050579491055</v>
      </c>
      <c r="K2095">
        <v>4871.6687043187831</v>
      </c>
    </row>
    <row r="2096" spans="1:11" x14ac:dyDescent="0.35">
      <c r="A2096" s="1">
        <v>41821</v>
      </c>
      <c r="B2096" t="s">
        <v>11</v>
      </c>
      <c r="C2096" t="s">
        <v>38</v>
      </c>
      <c r="D2096">
        <v>22202</v>
      </c>
      <c r="E2096">
        <v>255155</v>
      </c>
      <c r="F2096">
        <f t="shared" si="216"/>
        <v>11.492433114133862</v>
      </c>
      <c r="G2096">
        <f t="shared" si="217"/>
        <v>521.29676605711199</v>
      </c>
      <c r="H2096">
        <v>287.93230555555556</v>
      </c>
      <c r="I2096" t="s">
        <v>38</v>
      </c>
      <c r="J2096">
        <f t="shared" si="218"/>
        <v>6.3477139672741529</v>
      </c>
      <c r="K2096">
        <v>4871.6687043187831</v>
      </c>
    </row>
    <row r="2097" spans="1:11" x14ac:dyDescent="0.35">
      <c r="A2097" s="1">
        <v>41852</v>
      </c>
      <c r="B2097" t="s">
        <v>11</v>
      </c>
      <c r="C2097" t="s">
        <v>38</v>
      </c>
      <c r="D2097">
        <v>29613</v>
      </c>
      <c r="E2097">
        <v>281822</v>
      </c>
      <c r="F2097">
        <f t="shared" si="216"/>
        <v>9.5168338229831502</v>
      </c>
      <c r="G2097">
        <f t="shared" si="217"/>
        <v>431.68358221051568</v>
      </c>
      <c r="H2097">
        <v>294.81074999999998</v>
      </c>
      <c r="I2097" t="s">
        <v>38</v>
      </c>
      <c r="J2097">
        <f t="shared" si="218"/>
        <v>6.4993551587301583</v>
      </c>
      <c r="K2097">
        <v>4871.6687043187831</v>
      </c>
    </row>
    <row r="2098" spans="1:11" x14ac:dyDescent="0.35">
      <c r="A2098" s="1">
        <v>41883</v>
      </c>
      <c r="B2098" t="s">
        <v>11</v>
      </c>
      <c r="C2098" t="s">
        <v>38</v>
      </c>
      <c r="D2098">
        <v>24674</v>
      </c>
      <c r="E2098">
        <v>281486</v>
      </c>
      <c r="F2098">
        <f t="shared" si="216"/>
        <v>11.408202966685581</v>
      </c>
      <c r="G2098">
        <f t="shared" si="217"/>
        <v>517.47608656885791</v>
      </c>
      <c r="H2098">
        <v>259.79102499999999</v>
      </c>
      <c r="I2098" t="s">
        <v>38</v>
      </c>
      <c r="J2098">
        <f t="shared" si="218"/>
        <v>5.7273153659611991</v>
      </c>
      <c r="K2098">
        <v>4871.6687043187831</v>
      </c>
    </row>
    <row r="2099" spans="1:11" x14ac:dyDescent="0.35">
      <c r="A2099" s="1">
        <v>41913</v>
      </c>
      <c r="B2099" t="s">
        <v>11</v>
      </c>
      <c r="C2099" t="s">
        <v>38</v>
      </c>
      <c r="D2099">
        <v>21501</v>
      </c>
      <c r="E2099">
        <v>287932</v>
      </c>
      <c r="F2099">
        <f t="shared" si="216"/>
        <v>13.391563183107763</v>
      </c>
      <c r="G2099">
        <f t="shared" si="217"/>
        <v>607.44130598576817</v>
      </c>
      <c r="H2099">
        <v>261.79299340277782</v>
      </c>
      <c r="I2099" t="s">
        <v>38</v>
      </c>
      <c r="J2099">
        <f t="shared" si="218"/>
        <v>5.7714504718425443</v>
      </c>
      <c r="K2099">
        <v>4871.6687043187831</v>
      </c>
    </row>
    <row r="2100" spans="1:11" x14ac:dyDescent="0.35">
      <c r="A2100" s="1">
        <v>41944</v>
      </c>
      <c r="B2100" t="s">
        <v>11</v>
      </c>
      <c r="C2100" t="s">
        <v>38</v>
      </c>
      <c r="D2100">
        <v>46999</v>
      </c>
      <c r="E2100">
        <v>421722.99999999994</v>
      </c>
      <c r="F2100">
        <f t="shared" si="216"/>
        <v>8.9730207025681388</v>
      </c>
      <c r="G2100">
        <f t="shared" si="217"/>
        <v>407.01621906849078</v>
      </c>
      <c r="H2100">
        <v>242.33160000000004</v>
      </c>
      <c r="I2100" t="s">
        <v>38</v>
      </c>
      <c r="J2100">
        <f t="shared" si="218"/>
        <v>5.3424074074074079</v>
      </c>
      <c r="K2100">
        <v>4871.6687043187831</v>
      </c>
    </row>
    <row r="2101" spans="1:11" x14ac:dyDescent="0.35">
      <c r="A2101" s="1">
        <v>41974</v>
      </c>
      <c r="B2101" t="s">
        <v>11</v>
      </c>
      <c r="C2101" t="s">
        <v>38</v>
      </c>
      <c r="D2101">
        <v>29895</v>
      </c>
      <c r="E2101">
        <v>346242.00000000006</v>
      </c>
      <c r="F2101">
        <f t="shared" si="216"/>
        <v>11.581936778725542</v>
      </c>
      <c r="G2101">
        <f t="shared" si="217"/>
        <v>525.35665228299058</v>
      </c>
      <c r="H2101">
        <v>368.05119999999999</v>
      </c>
      <c r="I2101" t="s">
        <v>38</v>
      </c>
      <c r="J2101">
        <f t="shared" si="218"/>
        <v>8.1140035273368607</v>
      </c>
      <c r="K2101">
        <v>4871.6687043187831</v>
      </c>
    </row>
    <row r="2102" spans="1:11" x14ac:dyDescent="0.35">
      <c r="A2102" s="1">
        <v>41640</v>
      </c>
      <c r="B2102" t="s">
        <v>12</v>
      </c>
      <c r="C2102" t="s">
        <v>38</v>
      </c>
      <c r="D2102">
        <v>9192</v>
      </c>
      <c r="E2102">
        <v>72279</v>
      </c>
      <c r="F2102">
        <f t="shared" si="216"/>
        <v>7.863250652741514</v>
      </c>
      <c r="G2102">
        <f t="shared" si="217"/>
        <v>356.67704960835505</v>
      </c>
      <c r="H2102">
        <v>728.06944444444434</v>
      </c>
      <c r="I2102" t="s">
        <v>38</v>
      </c>
      <c r="J2102">
        <f t="shared" si="218"/>
        <v>16.05091367822849</v>
      </c>
      <c r="K2102">
        <v>2107.5566400000002</v>
      </c>
    </row>
    <row r="2103" spans="1:11" x14ac:dyDescent="0.35">
      <c r="A2103" s="1">
        <v>41671</v>
      </c>
      <c r="B2103" t="s">
        <v>12</v>
      </c>
      <c r="C2103" t="s">
        <v>38</v>
      </c>
      <c r="D2103">
        <v>12208</v>
      </c>
      <c r="E2103">
        <v>83039</v>
      </c>
      <c r="F2103">
        <f t="shared" si="216"/>
        <v>6.8020150720838792</v>
      </c>
      <c r="G2103">
        <f t="shared" si="217"/>
        <v>308.53940366972478</v>
      </c>
      <c r="H2103">
        <v>698.11279999999999</v>
      </c>
      <c r="I2103" t="s">
        <v>38</v>
      </c>
      <c r="J2103">
        <f t="shared" si="218"/>
        <v>15.390493827160494</v>
      </c>
      <c r="K2103">
        <v>2107.5566400000002</v>
      </c>
    </row>
    <row r="2104" spans="1:11" x14ac:dyDescent="0.35">
      <c r="A2104" s="1">
        <v>41699</v>
      </c>
      <c r="B2104" t="s">
        <v>12</v>
      </c>
      <c r="C2104" t="s">
        <v>38</v>
      </c>
      <c r="D2104">
        <v>12881</v>
      </c>
      <c r="E2104">
        <v>65808</v>
      </c>
      <c r="F2104">
        <f t="shared" si="216"/>
        <v>5.108920114897912</v>
      </c>
      <c r="G2104">
        <f t="shared" si="217"/>
        <v>231.74061641176928</v>
      </c>
      <c r="H2104">
        <v>728.59507200000007</v>
      </c>
      <c r="I2104" t="s">
        <v>38</v>
      </c>
      <c r="J2104">
        <f t="shared" si="218"/>
        <v>16.06250158730159</v>
      </c>
      <c r="K2104">
        <v>2107.5566400000002</v>
      </c>
    </row>
    <row r="2105" spans="1:11" x14ac:dyDescent="0.35">
      <c r="A2105" s="1">
        <v>41730</v>
      </c>
      <c r="B2105" t="s">
        <v>12</v>
      </c>
      <c r="C2105" t="s">
        <v>38</v>
      </c>
      <c r="D2105">
        <v>12985</v>
      </c>
      <c r="E2105">
        <v>75202</v>
      </c>
      <c r="F2105">
        <f t="shared" si="216"/>
        <v>5.7914516750096263</v>
      </c>
      <c r="G2105">
        <f t="shared" si="217"/>
        <v>262.70024797843666</v>
      </c>
      <c r="H2105">
        <v>918.06666666666661</v>
      </c>
      <c r="I2105" t="s">
        <v>38</v>
      </c>
      <c r="J2105">
        <f t="shared" si="218"/>
        <v>20.239564961787185</v>
      </c>
      <c r="K2105">
        <v>2107.5566400000002</v>
      </c>
    </row>
    <row r="2106" spans="1:11" x14ac:dyDescent="0.35">
      <c r="A2106" s="1">
        <v>41760</v>
      </c>
      <c r="B2106" t="s">
        <v>12</v>
      </c>
      <c r="C2106" t="s">
        <v>38</v>
      </c>
      <c r="D2106">
        <v>6585</v>
      </c>
      <c r="E2106">
        <v>43056</v>
      </c>
      <c r="F2106">
        <f t="shared" si="216"/>
        <v>6.538496583143508</v>
      </c>
      <c r="G2106">
        <f t="shared" si="217"/>
        <v>296.5862050113895</v>
      </c>
      <c r="H2106">
        <v>1004.8611111111112</v>
      </c>
      <c r="I2106" t="s">
        <v>38</v>
      </c>
      <c r="J2106">
        <f t="shared" si="218"/>
        <v>22.153022731726438</v>
      </c>
      <c r="K2106">
        <v>2107.5566400000002</v>
      </c>
    </row>
    <row r="2107" spans="1:11" x14ac:dyDescent="0.35">
      <c r="A2107" s="1">
        <v>41791</v>
      </c>
      <c r="B2107" t="s">
        <v>12</v>
      </c>
      <c r="C2107" t="s">
        <v>38</v>
      </c>
      <c r="D2107">
        <v>17584</v>
      </c>
      <c r="E2107">
        <v>90624</v>
      </c>
      <c r="F2107">
        <f t="shared" si="216"/>
        <v>5.1537761601455871</v>
      </c>
      <c r="G2107">
        <f t="shared" si="217"/>
        <v>233.77528662420383</v>
      </c>
      <c r="H2107">
        <v>862.22208333333344</v>
      </c>
      <c r="I2107" t="s">
        <v>38</v>
      </c>
      <c r="J2107">
        <f t="shared" si="218"/>
        <v>19.008423353909468</v>
      </c>
      <c r="K2107">
        <v>2107.5566400000002</v>
      </c>
    </row>
    <row r="2108" spans="1:11" x14ac:dyDescent="0.35">
      <c r="A2108" s="1">
        <v>41821</v>
      </c>
      <c r="B2108" t="s">
        <v>12</v>
      </c>
      <c r="C2108" t="s">
        <v>38</v>
      </c>
      <c r="D2108">
        <v>8273</v>
      </c>
      <c r="E2108">
        <v>56601</v>
      </c>
      <c r="F2108">
        <f t="shared" si="216"/>
        <v>6.8416535718602685</v>
      </c>
      <c r="G2108">
        <f t="shared" si="217"/>
        <v>310.33740601958175</v>
      </c>
      <c r="H2108">
        <v>852.77833333333331</v>
      </c>
      <c r="I2108" t="s">
        <v>38</v>
      </c>
      <c r="J2108">
        <f t="shared" si="218"/>
        <v>18.800227807172252</v>
      </c>
      <c r="K2108">
        <v>2107.5566400000002</v>
      </c>
    </row>
    <row r="2109" spans="1:11" x14ac:dyDescent="0.35">
      <c r="A2109" s="1">
        <v>41852</v>
      </c>
      <c r="B2109" t="s">
        <v>12</v>
      </c>
      <c r="C2109" t="s">
        <v>38</v>
      </c>
      <c r="D2109">
        <v>10644</v>
      </c>
      <c r="E2109">
        <v>66921</v>
      </c>
      <c r="F2109">
        <f t="shared" si="216"/>
        <v>6.2872040586245772</v>
      </c>
      <c r="G2109">
        <f t="shared" si="217"/>
        <v>285.18757609921084</v>
      </c>
      <c r="H2109">
        <v>834.3257142857143</v>
      </c>
      <c r="I2109" t="s">
        <v>38</v>
      </c>
      <c r="J2109">
        <f t="shared" si="218"/>
        <v>18.393424036281179</v>
      </c>
      <c r="K2109">
        <v>2107.5566400000002</v>
      </c>
    </row>
    <row r="2110" spans="1:11" x14ac:dyDescent="0.35">
      <c r="A2110" s="1">
        <v>41883</v>
      </c>
      <c r="B2110" t="s">
        <v>12</v>
      </c>
      <c r="C2110" t="s">
        <v>38</v>
      </c>
      <c r="D2110">
        <v>10410</v>
      </c>
      <c r="E2110">
        <v>63529</v>
      </c>
      <c r="F2110">
        <f t="shared" si="216"/>
        <v>6.1026897214217097</v>
      </c>
      <c r="G2110">
        <f t="shared" si="217"/>
        <v>276.81800576368875</v>
      </c>
      <c r="H2110">
        <v>845.52200000000016</v>
      </c>
      <c r="I2110" t="s">
        <v>38</v>
      </c>
      <c r="J2110">
        <f t="shared" si="218"/>
        <v>18.640255731922402</v>
      </c>
      <c r="K2110">
        <v>2107.5566400000002</v>
      </c>
    </row>
    <row r="2111" spans="1:11" x14ac:dyDescent="0.35">
      <c r="A2111" s="1">
        <v>41913</v>
      </c>
      <c r="B2111" t="s">
        <v>12</v>
      </c>
      <c r="C2111" t="s">
        <v>38</v>
      </c>
      <c r="D2111">
        <v>10784</v>
      </c>
      <c r="E2111">
        <v>64540</v>
      </c>
      <c r="F2111">
        <f t="shared" si="216"/>
        <v>5.9847922848664687</v>
      </c>
      <c r="G2111">
        <f t="shared" si="217"/>
        <v>271.47017804154302</v>
      </c>
      <c r="H2111">
        <v>789.28535714285704</v>
      </c>
      <c r="I2111" t="s">
        <v>38</v>
      </c>
      <c r="J2111">
        <f t="shared" si="218"/>
        <v>17.400470836482739</v>
      </c>
      <c r="K2111">
        <v>2107.5566400000002</v>
      </c>
    </row>
    <row r="2112" spans="1:11" x14ac:dyDescent="0.35">
      <c r="A2112" s="1">
        <v>41944</v>
      </c>
      <c r="B2112" t="s">
        <v>12</v>
      </c>
      <c r="C2112" t="s">
        <v>38</v>
      </c>
      <c r="D2112">
        <v>13014.000000000002</v>
      </c>
      <c r="E2112">
        <v>79270</v>
      </c>
      <c r="F2112">
        <f t="shared" si="216"/>
        <v>6.0911326264023353</v>
      </c>
      <c r="G2112">
        <f t="shared" si="217"/>
        <v>276.29377593360994</v>
      </c>
      <c r="H2112">
        <v>794.25</v>
      </c>
      <c r="I2112" t="s">
        <v>38</v>
      </c>
      <c r="J2112">
        <f t="shared" si="218"/>
        <v>17.509920634920636</v>
      </c>
      <c r="K2112">
        <v>2107.5566400000002</v>
      </c>
    </row>
    <row r="2113" spans="1:11" x14ac:dyDescent="0.35">
      <c r="A2113" s="1">
        <v>41974</v>
      </c>
      <c r="B2113" t="s">
        <v>12</v>
      </c>
      <c r="C2113" t="s">
        <v>38</v>
      </c>
      <c r="D2113">
        <v>14723</v>
      </c>
      <c r="E2113">
        <v>93175</v>
      </c>
      <c r="F2113">
        <f t="shared" si="216"/>
        <v>6.3285335869048431</v>
      </c>
      <c r="G2113">
        <f t="shared" si="217"/>
        <v>287.06228350200371</v>
      </c>
      <c r="H2113">
        <v>798.61055555555549</v>
      </c>
      <c r="I2113" t="s">
        <v>38</v>
      </c>
      <c r="J2113">
        <f t="shared" si="218"/>
        <v>17.606052812071329</v>
      </c>
      <c r="K2113">
        <v>2107.5566400000002</v>
      </c>
    </row>
    <row r="2114" spans="1:11" x14ac:dyDescent="0.35">
      <c r="A2114" s="1">
        <v>41640</v>
      </c>
      <c r="B2114" t="s">
        <v>13</v>
      </c>
      <c r="C2114" t="s">
        <v>38</v>
      </c>
      <c r="D2114">
        <v>2740</v>
      </c>
      <c r="E2114">
        <v>41415</v>
      </c>
      <c r="F2114">
        <f t="shared" si="216"/>
        <v>15.114963503649635</v>
      </c>
      <c r="G2114">
        <f t="shared" si="217"/>
        <v>685.61474452554739</v>
      </c>
      <c r="H2114">
        <v>678.65476190476181</v>
      </c>
      <c r="I2114" t="s">
        <v>38</v>
      </c>
      <c r="J2114">
        <f t="shared" si="218"/>
        <v>14.961524733350128</v>
      </c>
      <c r="K2114">
        <v>8288.2983415050003</v>
      </c>
    </row>
    <row r="2115" spans="1:11" x14ac:dyDescent="0.35">
      <c r="A2115" s="1">
        <v>41671</v>
      </c>
      <c r="B2115" t="s">
        <v>13</v>
      </c>
      <c r="C2115" t="s">
        <v>38</v>
      </c>
      <c r="D2115">
        <v>6415</v>
      </c>
      <c r="E2115">
        <v>42389</v>
      </c>
      <c r="F2115">
        <f t="shared" si="216"/>
        <v>6.6077942322681213</v>
      </c>
      <c r="G2115">
        <f t="shared" si="217"/>
        <v>299.72954637568199</v>
      </c>
      <c r="H2115">
        <v>641.25000000000011</v>
      </c>
      <c r="I2115" t="s">
        <v>38</v>
      </c>
      <c r="J2115">
        <f>H2115/45.36</f>
        <v>14.136904761904765</v>
      </c>
      <c r="K2115">
        <v>8288.2983415050003</v>
      </c>
    </row>
    <row r="2116" spans="1:11" x14ac:dyDescent="0.35">
      <c r="A2116" s="1">
        <v>41699</v>
      </c>
      <c r="B2116" t="s">
        <v>13</v>
      </c>
      <c r="C2116" t="s">
        <v>38</v>
      </c>
      <c r="D2116">
        <v>4643</v>
      </c>
      <c r="E2116">
        <v>50669</v>
      </c>
      <c r="F2116">
        <f t="shared" si="216"/>
        <v>10.912987292698686</v>
      </c>
      <c r="G2116">
        <f t="shared" si="217"/>
        <v>495.01310359681241</v>
      </c>
      <c r="H2116">
        <v>662.58285714285716</v>
      </c>
      <c r="I2116" t="s">
        <v>38</v>
      </c>
      <c r="J2116">
        <f t="shared" ref="J2116:J2125" si="219">H2116/45.36</f>
        <v>14.607205845301085</v>
      </c>
      <c r="K2116">
        <v>8288.2983415050003</v>
      </c>
    </row>
    <row r="2117" spans="1:11" x14ac:dyDescent="0.35">
      <c r="A2117" s="1">
        <v>41730</v>
      </c>
      <c r="B2117" t="s">
        <v>13</v>
      </c>
      <c r="C2117" t="s">
        <v>38</v>
      </c>
      <c r="D2117">
        <v>3567</v>
      </c>
      <c r="E2117">
        <v>47376</v>
      </c>
      <c r="F2117">
        <f t="shared" si="216"/>
        <v>13.281749369217829</v>
      </c>
      <c r="G2117">
        <f t="shared" si="217"/>
        <v>602.46015138772077</v>
      </c>
      <c r="H2117">
        <v>689.82</v>
      </c>
      <c r="I2117" t="s">
        <v>38</v>
      </c>
      <c r="J2117">
        <f t="shared" si="219"/>
        <v>15.207671957671959</v>
      </c>
      <c r="K2117">
        <v>8288.2983415050003</v>
      </c>
    </row>
    <row r="2118" spans="1:11" x14ac:dyDescent="0.35">
      <c r="A2118" s="1">
        <v>41760</v>
      </c>
      <c r="B2118" t="s">
        <v>13</v>
      </c>
      <c r="C2118" t="s">
        <v>38</v>
      </c>
      <c r="D2118">
        <v>3517</v>
      </c>
      <c r="E2118">
        <v>35619</v>
      </c>
      <c r="F2118">
        <f t="shared" si="216"/>
        <v>10.127665624111458</v>
      </c>
      <c r="G2118">
        <f t="shared" si="217"/>
        <v>459.39091270969573</v>
      </c>
      <c r="H2118">
        <v>688.5119047619047</v>
      </c>
      <c r="I2118" t="s">
        <v>38</v>
      </c>
      <c r="J2118">
        <f t="shared" si="219"/>
        <v>15.178833879230703</v>
      </c>
      <c r="K2118">
        <v>8288.2983415050003</v>
      </c>
    </row>
    <row r="2119" spans="1:11" x14ac:dyDescent="0.35">
      <c r="A2119" s="1">
        <v>41791</v>
      </c>
      <c r="B2119" t="s">
        <v>13</v>
      </c>
      <c r="C2119" t="s">
        <v>38</v>
      </c>
      <c r="D2119">
        <v>6998</v>
      </c>
      <c r="E2119">
        <v>38977</v>
      </c>
      <c r="F2119">
        <f t="shared" si="216"/>
        <v>5.5697342097742215</v>
      </c>
      <c r="G2119">
        <f t="shared" si="217"/>
        <v>252.64314375535869</v>
      </c>
      <c r="H2119">
        <v>585.98625000000004</v>
      </c>
      <c r="I2119" t="s">
        <v>38</v>
      </c>
      <c r="J2119">
        <f t="shared" si="219"/>
        <v>12.918568121693124</v>
      </c>
      <c r="K2119">
        <v>8288.2983415050003</v>
      </c>
    </row>
    <row r="2120" spans="1:11" x14ac:dyDescent="0.35">
      <c r="A2120" s="1">
        <v>41821</v>
      </c>
      <c r="B2120" t="s">
        <v>13</v>
      </c>
      <c r="C2120" t="s">
        <v>38</v>
      </c>
      <c r="D2120">
        <v>5682</v>
      </c>
      <c r="E2120">
        <v>49773</v>
      </c>
      <c r="F2120">
        <f t="shared" si="216"/>
        <v>8.7597676874340014</v>
      </c>
      <c r="G2120">
        <f t="shared" si="217"/>
        <v>397.34306230200627</v>
      </c>
      <c r="H2120">
        <v>706.5</v>
      </c>
      <c r="I2120" t="s">
        <v>38</v>
      </c>
      <c r="J2120">
        <f t="shared" si="219"/>
        <v>15.575396825396826</v>
      </c>
      <c r="K2120">
        <v>8288.2983415050003</v>
      </c>
    </row>
    <row r="2121" spans="1:11" x14ac:dyDescent="0.35">
      <c r="A2121" s="1">
        <v>41852</v>
      </c>
      <c r="B2121" t="s">
        <v>13</v>
      </c>
      <c r="C2121" t="s">
        <v>38</v>
      </c>
      <c r="D2121">
        <v>4967</v>
      </c>
      <c r="E2121">
        <v>45038</v>
      </c>
      <c r="F2121">
        <f t="shared" si="216"/>
        <v>9.067445137910207</v>
      </c>
      <c r="G2121">
        <f t="shared" si="217"/>
        <v>411.29931145560698</v>
      </c>
      <c r="H2121">
        <v>801.70571428571441</v>
      </c>
      <c r="I2121" t="s">
        <v>38</v>
      </c>
      <c r="J2121">
        <f t="shared" si="219"/>
        <v>17.674288233812046</v>
      </c>
      <c r="K2121">
        <v>8288.2983415050003</v>
      </c>
    </row>
    <row r="2122" spans="1:11" x14ac:dyDescent="0.35">
      <c r="A2122" s="1">
        <v>41883</v>
      </c>
      <c r="B2122" t="s">
        <v>13</v>
      </c>
      <c r="C2122" t="s">
        <v>38</v>
      </c>
      <c r="D2122">
        <v>3026</v>
      </c>
      <c r="E2122">
        <v>35642</v>
      </c>
      <c r="F2122">
        <f t="shared" si="216"/>
        <v>11.778585591539986</v>
      </c>
      <c r="G2122">
        <f t="shared" si="217"/>
        <v>534.27664243225377</v>
      </c>
      <c r="H2122">
        <v>750.83277777777766</v>
      </c>
      <c r="I2122" t="s">
        <v>38</v>
      </c>
      <c r="J2122">
        <f t="shared" si="219"/>
        <v>16.552750832843422</v>
      </c>
      <c r="K2122">
        <v>8288.2983415050003</v>
      </c>
    </row>
    <row r="2123" spans="1:11" x14ac:dyDescent="0.35">
      <c r="A2123" s="1">
        <v>41913</v>
      </c>
      <c r="B2123" t="s">
        <v>13</v>
      </c>
      <c r="C2123" t="s">
        <v>38</v>
      </c>
      <c r="D2123">
        <v>3324</v>
      </c>
      <c r="E2123">
        <v>30092</v>
      </c>
      <c r="F2123">
        <f t="shared" si="216"/>
        <v>9.0529482551143197</v>
      </c>
      <c r="G2123">
        <f t="shared" si="217"/>
        <v>410.64173285198552</v>
      </c>
      <c r="H2123">
        <v>736.33299999999997</v>
      </c>
      <c r="I2123" t="s">
        <v>38</v>
      </c>
      <c r="J2123">
        <f t="shared" si="219"/>
        <v>16.233090828924162</v>
      </c>
      <c r="K2123">
        <v>8288.2983415050003</v>
      </c>
    </row>
    <row r="2124" spans="1:11" x14ac:dyDescent="0.35">
      <c r="A2124" s="1">
        <v>41944</v>
      </c>
      <c r="B2124" t="s">
        <v>13</v>
      </c>
      <c r="C2124" t="s">
        <v>38</v>
      </c>
      <c r="D2124">
        <v>8999</v>
      </c>
      <c r="E2124">
        <v>30107</v>
      </c>
      <c r="F2124">
        <f t="shared" si="216"/>
        <v>3.345593954883876</v>
      </c>
      <c r="G2124">
        <f t="shared" si="217"/>
        <v>151.75614179353261</v>
      </c>
      <c r="H2124">
        <v>675.85738095238105</v>
      </c>
      <c r="I2124" t="s">
        <v>38</v>
      </c>
      <c r="J2124">
        <f t="shared" si="219"/>
        <v>14.899854077433444</v>
      </c>
      <c r="K2124">
        <v>8288.2983415050003</v>
      </c>
    </row>
    <row r="2125" spans="1:11" x14ac:dyDescent="0.35">
      <c r="A2125" s="1">
        <v>41974</v>
      </c>
      <c r="B2125" t="s">
        <v>13</v>
      </c>
      <c r="C2125" t="s">
        <v>38</v>
      </c>
      <c r="D2125">
        <v>7012</v>
      </c>
      <c r="E2125">
        <v>42401</v>
      </c>
      <c r="F2125">
        <f t="shared" si="216"/>
        <v>6.0469195664575013</v>
      </c>
      <c r="G2125">
        <f t="shared" si="217"/>
        <v>274.28827153451226</v>
      </c>
      <c r="H2125">
        <v>706.15</v>
      </c>
      <c r="I2125" t="s">
        <v>38</v>
      </c>
      <c r="J2125">
        <f>H2125/45.36</f>
        <v>15.567680776014109</v>
      </c>
      <c r="K2125">
        <v>8288.2983415050003</v>
      </c>
    </row>
    <row r="2126" spans="1:11" x14ac:dyDescent="0.35">
      <c r="A2126" s="1">
        <v>41640</v>
      </c>
      <c r="B2126" t="s">
        <v>14</v>
      </c>
      <c r="C2126" t="s">
        <v>40</v>
      </c>
      <c r="D2126">
        <v>85938</v>
      </c>
      <c r="E2126">
        <v>127387</v>
      </c>
      <c r="F2126">
        <f t="shared" si="216"/>
        <v>1.4823128301798971</v>
      </c>
      <c r="G2126">
        <f>F2126*562.34</f>
        <v>833.56379692336338</v>
      </c>
      <c r="H2126">
        <v>6552.2666666666664</v>
      </c>
      <c r="I2126" t="s">
        <v>40</v>
      </c>
      <c r="J2126">
        <f>(H2126/1000)/0.56234</f>
        <v>11.651788360541072</v>
      </c>
      <c r="K2126">
        <v>7150.5342362867723</v>
      </c>
    </row>
    <row r="2127" spans="1:11" x14ac:dyDescent="0.35">
      <c r="A2127" s="1">
        <v>41671</v>
      </c>
      <c r="B2127" t="s">
        <v>14</v>
      </c>
      <c r="C2127" t="s">
        <v>40</v>
      </c>
      <c r="D2127">
        <v>66655</v>
      </c>
      <c r="E2127">
        <v>86200</v>
      </c>
      <c r="F2127">
        <f t="shared" si="216"/>
        <v>1.293226314605056</v>
      </c>
      <c r="G2127">
        <f t="shared" ref="G2127:G2137" si="220">F2127*562.34</f>
        <v>727.23288575500726</v>
      </c>
      <c r="H2127">
        <v>7254.166666666667</v>
      </c>
      <c r="I2127" t="s">
        <v>40</v>
      </c>
      <c r="J2127">
        <f t="shared" ref="J2127:J2138" si="221">(H2127/1000)/0.56234</f>
        <v>12.89996561985039</v>
      </c>
      <c r="K2127">
        <v>7150.5342362867723</v>
      </c>
    </row>
    <row r="2128" spans="1:11" x14ac:dyDescent="0.35">
      <c r="A2128" s="1">
        <v>41699</v>
      </c>
      <c r="B2128" t="s">
        <v>14</v>
      </c>
      <c r="C2128" t="s">
        <v>40</v>
      </c>
      <c r="D2128">
        <v>40410</v>
      </c>
      <c r="E2128">
        <v>50274</v>
      </c>
      <c r="F2128">
        <f t="shared" si="216"/>
        <v>1.244097995545657</v>
      </c>
      <c r="G2128">
        <f t="shared" si="220"/>
        <v>699.6060668151448</v>
      </c>
      <c r="H2128">
        <v>5288.666666666667</v>
      </c>
      <c r="I2128" t="s">
        <v>40</v>
      </c>
      <c r="J2128">
        <f t="shared" si="221"/>
        <v>9.4047492027361876</v>
      </c>
      <c r="K2128">
        <v>7150.5342362867723</v>
      </c>
    </row>
    <row r="2129" spans="1:12" x14ac:dyDescent="0.35">
      <c r="A2129" s="1">
        <v>41730</v>
      </c>
      <c r="B2129" t="s">
        <v>14</v>
      </c>
      <c r="C2129" t="s">
        <v>40</v>
      </c>
      <c r="D2129">
        <v>8488</v>
      </c>
      <c r="E2129">
        <v>8777</v>
      </c>
      <c r="F2129">
        <f t="shared" si="216"/>
        <v>1.0340480678605088</v>
      </c>
      <c r="G2129">
        <f t="shared" si="220"/>
        <v>581.48659048067861</v>
      </c>
      <c r="H2129">
        <v>6564</v>
      </c>
      <c r="I2129" t="s">
        <v>40</v>
      </c>
      <c r="J2129">
        <f t="shared" si="221"/>
        <v>11.672653554788919</v>
      </c>
      <c r="K2129">
        <v>7150.5342362867723</v>
      </c>
    </row>
    <row r="2130" spans="1:12" x14ac:dyDescent="0.35">
      <c r="A2130" s="1">
        <v>41760</v>
      </c>
      <c r="B2130" t="s">
        <v>14</v>
      </c>
      <c r="C2130" t="s">
        <v>40</v>
      </c>
      <c r="D2130">
        <v>13924</v>
      </c>
      <c r="E2130">
        <v>12773</v>
      </c>
      <c r="F2130">
        <f t="shared" si="216"/>
        <v>0.9173369721344441</v>
      </c>
      <c r="G2130">
        <f t="shared" si="220"/>
        <v>515.85527291008327</v>
      </c>
      <c r="H2130">
        <v>5818.75</v>
      </c>
      <c r="I2130" t="s">
        <v>40</v>
      </c>
      <c r="J2130">
        <f t="shared" si="221"/>
        <v>10.347387701390618</v>
      </c>
      <c r="K2130">
        <v>7150.5342362867723</v>
      </c>
    </row>
    <row r="2131" spans="1:12" x14ac:dyDescent="0.35">
      <c r="A2131" s="1">
        <v>41791</v>
      </c>
      <c r="B2131" t="s">
        <v>14</v>
      </c>
      <c r="C2131" t="s">
        <v>40</v>
      </c>
      <c r="D2131">
        <v>4210</v>
      </c>
      <c r="E2131">
        <v>7854</v>
      </c>
      <c r="F2131">
        <f t="shared" si="216"/>
        <v>1.8655581947743467</v>
      </c>
      <c r="G2131">
        <f t="shared" si="220"/>
        <v>1049.0779952494063</v>
      </c>
      <c r="H2131">
        <v>6862.8</v>
      </c>
      <c r="I2131" t="s">
        <v>40</v>
      </c>
      <c r="J2131">
        <f t="shared" si="221"/>
        <v>12.204004694668706</v>
      </c>
      <c r="K2131">
        <v>7150.5342362867723</v>
      </c>
    </row>
    <row r="2132" spans="1:12" x14ac:dyDescent="0.35">
      <c r="A2132" s="1">
        <v>41821</v>
      </c>
      <c r="B2132" t="s">
        <v>14</v>
      </c>
      <c r="C2132" t="s">
        <v>40</v>
      </c>
      <c r="D2132">
        <v>85114</v>
      </c>
      <c r="E2132">
        <v>122337</v>
      </c>
      <c r="F2132">
        <f t="shared" si="216"/>
        <v>1.4373311088657565</v>
      </c>
      <c r="G2132">
        <f t="shared" si="220"/>
        <v>808.26877575956962</v>
      </c>
      <c r="H2132">
        <v>9833.3333333333339</v>
      </c>
      <c r="I2132" t="s">
        <v>40</v>
      </c>
      <c r="J2132">
        <f t="shared" si="221"/>
        <v>17.486455406574908</v>
      </c>
      <c r="K2132">
        <v>7150.5342362867723</v>
      </c>
    </row>
    <row r="2133" spans="1:12" x14ac:dyDescent="0.35">
      <c r="A2133" s="1">
        <v>41852</v>
      </c>
      <c r="B2133" t="s">
        <v>14</v>
      </c>
      <c r="C2133" t="s">
        <v>40</v>
      </c>
      <c r="D2133">
        <v>71362</v>
      </c>
      <c r="E2133">
        <v>154287</v>
      </c>
      <c r="F2133">
        <f t="shared" si="216"/>
        <v>2.1620330147697655</v>
      </c>
      <c r="G2133">
        <f t="shared" si="220"/>
        <v>1215.7976455256301</v>
      </c>
      <c r="H2133">
        <v>5361.1116666666667</v>
      </c>
      <c r="I2133" t="s">
        <v>40</v>
      </c>
      <c r="J2133">
        <f t="shared" si="221"/>
        <v>9.533576958186627</v>
      </c>
      <c r="K2133">
        <v>7150.5342362867723</v>
      </c>
    </row>
    <row r="2134" spans="1:12" x14ac:dyDescent="0.35">
      <c r="A2134" s="1">
        <v>41883</v>
      </c>
      <c r="B2134" t="s">
        <v>14</v>
      </c>
      <c r="C2134" t="s">
        <v>40</v>
      </c>
      <c r="D2134">
        <v>77013</v>
      </c>
      <c r="E2134">
        <v>151664</v>
      </c>
      <c r="F2134">
        <f t="shared" si="216"/>
        <v>1.9693298534013739</v>
      </c>
      <c r="G2134">
        <f t="shared" si="220"/>
        <v>1107.4329497617287</v>
      </c>
      <c r="H2134">
        <v>4357.7857142857147</v>
      </c>
      <c r="I2134" t="s">
        <v>40</v>
      </c>
      <c r="J2134">
        <f t="shared" si="221"/>
        <v>7.7493788709423397</v>
      </c>
      <c r="K2134">
        <v>7150.5342362867723</v>
      </c>
    </row>
    <row r="2135" spans="1:12" x14ac:dyDescent="0.35">
      <c r="A2135" s="1">
        <v>41913</v>
      </c>
      <c r="B2135" t="s">
        <v>14</v>
      </c>
      <c r="C2135" t="s">
        <v>40</v>
      </c>
      <c r="D2135">
        <v>53496</v>
      </c>
      <c r="E2135">
        <v>69442</v>
      </c>
      <c r="F2135">
        <f t="shared" si="216"/>
        <v>1.2980783609989532</v>
      </c>
      <c r="G2135">
        <f t="shared" si="220"/>
        <v>729.96138552415141</v>
      </c>
      <c r="H2135">
        <v>3496.5275000000001</v>
      </c>
      <c r="I2135" t="s">
        <v>40</v>
      </c>
      <c r="J2135">
        <f t="shared" si="221"/>
        <v>6.2178175125369002</v>
      </c>
      <c r="K2135">
        <v>7150.5342362867723</v>
      </c>
    </row>
    <row r="2136" spans="1:12" x14ac:dyDescent="0.35">
      <c r="A2136" s="1">
        <v>41944</v>
      </c>
      <c r="B2136" t="s">
        <v>14</v>
      </c>
      <c r="C2136" t="s">
        <v>40</v>
      </c>
      <c r="D2136">
        <v>55487.000000000007</v>
      </c>
      <c r="E2136">
        <v>58575.999999999985</v>
      </c>
      <c r="F2136">
        <f t="shared" si="216"/>
        <v>1.0556706976408885</v>
      </c>
      <c r="G2136">
        <f t="shared" si="220"/>
        <v>593.64586011137726</v>
      </c>
      <c r="H2136">
        <v>4289.583333333333</v>
      </c>
      <c r="I2136" t="s">
        <v>40</v>
      </c>
      <c r="J2136">
        <f t="shared" si="221"/>
        <v>7.628095695368164</v>
      </c>
      <c r="K2136">
        <v>7150.5342362867723</v>
      </c>
    </row>
    <row r="2137" spans="1:12" x14ac:dyDescent="0.35">
      <c r="A2137" s="1">
        <v>41974</v>
      </c>
      <c r="B2137" t="s">
        <v>14</v>
      </c>
      <c r="C2137" t="s">
        <v>40</v>
      </c>
      <c r="D2137">
        <v>54508</v>
      </c>
      <c r="E2137">
        <v>94661.000000000015</v>
      </c>
      <c r="F2137">
        <f t="shared" si="216"/>
        <v>1.7366441623247966</v>
      </c>
      <c r="G2137">
        <f t="shared" si="220"/>
        <v>976.58447824172617</v>
      </c>
      <c r="H2137">
        <v>6277.7777777777774</v>
      </c>
      <c r="I2137" t="s">
        <v>40</v>
      </c>
      <c r="J2137">
        <f t="shared" si="221"/>
        <v>11.163669270864206</v>
      </c>
      <c r="K2137">
        <v>7150.5342362867723</v>
      </c>
    </row>
    <row r="2138" spans="1:12" x14ac:dyDescent="0.35">
      <c r="A2138" s="1">
        <v>41640</v>
      </c>
      <c r="B2138" t="s">
        <v>15</v>
      </c>
      <c r="C2138" t="s">
        <v>41</v>
      </c>
      <c r="D2138">
        <v>409098</v>
      </c>
      <c r="E2138">
        <v>2645462</v>
      </c>
      <c r="F2138">
        <f t="shared" si="216"/>
        <v>6.4665728016269943</v>
      </c>
      <c r="G2138">
        <f>F2138*27.21</f>
        <v>175.95544593227052</v>
      </c>
      <c r="H2138">
        <v>130.25595238095238</v>
      </c>
      <c r="I2138" t="s">
        <v>58</v>
      </c>
      <c r="J2138">
        <f>H2138/27.21</f>
        <v>4.7870618295094589</v>
      </c>
      <c r="K2138" s="4">
        <f>$L$2138+$L$2139</f>
        <v>12538.896985971585</v>
      </c>
      <c r="L2138" s="3">
        <f>+[2]Hoja1!$I$151</f>
        <v>7610.0257500159132</v>
      </c>
    </row>
    <row r="2139" spans="1:12" x14ac:dyDescent="0.35">
      <c r="A2139" s="1">
        <v>41671</v>
      </c>
      <c r="B2139" t="s">
        <v>15</v>
      </c>
      <c r="C2139" t="s">
        <v>41</v>
      </c>
      <c r="D2139">
        <v>407742</v>
      </c>
      <c r="E2139">
        <v>2695137</v>
      </c>
      <c r="F2139">
        <f t="shared" si="216"/>
        <v>6.6099077357740921</v>
      </c>
      <c r="G2139">
        <f t="shared" ref="G2139:G2149" si="222">F2139*27.21</f>
        <v>179.85558949041305</v>
      </c>
      <c r="H2139">
        <v>143.86904761904762</v>
      </c>
      <c r="I2139" t="s">
        <v>58</v>
      </c>
      <c r="J2139">
        <f t="shared" ref="J2139:J2149" si="223">H2139/27.21</f>
        <v>5.287359339178523</v>
      </c>
      <c r="K2139" s="4">
        <f t="shared" ref="K2139:K2150" si="224">$L$2138+$L$2139</f>
        <v>12538.896985971585</v>
      </c>
      <c r="L2139" s="3">
        <f>+[3]Hoja1!$H$157</f>
        <v>4928.8712359556721</v>
      </c>
    </row>
    <row r="2140" spans="1:12" x14ac:dyDescent="0.35">
      <c r="A2140" s="1">
        <v>41699</v>
      </c>
      <c r="B2140" t="s">
        <v>15</v>
      </c>
      <c r="C2140" t="s">
        <v>41</v>
      </c>
      <c r="D2140">
        <v>414704</v>
      </c>
      <c r="E2140">
        <v>2995918</v>
      </c>
      <c r="F2140">
        <f t="shared" si="216"/>
        <v>7.2242322234654113</v>
      </c>
      <c r="G2140">
        <f t="shared" si="222"/>
        <v>196.57135880049384</v>
      </c>
      <c r="H2140">
        <v>145.96428571428572</v>
      </c>
      <c r="I2140" t="s">
        <v>58</v>
      </c>
      <c r="J2140">
        <f t="shared" si="223"/>
        <v>5.3643618417598571</v>
      </c>
      <c r="K2140" s="4">
        <f t="shared" si="224"/>
        <v>12538.896985971585</v>
      </c>
    </row>
    <row r="2141" spans="1:12" x14ac:dyDescent="0.35">
      <c r="A2141" s="1">
        <v>41730</v>
      </c>
      <c r="B2141" t="s">
        <v>15</v>
      </c>
      <c r="C2141" t="s">
        <v>41</v>
      </c>
      <c r="D2141">
        <v>405445</v>
      </c>
      <c r="E2141">
        <v>3210455</v>
      </c>
      <c r="F2141">
        <f t="shared" si="216"/>
        <v>7.9183489745834823</v>
      </c>
      <c r="G2141">
        <f t="shared" si="222"/>
        <v>215.45827559841655</v>
      </c>
      <c r="H2141">
        <v>127.80428571428571</v>
      </c>
      <c r="I2141" t="s">
        <v>58</v>
      </c>
      <c r="J2141">
        <f t="shared" si="223"/>
        <v>4.6969601512049142</v>
      </c>
      <c r="K2141" s="4">
        <f t="shared" si="224"/>
        <v>12538.896985971585</v>
      </c>
    </row>
    <row r="2142" spans="1:12" x14ac:dyDescent="0.35">
      <c r="A2142" s="1">
        <v>41760</v>
      </c>
      <c r="B2142" t="s">
        <v>15</v>
      </c>
      <c r="C2142" t="s">
        <v>41</v>
      </c>
      <c r="D2142">
        <v>407360</v>
      </c>
      <c r="E2142">
        <v>3193926</v>
      </c>
      <c r="F2142">
        <f t="shared" si="216"/>
        <v>7.8405489002356639</v>
      </c>
      <c r="G2142">
        <f t="shared" si="222"/>
        <v>213.34133557541242</v>
      </c>
      <c r="H2142">
        <v>132.79761904761907</v>
      </c>
      <c r="I2142" t="s">
        <v>58</v>
      </c>
      <c r="J2142">
        <f t="shared" si="223"/>
        <v>4.8804711153112486</v>
      </c>
      <c r="K2142" s="4">
        <f t="shared" si="224"/>
        <v>12538.896985971585</v>
      </c>
    </row>
    <row r="2143" spans="1:12" x14ac:dyDescent="0.35">
      <c r="A2143" s="1">
        <v>41791</v>
      </c>
      <c r="B2143" t="s">
        <v>15</v>
      </c>
      <c r="C2143" t="s">
        <v>41</v>
      </c>
      <c r="D2143">
        <v>389744</v>
      </c>
      <c r="E2143">
        <v>3645111</v>
      </c>
      <c r="F2143">
        <f t="shared" si="216"/>
        <v>9.3525775893920109</v>
      </c>
      <c r="G2143">
        <f t="shared" si="222"/>
        <v>254.48363620735662</v>
      </c>
      <c r="H2143">
        <v>137.21428571428572</v>
      </c>
      <c r="I2143" t="s">
        <v>58</v>
      </c>
      <c r="J2143">
        <f t="shared" si="223"/>
        <v>5.0427888906389455</v>
      </c>
      <c r="K2143" s="4">
        <f t="shared" si="224"/>
        <v>12538.896985971585</v>
      </c>
    </row>
    <row r="2144" spans="1:12" x14ac:dyDescent="0.35">
      <c r="A2144" s="1">
        <v>41821</v>
      </c>
      <c r="B2144" t="s">
        <v>15</v>
      </c>
      <c r="C2144" t="s">
        <v>41</v>
      </c>
      <c r="D2144">
        <v>417025</v>
      </c>
      <c r="E2144">
        <v>3564224</v>
      </c>
      <c r="F2144">
        <f t="shared" si="216"/>
        <v>8.5467873628679332</v>
      </c>
      <c r="G2144">
        <f t="shared" si="222"/>
        <v>232.55808414363648</v>
      </c>
      <c r="H2144">
        <v>124.98583333333333</v>
      </c>
      <c r="I2144" t="s">
        <v>58</v>
      </c>
      <c r="J2144">
        <f t="shared" si="223"/>
        <v>4.5933786598064437</v>
      </c>
      <c r="K2144" s="4">
        <f t="shared" si="224"/>
        <v>12538.896985971585</v>
      </c>
    </row>
    <row r="2145" spans="1:12" x14ac:dyDescent="0.35">
      <c r="A2145" s="1">
        <v>41852</v>
      </c>
      <c r="B2145" t="s">
        <v>15</v>
      </c>
      <c r="C2145" t="s">
        <v>41</v>
      </c>
      <c r="D2145">
        <v>416483</v>
      </c>
      <c r="E2145">
        <v>3471133</v>
      </c>
      <c r="F2145">
        <f t="shared" si="216"/>
        <v>8.3343930004345914</v>
      </c>
      <c r="G2145">
        <f t="shared" si="222"/>
        <v>226.77883354182524</v>
      </c>
      <c r="H2145">
        <v>132.38857142857142</v>
      </c>
      <c r="I2145" t="s">
        <v>58</v>
      </c>
      <c r="J2145">
        <f t="shared" si="223"/>
        <v>4.8654381267391189</v>
      </c>
      <c r="K2145" s="4">
        <f t="shared" si="224"/>
        <v>12538.896985971585</v>
      </c>
    </row>
    <row r="2146" spans="1:12" x14ac:dyDescent="0.35">
      <c r="A2146" s="1">
        <v>41883</v>
      </c>
      <c r="B2146" t="s">
        <v>15</v>
      </c>
      <c r="C2146" t="s">
        <v>41</v>
      </c>
      <c r="D2146">
        <v>413997</v>
      </c>
      <c r="E2146">
        <v>4059062</v>
      </c>
      <c r="F2146">
        <f t="shared" ref="F2146:F2148" si="225">E2146/D2146</f>
        <v>9.804568632139846</v>
      </c>
      <c r="G2146">
        <f t="shared" si="222"/>
        <v>266.78231248052521</v>
      </c>
      <c r="H2146">
        <v>135.71047619047619</v>
      </c>
      <c r="I2146" t="s">
        <v>58</v>
      </c>
      <c r="J2146">
        <f t="shared" si="223"/>
        <v>4.98752209446807</v>
      </c>
      <c r="K2146" s="4">
        <f t="shared" si="224"/>
        <v>12538.896985971585</v>
      </c>
    </row>
    <row r="2147" spans="1:12" x14ac:dyDescent="0.35">
      <c r="A2147" s="1">
        <v>41913</v>
      </c>
      <c r="B2147" t="s">
        <v>15</v>
      </c>
      <c r="C2147" t="s">
        <v>41</v>
      </c>
      <c r="D2147">
        <v>417187</v>
      </c>
      <c r="E2147">
        <v>4007672</v>
      </c>
      <c r="F2147">
        <f t="shared" si="225"/>
        <v>9.6064163073154241</v>
      </c>
      <c r="G2147">
        <f t="shared" si="222"/>
        <v>261.39058772205271</v>
      </c>
      <c r="H2147">
        <v>165.68041666666667</v>
      </c>
      <c r="I2147" t="s">
        <v>58</v>
      </c>
      <c r="J2147">
        <f t="shared" si="223"/>
        <v>6.0889532034791127</v>
      </c>
      <c r="K2147" s="4">
        <f t="shared" si="224"/>
        <v>12538.896985971585</v>
      </c>
    </row>
    <row r="2148" spans="1:12" x14ac:dyDescent="0.35">
      <c r="A2148" s="1">
        <v>41944</v>
      </c>
      <c r="B2148" t="s">
        <v>15</v>
      </c>
      <c r="C2148" t="s">
        <v>41</v>
      </c>
      <c r="D2148">
        <v>445620</v>
      </c>
      <c r="E2148">
        <v>3573095</v>
      </c>
      <c r="F2148">
        <f t="shared" si="225"/>
        <v>8.018255464296935</v>
      </c>
      <c r="G2148">
        <f t="shared" si="222"/>
        <v>218.17673118351962</v>
      </c>
      <c r="H2148">
        <v>190.41642857142855</v>
      </c>
      <c r="I2148" t="s">
        <v>58</v>
      </c>
      <c r="J2148">
        <f t="shared" si="223"/>
        <v>6.9980311860135442</v>
      </c>
      <c r="K2148" s="4">
        <f t="shared" si="224"/>
        <v>12538.896985971585</v>
      </c>
    </row>
    <row r="2149" spans="1:12" x14ac:dyDescent="0.35">
      <c r="A2149" s="1">
        <v>41974</v>
      </c>
      <c r="B2149" t="s">
        <v>15</v>
      </c>
      <c r="C2149" t="s">
        <v>41</v>
      </c>
      <c r="D2149">
        <v>387374</v>
      </c>
      <c r="E2149">
        <v>3938397.0000000005</v>
      </c>
      <c r="F2149">
        <f>E2149/D2149</f>
        <v>10.166911047205028</v>
      </c>
      <c r="G2149">
        <f t="shared" si="222"/>
        <v>276.64164959444884</v>
      </c>
      <c r="H2149">
        <v>209.08333333333334</v>
      </c>
      <c r="I2149" t="s">
        <v>58</v>
      </c>
      <c r="J2149">
        <f t="shared" si="223"/>
        <v>7.6840622320225407</v>
      </c>
      <c r="K2149" s="4">
        <f t="shared" si="224"/>
        <v>12538.896985971585</v>
      </c>
    </row>
    <row r="2150" spans="1:12" x14ac:dyDescent="0.35">
      <c r="A2150" s="1">
        <v>41640</v>
      </c>
      <c r="B2150" t="s">
        <v>18</v>
      </c>
      <c r="C2150" t="s">
        <v>40</v>
      </c>
      <c r="D2150">
        <v>695392</v>
      </c>
      <c r="E2150">
        <v>142761</v>
      </c>
      <c r="F2150">
        <f t="shared" ref="F2150:F2213" si="226">E2150/D2150</f>
        <v>0.20529571809856886</v>
      </c>
      <c r="G2150">
        <f>F2150*408.15</f>
        <v>83.791447341930876</v>
      </c>
      <c r="H2150">
        <v>4308.8809523809523</v>
      </c>
      <c r="I2150" t="s">
        <v>40</v>
      </c>
      <c r="J2150">
        <f>(H2150/1000)/0.40815</f>
        <v>10.557101439130104</v>
      </c>
      <c r="K2150" s="4">
        <f>$L$2150+$L$2151</f>
        <v>12054.016631725261</v>
      </c>
      <c r="L2150">
        <v>8114.4222677679563</v>
      </c>
    </row>
    <row r="2151" spans="1:12" x14ac:dyDescent="0.35">
      <c r="A2151" s="1">
        <v>41671</v>
      </c>
      <c r="B2151" t="s">
        <v>18</v>
      </c>
      <c r="C2151" t="s">
        <v>40</v>
      </c>
      <c r="D2151">
        <v>721470</v>
      </c>
      <c r="E2151">
        <v>147410</v>
      </c>
      <c r="F2151">
        <f t="shared" si="226"/>
        <v>0.2043189599013126</v>
      </c>
      <c r="G2151">
        <f t="shared" ref="G2151:G2161" si="227">F2151*408.15</f>
        <v>83.392783483720734</v>
      </c>
      <c r="H2151">
        <v>4526.7857142857147</v>
      </c>
      <c r="I2151" t="s">
        <v>40</v>
      </c>
      <c r="J2151">
        <f t="shared" ref="J2151:J2162" si="228">(H2151/1000)/0.40815</f>
        <v>11.090985457027353</v>
      </c>
      <c r="K2151" s="4">
        <f t="shared" ref="K2151:K2161" si="229">$L$2150+$L$2151</f>
        <v>12054.016631725261</v>
      </c>
      <c r="L2151">
        <v>3939.5943639573038</v>
      </c>
    </row>
    <row r="2152" spans="1:12" x14ac:dyDescent="0.35">
      <c r="A2152" s="1">
        <v>41699</v>
      </c>
      <c r="B2152" t="s">
        <v>18</v>
      </c>
      <c r="C2152" t="s">
        <v>40</v>
      </c>
      <c r="D2152">
        <v>711043</v>
      </c>
      <c r="E2152">
        <v>152186</v>
      </c>
      <c r="F2152">
        <f t="shared" si="226"/>
        <v>0.21403206275851108</v>
      </c>
      <c r="G2152">
        <f t="shared" si="227"/>
        <v>87.3571864148863</v>
      </c>
      <c r="H2152">
        <v>4387.7135714285714</v>
      </c>
      <c r="I2152" t="s">
        <v>40</v>
      </c>
      <c r="J2152">
        <f t="shared" si="228"/>
        <v>10.750247633048074</v>
      </c>
      <c r="K2152" s="4">
        <f t="shared" si="229"/>
        <v>12054.016631725261</v>
      </c>
    </row>
    <row r="2153" spans="1:12" x14ac:dyDescent="0.35">
      <c r="A2153" s="1">
        <v>41730</v>
      </c>
      <c r="B2153" t="s">
        <v>18</v>
      </c>
      <c r="C2153" t="s">
        <v>40</v>
      </c>
      <c r="D2153">
        <v>723610</v>
      </c>
      <c r="E2153">
        <v>308741</v>
      </c>
      <c r="F2153">
        <f t="shared" si="226"/>
        <v>0.42666768010392336</v>
      </c>
      <c r="G2153">
        <f t="shared" si="227"/>
        <v>174.14441363441631</v>
      </c>
      <c r="H2153">
        <v>4365.3628571428571</v>
      </c>
      <c r="I2153" t="s">
        <v>40</v>
      </c>
      <c r="J2153">
        <f t="shared" si="228"/>
        <v>10.695486603314608</v>
      </c>
      <c r="K2153" s="4">
        <f t="shared" si="229"/>
        <v>12054.016631725261</v>
      </c>
    </row>
    <row r="2154" spans="1:12" x14ac:dyDescent="0.35">
      <c r="A2154" s="1">
        <v>41760</v>
      </c>
      <c r="B2154" t="s">
        <v>18</v>
      </c>
      <c r="C2154" t="s">
        <v>40</v>
      </c>
      <c r="D2154">
        <v>702019</v>
      </c>
      <c r="E2154">
        <v>222822</v>
      </c>
      <c r="F2154">
        <f t="shared" si="226"/>
        <v>0.31740166576688095</v>
      </c>
      <c r="G2154">
        <f t="shared" si="227"/>
        <v>129.54748988275244</v>
      </c>
      <c r="H2154">
        <v>4337.2857142857147</v>
      </c>
      <c r="I2154" t="s">
        <v>40</v>
      </c>
      <c r="J2154">
        <f t="shared" si="228"/>
        <v>10.626695367599448</v>
      </c>
      <c r="K2154" s="4">
        <f t="shared" si="229"/>
        <v>12054.016631725261</v>
      </c>
    </row>
    <row r="2155" spans="1:12" x14ac:dyDescent="0.35">
      <c r="A2155" s="1">
        <v>41791</v>
      </c>
      <c r="B2155" t="s">
        <v>18</v>
      </c>
      <c r="C2155" t="s">
        <v>40</v>
      </c>
      <c r="D2155">
        <v>754811</v>
      </c>
      <c r="E2155">
        <v>198164</v>
      </c>
      <c r="F2155">
        <f t="shared" si="226"/>
        <v>0.26253459475285867</v>
      </c>
      <c r="G2155">
        <f t="shared" si="227"/>
        <v>107.15349484837927</v>
      </c>
      <c r="H2155">
        <v>4578.9060714285715</v>
      </c>
      <c r="I2155" t="s">
        <v>40</v>
      </c>
      <c r="J2155">
        <f t="shared" si="228"/>
        <v>11.218684482245672</v>
      </c>
      <c r="K2155" s="4">
        <f t="shared" si="229"/>
        <v>12054.016631725261</v>
      </c>
    </row>
    <row r="2156" spans="1:12" x14ac:dyDescent="0.35">
      <c r="A2156" s="1">
        <v>41821</v>
      </c>
      <c r="B2156" t="s">
        <v>18</v>
      </c>
      <c r="C2156" t="s">
        <v>40</v>
      </c>
      <c r="D2156">
        <v>770267</v>
      </c>
      <c r="E2156">
        <v>298408</v>
      </c>
      <c r="F2156">
        <f t="shared" si="226"/>
        <v>0.38740852198004067</v>
      </c>
      <c r="G2156">
        <f t="shared" si="227"/>
        <v>158.12078824615358</v>
      </c>
      <c r="H2156">
        <v>4129.1111111111113</v>
      </c>
      <c r="I2156" t="s">
        <v>40</v>
      </c>
      <c r="J2156">
        <f t="shared" si="228"/>
        <v>10.116651013380157</v>
      </c>
      <c r="K2156" s="4">
        <f t="shared" si="229"/>
        <v>12054.016631725261</v>
      </c>
    </row>
    <row r="2157" spans="1:12" x14ac:dyDescent="0.35">
      <c r="A2157" s="1">
        <v>41852</v>
      </c>
      <c r="B2157" t="s">
        <v>18</v>
      </c>
      <c r="C2157" t="s">
        <v>40</v>
      </c>
      <c r="D2157">
        <v>776949</v>
      </c>
      <c r="E2157">
        <v>215521</v>
      </c>
      <c r="F2157">
        <f t="shared" si="226"/>
        <v>0.27739401170475797</v>
      </c>
      <c r="G2157">
        <f t="shared" si="227"/>
        <v>113.21836587729696</v>
      </c>
      <c r="H2157">
        <v>4136.2633333333324</v>
      </c>
      <c r="I2157" t="s">
        <v>40</v>
      </c>
      <c r="J2157">
        <f t="shared" si="228"/>
        <v>10.134174527338802</v>
      </c>
      <c r="K2157" s="4">
        <f t="shared" si="229"/>
        <v>12054.016631725261</v>
      </c>
    </row>
    <row r="2158" spans="1:12" x14ac:dyDescent="0.35">
      <c r="A2158" s="1">
        <v>41883</v>
      </c>
      <c r="B2158" t="s">
        <v>18</v>
      </c>
      <c r="C2158" t="s">
        <v>40</v>
      </c>
      <c r="D2158">
        <v>724871</v>
      </c>
      <c r="E2158">
        <v>187449</v>
      </c>
      <c r="F2158">
        <f t="shared" si="226"/>
        <v>0.25859635714492646</v>
      </c>
      <c r="G2158">
        <f t="shared" si="227"/>
        <v>105.54610316870173</v>
      </c>
      <c r="H2158">
        <v>4573.9025000000001</v>
      </c>
      <c r="I2158" t="s">
        <v>40</v>
      </c>
      <c r="J2158">
        <f t="shared" si="228"/>
        <v>11.206425333823349</v>
      </c>
      <c r="K2158" s="4">
        <f t="shared" si="229"/>
        <v>12054.016631725261</v>
      </c>
    </row>
    <row r="2159" spans="1:12" x14ac:dyDescent="0.35">
      <c r="A2159" s="1">
        <v>41913</v>
      </c>
      <c r="B2159" t="s">
        <v>18</v>
      </c>
      <c r="C2159" t="s">
        <v>40</v>
      </c>
      <c r="D2159">
        <v>710864</v>
      </c>
      <c r="E2159">
        <v>163930</v>
      </c>
      <c r="F2159">
        <f t="shared" si="226"/>
        <v>0.23060669832766886</v>
      </c>
      <c r="G2159">
        <f t="shared" si="227"/>
        <v>94.122123922438035</v>
      </c>
      <c r="H2159">
        <v>5437.4877380952375</v>
      </c>
      <c r="I2159" t="s">
        <v>40</v>
      </c>
      <c r="J2159">
        <f t="shared" si="228"/>
        <v>13.322277932366132</v>
      </c>
      <c r="K2159" s="4">
        <f t="shared" si="229"/>
        <v>12054.016631725261</v>
      </c>
    </row>
    <row r="2160" spans="1:12" x14ac:dyDescent="0.35">
      <c r="A2160" s="1">
        <v>41944</v>
      </c>
      <c r="B2160" t="s">
        <v>18</v>
      </c>
      <c r="C2160" t="s">
        <v>40</v>
      </c>
      <c r="D2160">
        <v>789985</v>
      </c>
      <c r="E2160">
        <v>148331</v>
      </c>
      <c r="F2160">
        <f t="shared" si="226"/>
        <v>0.18776432463907541</v>
      </c>
      <c r="G2160">
        <f t="shared" si="227"/>
        <v>76.636009101438631</v>
      </c>
      <c r="H2160">
        <v>5514.3811904761906</v>
      </c>
      <c r="I2160" t="s">
        <v>40</v>
      </c>
      <c r="J2160">
        <f t="shared" si="228"/>
        <v>13.510673013539607</v>
      </c>
      <c r="K2160" s="4">
        <f t="shared" si="229"/>
        <v>12054.016631725261</v>
      </c>
    </row>
    <row r="2161" spans="1:11" x14ac:dyDescent="0.35">
      <c r="A2161" s="1">
        <v>41974</v>
      </c>
      <c r="B2161" t="s">
        <v>18</v>
      </c>
      <c r="C2161" t="s">
        <v>40</v>
      </c>
      <c r="D2161">
        <v>742103.99999999977</v>
      </c>
      <c r="E2161">
        <v>281618</v>
      </c>
      <c r="F2161">
        <f t="shared" si="226"/>
        <v>0.37948589416038736</v>
      </c>
      <c r="G2161">
        <f t="shared" si="227"/>
        <v>154.88716770156211</v>
      </c>
      <c r="H2161">
        <v>5816.7616666666663</v>
      </c>
      <c r="I2161" t="s">
        <v>40</v>
      </c>
      <c r="J2161">
        <f t="shared" si="228"/>
        <v>14.251529258034218</v>
      </c>
      <c r="K2161" s="4">
        <f t="shared" si="229"/>
        <v>12054.016631725261</v>
      </c>
    </row>
    <row r="2162" spans="1:11" x14ac:dyDescent="0.35">
      <c r="A2162" s="1">
        <v>42005</v>
      </c>
      <c r="B2162" t="s">
        <v>2</v>
      </c>
      <c r="C2162" t="s">
        <v>38</v>
      </c>
      <c r="D2162">
        <v>15645</v>
      </c>
      <c r="E2162">
        <v>52428</v>
      </c>
      <c r="F2162">
        <f t="shared" si="226"/>
        <v>3.3511025886864814</v>
      </c>
      <c r="G2162">
        <f>F2162*45.36</f>
        <v>152.0060134228188</v>
      </c>
      <c r="H2162">
        <v>1657.5979012345679</v>
      </c>
      <c r="I2162" t="s">
        <v>59</v>
      </c>
      <c r="J2162">
        <f>H2162/110</f>
        <v>15.069071829405162</v>
      </c>
      <c r="K2162">
        <v>7019.0666646612535</v>
      </c>
    </row>
    <row r="2163" spans="1:11" x14ac:dyDescent="0.35">
      <c r="A2163" s="1">
        <v>42036</v>
      </c>
      <c r="B2163" t="s">
        <v>2</v>
      </c>
      <c r="C2163" t="s">
        <v>38</v>
      </c>
      <c r="D2163">
        <v>283</v>
      </c>
      <c r="E2163">
        <v>849</v>
      </c>
      <c r="F2163">
        <f t="shared" si="226"/>
        <v>3</v>
      </c>
      <c r="G2163">
        <f>F2163*45.36</f>
        <v>136.07999999999998</v>
      </c>
      <c r="H2163">
        <v>1505.9573913043478</v>
      </c>
      <c r="I2163" t="s">
        <v>59</v>
      </c>
      <c r="J2163">
        <f t="shared" ref="J2163:J2174" si="230">H2163/110</f>
        <v>13.690521739130434</v>
      </c>
      <c r="K2163">
        <v>7019.0666646612535</v>
      </c>
    </row>
    <row r="2164" spans="1:11" x14ac:dyDescent="0.35">
      <c r="A2164" s="1">
        <v>42064</v>
      </c>
      <c r="B2164" t="s">
        <v>2</v>
      </c>
      <c r="C2164" t="s">
        <v>38</v>
      </c>
      <c r="D2164">
        <v>80162</v>
      </c>
      <c r="E2164">
        <v>416843.54695983382</v>
      </c>
      <c r="F2164">
        <f t="shared" si="226"/>
        <v>5.2000143080241736</v>
      </c>
      <c r="G2164">
        <f t="shared" ref="G2164:G2227" si="231">F2164*45.36</f>
        <v>235.87264901197651</v>
      </c>
      <c r="H2164">
        <v>1741.4123188405799</v>
      </c>
      <c r="I2164" t="s">
        <v>59</v>
      </c>
      <c r="J2164">
        <f t="shared" si="230"/>
        <v>15.831021080368908</v>
      </c>
      <c r="K2164">
        <v>7019.0666646612535</v>
      </c>
    </row>
    <row r="2165" spans="1:11" x14ac:dyDescent="0.35">
      <c r="A2165" s="1">
        <v>42095</v>
      </c>
      <c r="B2165" t="s">
        <v>2</v>
      </c>
      <c r="C2165" t="s">
        <v>38</v>
      </c>
      <c r="D2165">
        <v>407643</v>
      </c>
      <c r="E2165">
        <v>2006735</v>
      </c>
      <c r="F2165">
        <f t="shared" si="226"/>
        <v>4.9227755658750425</v>
      </c>
      <c r="G2165">
        <f t="shared" si="231"/>
        <v>223.29709966809193</v>
      </c>
      <c r="H2165">
        <v>1769.5554549114331</v>
      </c>
      <c r="I2165" t="s">
        <v>59</v>
      </c>
      <c r="J2165">
        <f t="shared" si="230"/>
        <v>16.086867771922119</v>
      </c>
      <c r="K2165">
        <v>7019.0666646612535</v>
      </c>
    </row>
    <row r="2166" spans="1:11" x14ac:dyDescent="0.35">
      <c r="A2166" s="1">
        <v>42125</v>
      </c>
      <c r="B2166" t="s">
        <v>2</v>
      </c>
      <c r="C2166" t="s">
        <v>38</v>
      </c>
      <c r="D2166">
        <v>671067</v>
      </c>
      <c r="E2166">
        <v>3491262</v>
      </c>
      <c r="F2166">
        <f t="shared" si="226"/>
        <v>5.2025535453240881</v>
      </c>
      <c r="G2166">
        <f t="shared" si="231"/>
        <v>235.98782881590063</v>
      </c>
      <c r="H2166">
        <v>1797.8950617283951</v>
      </c>
      <c r="I2166" t="s">
        <v>59</v>
      </c>
      <c r="J2166">
        <f t="shared" si="230"/>
        <v>16.34450056116723</v>
      </c>
      <c r="K2166">
        <v>7019.0666646612535</v>
      </c>
    </row>
    <row r="2167" spans="1:11" x14ac:dyDescent="0.35">
      <c r="A2167" s="1">
        <v>42156</v>
      </c>
      <c r="B2167" t="s">
        <v>2</v>
      </c>
      <c r="C2167" t="s">
        <v>38</v>
      </c>
      <c r="D2167">
        <v>168957</v>
      </c>
      <c r="E2167">
        <v>814397</v>
      </c>
      <c r="F2167">
        <f t="shared" si="226"/>
        <v>4.8201435868297855</v>
      </c>
      <c r="G2167">
        <f t="shared" si="231"/>
        <v>218.64171309859907</v>
      </c>
      <c r="H2167">
        <v>1930.7098765432099</v>
      </c>
      <c r="I2167" t="s">
        <v>59</v>
      </c>
      <c r="J2167">
        <f t="shared" si="230"/>
        <v>17.551907968574636</v>
      </c>
      <c r="K2167">
        <v>7019.0666646612535</v>
      </c>
    </row>
    <row r="2168" spans="1:11" x14ac:dyDescent="0.35">
      <c r="A2168" s="1">
        <v>42186</v>
      </c>
      <c r="B2168" t="s">
        <v>2</v>
      </c>
      <c r="C2168" t="s">
        <v>38</v>
      </c>
      <c r="D2168">
        <v>30731</v>
      </c>
      <c r="E2168">
        <v>137134</v>
      </c>
      <c r="F2168">
        <f t="shared" si="226"/>
        <v>4.4623995314177867</v>
      </c>
      <c r="G2168">
        <f t="shared" si="231"/>
        <v>202.41444274511079</v>
      </c>
      <c r="H2168">
        <v>1940.1988888888889</v>
      </c>
      <c r="I2168" t="s">
        <v>59</v>
      </c>
      <c r="J2168">
        <f t="shared" si="230"/>
        <v>17.638171717171716</v>
      </c>
      <c r="K2168">
        <v>7019.0666646612535</v>
      </c>
    </row>
    <row r="2169" spans="1:11" x14ac:dyDescent="0.35">
      <c r="A2169" s="1">
        <v>42217</v>
      </c>
      <c r="B2169" t="s">
        <v>2</v>
      </c>
      <c r="C2169" t="s">
        <v>38</v>
      </c>
      <c r="D2169">
        <v>135879</v>
      </c>
      <c r="E2169">
        <v>560703</v>
      </c>
      <c r="F2169">
        <f t="shared" si="226"/>
        <v>4.1264875367054508</v>
      </c>
      <c r="G2169">
        <f t="shared" si="231"/>
        <v>187.17747466495925</v>
      </c>
      <c r="H2169">
        <v>1872.0243333333335</v>
      </c>
      <c r="I2169" t="s">
        <v>59</v>
      </c>
      <c r="J2169">
        <f t="shared" si="230"/>
        <v>17.01840303030303</v>
      </c>
      <c r="K2169">
        <v>7019.0666646612535</v>
      </c>
    </row>
    <row r="2170" spans="1:11" x14ac:dyDescent="0.35">
      <c r="A2170" s="1">
        <v>42248</v>
      </c>
      <c r="B2170" t="s">
        <v>2</v>
      </c>
      <c r="C2170" t="s">
        <v>38</v>
      </c>
      <c r="D2170">
        <v>236773</v>
      </c>
      <c r="E2170">
        <v>990503</v>
      </c>
      <c r="F2170">
        <f t="shared" si="226"/>
        <v>4.1833443847060261</v>
      </c>
      <c r="G2170">
        <f t="shared" si="231"/>
        <v>189.75650129026533</v>
      </c>
      <c r="H2170">
        <v>1859.5243333333335</v>
      </c>
      <c r="I2170" t="s">
        <v>59</v>
      </c>
      <c r="J2170">
        <f t="shared" si="230"/>
        <v>16.904766666666667</v>
      </c>
      <c r="K2170">
        <v>7019.0666646612535</v>
      </c>
    </row>
    <row r="2171" spans="1:11" x14ac:dyDescent="0.35">
      <c r="A2171" s="1">
        <v>42278</v>
      </c>
      <c r="B2171" t="s">
        <v>2</v>
      </c>
      <c r="C2171" t="s">
        <v>38</v>
      </c>
      <c r="D2171">
        <v>385441</v>
      </c>
      <c r="E2171">
        <v>1827549</v>
      </c>
      <c r="F2171">
        <f t="shared" si="226"/>
        <v>4.7414494047078541</v>
      </c>
      <c r="G2171">
        <f t="shared" si="231"/>
        <v>215.07214499754826</v>
      </c>
      <c r="H2171">
        <v>1926.0861231884057</v>
      </c>
      <c r="I2171" t="s">
        <v>59</v>
      </c>
      <c r="J2171">
        <f t="shared" si="230"/>
        <v>17.509873847167324</v>
      </c>
      <c r="K2171">
        <v>7019.0666646612535</v>
      </c>
    </row>
    <row r="2172" spans="1:11" x14ac:dyDescent="0.35">
      <c r="A2172" s="1">
        <v>42309</v>
      </c>
      <c r="B2172" t="s">
        <v>2</v>
      </c>
      <c r="C2172" t="s">
        <v>38</v>
      </c>
      <c r="D2172">
        <v>296868</v>
      </c>
      <c r="E2172">
        <v>1185362</v>
      </c>
      <c r="F2172">
        <f t="shared" si="226"/>
        <v>3.9928924639907297</v>
      </c>
      <c r="G2172">
        <f t="shared" si="231"/>
        <v>181.11760216661949</v>
      </c>
      <c r="H2172">
        <v>1726.7265833333336</v>
      </c>
      <c r="I2172" t="s">
        <v>59</v>
      </c>
      <c r="J2172">
        <f t="shared" si="230"/>
        <v>15.697514393939397</v>
      </c>
      <c r="K2172">
        <v>7019.0666646612535</v>
      </c>
    </row>
    <row r="2173" spans="1:11" x14ac:dyDescent="0.35">
      <c r="A2173" s="1">
        <v>42339</v>
      </c>
      <c r="B2173" t="s">
        <v>2</v>
      </c>
      <c r="C2173" t="s">
        <v>38</v>
      </c>
      <c r="D2173">
        <v>105381</v>
      </c>
      <c r="E2173">
        <v>328406</v>
      </c>
      <c r="F2173">
        <f t="shared" si="226"/>
        <v>3.1163682257712493</v>
      </c>
      <c r="G2173">
        <f t="shared" si="231"/>
        <v>141.35846272098385</v>
      </c>
      <c r="H2173">
        <v>1769.8280326086956</v>
      </c>
      <c r="I2173" t="s">
        <v>59</v>
      </c>
      <c r="J2173">
        <f t="shared" si="230"/>
        <v>16.089345750988141</v>
      </c>
      <c r="K2173">
        <v>7019.0666646612535</v>
      </c>
    </row>
    <row r="2174" spans="1:11" x14ac:dyDescent="0.35">
      <c r="A2174" s="1">
        <v>42005</v>
      </c>
      <c r="B2174" t="s">
        <v>5</v>
      </c>
      <c r="C2174" t="s">
        <v>38</v>
      </c>
      <c r="D2174">
        <v>29790</v>
      </c>
      <c r="E2174">
        <v>54109</v>
      </c>
      <c r="F2174">
        <f t="shared" si="226"/>
        <v>1.8163477677072843</v>
      </c>
      <c r="G2174">
        <f t="shared" si="231"/>
        <v>82.389534743202418</v>
      </c>
      <c r="H2174">
        <v>798.27722222222235</v>
      </c>
      <c r="I2174" t="s">
        <v>38</v>
      </c>
      <c r="J2174">
        <f>H2174/45.36</f>
        <v>17.598704193611603</v>
      </c>
      <c r="K2174">
        <v>2574.5849057759997</v>
      </c>
    </row>
    <row r="2175" spans="1:11" x14ac:dyDescent="0.35">
      <c r="A2175" s="1">
        <v>42036</v>
      </c>
      <c r="B2175" t="s">
        <v>5</v>
      </c>
      <c r="C2175" t="s">
        <v>38</v>
      </c>
      <c r="D2175">
        <v>29851.000000000007</v>
      </c>
      <c r="E2175">
        <v>69877.000000000015</v>
      </c>
      <c r="F2175">
        <f t="shared" si="226"/>
        <v>2.340859602693377</v>
      </c>
      <c r="G2175">
        <f t="shared" si="231"/>
        <v>106.18139157817158</v>
      </c>
      <c r="H2175">
        <v>830.75</v>
      </c>
      <c r="I2175" t="s">
        <v>38</v>
      </c>
      <c r="J2175">
        <f t="shared" ref="J2175:J2238" si="232">H2175/45.36</f>
        <v>18.314594356261022</v>
      </c>
      <c r="K2175">
        <v>2574.5849057759997</v>
      </c>
    </row>
    <row r="2176" spans="1:11" x14ac:dyDescent="0.35">
      <c r="A2176" s="1">
        <v>42064</v>
      </c>
      <c r="B2176" t="s">
        <v>5</v>
      </c>
      <c r="C2176" t="s">
        <v>38</v>
      </c>
      <c r="D2176">
        <v>20147</v>
      </c>
      <c r="E2176">
        <v>46090</v>
      </c>
      <c r="F2176">
        <f t="shared" si="226"/>
        <v>2.2876855114905443</v>
      </c>
      <c r="G2176">
        <f t="shared" si="231"/>
        <v>103.76941480121108</v>
      </c>
      <c r="H2176">
        <v>783.875</v>
      </c>
      <c r="I2176" t="s">
        <v>38</v>
      </c>
      <c r="J2176">
        <f t="shared" si="232"/>
        <v>17.281194885361554</v>
      </c>
      <c r="K2176">
        <v>2574.5849057759997</v>
      </c>
    </row>
    <row r="2177" spans="1:11" x14ac:dyDescent="0.35">
      <c r="A2177" s="1">
        <v>42095</v>
      </c>
      <c r="B2177" t="s">
        <v>5</v>
      </c>
      <c r="C2177" t="s">
        <v>38</v>
      </c>
      <c r="D2177">
        <v>25103.999999999996</v>
      </c>
      <c r="E2177">
        <v>58201.000000000015</v>
      </c>
      <c r="F2177">
        <f t="shared" si="226"/>
        <v>2.31839547482473</v>
      </c>
      <c r="G2177">
        <f t="shared" si="231"/>
        <v>105.16241873804975</v>
      </c>
      <c r="H2177">
        <v>799.52833333333331</v>
      </c>
      <c r="I2177" t="s">
        <v>38</v>
      </c>
      <c r="J2177">
        <f t="shared" si="232"/>
        <v>17.626286008230451</v>
      </c>
      <c r="K2177">
        <v>2574.5849057759997</v>
      </c>
    </row>
    <row r="2178" spans="1:11" x14ac:dyDescent="0.35">
      <c r="A2178" s="1">
        <v>42125</v>
      </c>
      <c r="B2178" t="s">
        <v>5</v>
      </c>
      <c r="C2178" t="s">
        <v>38</v>
      </c>
      <c r="D2178">
        <v>19822</v>
      </c>
      <c r="E2178">
        <v>42849</v>
      </c>
      <c r="F2178">
        <f t="shared" si="226"/>
        <v>2.1616890323882556</v>
      </c>
      <c r="G2178">
        <f t="shared" si="231"/>
        <v>98.05421450913127</v>
      </c>
      <c r="H2178">
        <v>866.43055555555566</v>
      </c>
      <c r="I2178" t="s">
        <v>38</v>
      </c>
      <c r="J2178">
        <f t="shared" si="232"/>
        <v>19.101202723887912</v>
      </c>
      <c r="K2178">
        <v>2574.5849057759997</v>
      </c>
    </row>
    <row r="2179" spans="1:11" x14ac:dyDescent="0.35">
      <c r="A2179" s="1">
        <v>42156</v>
      </c>
      <c r="B2179" t="s">
        <v>5</v>
      </c>
      <c r="C2179" t="s">
        <v>38</v>
      </c>
      <c r="D2179">
        <v>32101.000000000004</v>
      </c>
      <c r="E2179">
        <v>75854</v>
      </c>
      <c r="F2179">
        <f t="shared" si="226"/>
        <v>2.3629793464378053</v>
      </c>
      <c r="G2179">
        <f t="shared" si="231"/>
        <v>107.18474315441884</v>
      </c>
      <c r="H2179">
        <v>864.42833333333328</v>
      </c>
      <c r="I2179" t="s">
        <v>38</v>
      </c>
      <c r="J2179">
        <f t="shared" si="232"/>
        <v>19.0570620223398</v>
      </c>
      <c r="K2179">
        <v>2574.5849057759997</v>
      </c>
    </row>
    <row r="2180" spans="1:11" x14ac:dyDescent="0.35">
      <c r="A2180" s="1">
        <v>42186</v>
      </c>
      <c r="B2180" t="s">
        <v>5</v>
      </c>
      <c r="C2180" t="s">
        <v>38</v>
      </c>
      <c r="D2180">
        <v>18274</v>
      </c>
      <c r="E2180">
        <v>45158</v>
      </c>
      <c r="F2180">
        <f t="shared" si="226"/>
        <v>2.4711612126518552</v>
      </c>
      <c r="G2180">
        <f t="shared" si="231"/>
        <v>112.09187260588816</v>
      </c>
      <c r="H2180">
        <v>923.01178571428579</v>
      </c>
      <c r="I2180" t="s">
        <v>38</v>
      </c>
      <c r="J2180">
        <f t="shared" si="232"/>
        <v>20.348584341143866</v>
      </c>
      <c r="K2180">
        <v>2574.5849057759997</v>
      </c>
    </row>
    <row r="2181" spans="1:11" x14ac:dyDescent="0.35">
      <c r="A2181" s="1">
        <v>42217</v>
      </c>
      <c r="B2181" t="s">
        <v>5</v>
      </c>
      <c r="C2181" t="s">
        <v>38</v>
      </c>
      <c r="D2181">
        <v>35202</v>
      </c>
      <c r="E2181">
        <v>56850</v>
      </c>
      <c r="F2181">
        <f t="shared" si="226"/>
        <v>1.6149650588034772</v>
      </c>
      <c r="G2181">
        <f t="shared" si="231"/>
        <v>73.254815067325723</v>
      </c>
      <c r="H2181">
        <v>989.24428571428575</v>
      </c>
      <c r="I2181" t="s">
        <v>38</v>
      </c>
      <c r="J2181">
        <f t="shared" si="232"/>
        <v>21.808736457545983</v>
      </c>
      <c r="K2181">
        <v>2574.5849057759997</v>
      </c>
    </row>
    <row r="2182" spans="1:11" x14ac:dyDescent="0.35">
      <c r="A2182" s="1">
        <v>42248</v>
      </c>
      <c r="B2182" t="s">
        <v>5</v>
      </c>
      <c r="C2182" t="s">
        <v>38</v>
      </c>
      <c r="D2182">
        <v>42517</v>
      </c>
      <c r="E2182">
        <v>65477</v>
      </c>
      <c r="F2182">
        <f t="shared" si="226"/>
        <v>1.5400192864030857</v>
      </c>
      <c r="G2182">
        <f t="shared" si="231"/>
        <v>69.85527483124396</v>
      </c>
      <c r="H2182">
        <v>1042.3985714285714</v>
      </c>
      <c r="I2182" t="s">
        <v>38</v>
      </c>
      <c r="J2182">
        <f t="shared" si="232"/>
        <v>22.9805681531872</v>
      </c>
      <c r="K2182">
        <v>2574.5849057759997</v>
      </c>
    </row>
    <row r="2183" spans="1:11" x14ac:dyDescent="0.35">
      <c r="A2183" s="1">
        <v>42278</v>
      </c>
      <c r="B2183" t="s">
        <v>5</v>
      </c>
      <c r="C2183" t="s">
        <v>38</v>
      </c>
      <c r="D2183">
        <v>30144.000000000004</v>
      </c>
      <c r="E2183">
        <v>78541</v>
      </c>
      <c r="F2183">
        <f t="shared" si="226"/>
        <v>2.6055268046709128</v>
      </c>
      <c r="G2183">
        <f t="shared" si="231"/>
        <v>118.1866958598726</v>
      </c>
      <c r="H2183">
        <v>776.22713999999996</v>
      </c>
      <c r="I2183" t="s">
        <v>38</v>
      </c>
      <c r="J2183">
        <f t="shared" si="232"/>
        <v>17.112591269841268</v>
      </c>
      <c r="K2183">
        <v>2574.5849057759997</v>
      </c>
    </row>
    <row r="2184" spans="1:11" x14ac:dyDescent="0.35">
      <c r="A2184" s="1">
        <v>42309</v>
      </c>
      <c r="B2184" t="s">
        <v>5</v>
      </c>
      <c r="C2184" t="s">
        <v>38</v>
      </c>
      <c r="D2184">
        <v>36201.000000000007</v>
      </c>
      <c r="E2184">
        <v>57895.000000000007</v>
      </c>
      <c r="F2184">
        <f t="shared" si="226"/>
        <v>1.5992652136681307</v>
      </c>
      <c r="G2184">
        <f t="shared" si="231"/>
        <v>72.542670091986409</v>
      </c>
      <c r="H2184">
        <v>850.66865999999993</v>
      </c>
      <c r="I2184" t="s">
        <v>38</v>
      </c>
      <c r="J2184">
        <f t="shared" si="232"/>
        <v>18.753718253968252</v>
      </c>
      <c r="K2184">
        <v>2574.5849057759997</v>
      </c>
    </row>
    <row r="2185" spans="1:11" x14ac:dyDescent="0.35">
      <c r="A2185" s="1">
        <v>42339</v>
      </c>
      <c r="B2185" t="s">
        <v>5</v>
      </c>
      <c r="C2185" t="s">
        <v>38</v>
      </c>
      <c r="D2185">
        <v>54201</v>
      </c>
      <c r="E2185">
        <v>99898</v>
      </c>
      <c r="F2185">
        <f t="shared" si="226"/>
        <v>1.8431025257836571</v>
      </c>
      <c r="G2185">
        <f t="shared" si="231"/>
        <v>83.603130569546678</v>
      </c>
      <c r="H2185">
        <v>847.09821933333342</v>
      </c>
      <c r="I2185" t="s">
        <v>38</v>
      </c>
      <c r="J2185">
        <f t="shared" si="232"/>
        <v>18.675004835390947</v>
      </c>
      <c r="K2185">
        <v>2574.5849057759997</v>
      </c>
    </row>
    <row r="2186" spans="1:11" x14ac:dyDescent="0.35">
      <c r="A2186" s="1">
        <v>42005</v>
      </c>
      <c r="B2186" t="s">
        <v>7</v>
      </c>
      <c r="C2186" t="s">
        <v>38</v>
      </c>
      <c r="D2186">
        <v>4020.9999999999991</v>
      </c>
      <c r="E2186">
        <v>61936</v>
      </c>
      <c r="F2186">
        <f t="shared" si="226"/>
        <v>15.403133548868444</v>
      </c>
      <c r="G2186">
        <f t="shared" si="231"/>
        <v>698.68613777667258</v>
      </c>
      <c r="H2186">
        <v>388.66075499999999</v>
      </c>
      <c r="I2186" t="s">
        <v>38</v>
      </c>
      <c r="J2186">
        <f t="shared" si="232"/>
        <v>8.5683587962962964</v>
      </c>
      <c r="K2186">
        <v>5153.8888283303768</v>
      </c>
    </row>
    <row r="2187" spans="1:11" x14ac:dyDescent="0.35">
      <c r="A2187" s="1">
        <v>42036</v>
      </c>
      <c r="B2187" t="s">
        <v>7</v>
      </c>
      <c r="C2187" t="s">
        <v>38</v>
      </c>
      <c r="D2187">
        <v>8952</v>
      </c>
      <c r="E2187">
        <v>87406</v>
      </c>
      <c r="F2187">
        <f t="shared" si="226"/>
        <v>9.7638516532618418</v>
      </c>
      <c r="G2187">
        <f t="shared" si="231"/>
        <v>442.88831099195716</v>
      </c>
      <c r="H2187">
        <v>303.68488500000001</v>
      </c>
      <c r="I2187" t="s">
        <v>38</v>
      </c>
      <c r="J2187">
        <f t="shared" si="232"/>
        <v>6.6949930555555559</v>
      </c>
      <c r="K2187">
        <v>5153.8888283303768</v>
      </c>
    </row>
    <row r="2188" spans="1:11" x14ac:dyDescent="0.35">
      <c r="A2188" s="1">
        <v>42064</v>
      </c>
      <c r="B2188" t="s">
        <v>7</v>
      </c>
      <c r="C2188" t="s">
        <v>38</v>
      </c>
      <c r="D2188">
        <v>8345</v>
      </c>
      <c r="E2188">
        <v>92684</v>
      </c>
      <c r="F2188">
        <f t="shared" si="226"/>
        <v>11.106530856800479</v>
      </c>
      <c r="G2188">
        <f t="shared" si="231"/>
        <v>503.79223966446972</v>
      </c>
      <c r="H2188">
        <v>337.42765000000003</v>
      </c>
      <c r="I2188" t="s">
        <v>38</v>
      </c>
      <c r="J2188">
        <f t="shared" si="232"/>
        <v>7.4388811728395066</v>
      </c>
      <c r="K2188">
        <v>5153.8888283303768</v>
      </c>
    </row>
    <row r="2189" spans="1:11" x14ac:dyDescent="0.35">
      <c r="A2189" s="1">
        <v>42095</v>
      </c>
      <c r="B2189" t="s">
        <v>7</v>
      </c>
      <c r="C2189" t="s">
        <v>38</v>
      </c>
      <c r="D2189">
        <v>8750</v>
      </c>
      <c r="E2189">
        <v>112044</v>
      </c>
      <c r="F2189">
        <f t="shared" si="226"/>
        <v>12.805028571428572</v>
      </c>
      <c r="G2189">
        <f t="shared" si="231"/>
        <v>580.836096</v>
      </c>
      <c r="H2189">
        <v>279.88372222222222</v>
      </c>
      <c r="I2189" t="s">
        <v>38</v>
      </c>
      <c r="J2189">
        <f t="shared" si="232"/>
        <v>6.170276063100137</v>
      </c>
      <c r="K2189">
        <v>5153.8888283303768</v>
      </c>
    </row>
    <row r="2190" spans="1:11" x14ac:dyDescent="0.35">
      <c r="A2190" s="1">
        <v>42125</v>
      </c>
      <c r="B2190" t="s">
        <v>7</v>
      </c>
      <c r="C2190" t="s">
        <v>38</v>
      </c>
      <c r="D2190">
        <v>6458</v>
      </c>
      <c r="E2190">
        <v>64122</v>
      </c>
      <c r="F2190">
        <f t="shared" si="226"/>
        <v>9.9290802105915148</v>
      </c>
      <c r="G2190">
        <f t="shared" si="231"/>
        <v>450.38307835243108</v>
      </c>
      <c r="H2190">
        <v>296.35714285714289</v>
      </c>
      <c r="I2190" t="s">
        <v>38</v>
      </c>
      <c r="J2190">
        <f t="shared" si="232"/>
        <v>6.533446712018141</v>
      </c>
      <c r="K2190">
        <v>5153.8888283303768</v>
      </c>
    </row>
    <row r="2191" spans="1:11" x14ac:dyDescent="0.35">
      <c r="A2191" s="1">
        <v>42156</v>
      </c>
      <c r="B2191" t="s">
        <v>7</v>
      </c>
      <c r="C2191" t="s">
        <v>38</v>
      </c>
      <c r="D2191">
        <v>6895</v>
      </c>
      <c r="E2191">
        <v>79852</v>
      </c>
      <c r="F2191">
        <f t="shared" si="226"/>
        <v>11.581145757795504</v>
      </c>
      <c r="G2191">
        <f t="shared" si="231"/>
        <v>525.32077157360402</v>
      </c>
      <c r="H2191">
        <v>324.44149999999996</v>
      </c>
      <c r="I2191" t="s">
        <v>38</v>
      </c>
      <c r="J2191">
        <f t="shared" si="232"/>
        <v>7.152590388007054</v>
      </c>
      <c r="K2191">
        <v>5153.8888283303768</v>
      </c>
    </row>
    <row r="2192" spans="1:11" x14ac:dyDescent="0.35">
      <c r="A2192" s="1">
        <v>42186</v>
      </c>
      <c r="B2192" t="s">
        <v>7</v>
      </c>
      <c r="C2192" t="s">
        <v>38</v>
      </c>
      <c r="D2192">
        <v>6078</v>
      </c>
      <c r="E2192">
        <v>73132</v>
      </c>
      <c r="F2192">
        <f t="shared" si="226"/>
        <v>12.032247449819019</v>
      </c>
      <c r="G2192">
        <f t="shared" si="231"/>
        <v>545.78274432379067</v>
      </c>
      <c r="H2192">
        <v>297.839</v>
      </c>
      <c r="I2192" t="s">
        <v>38</v>
      </c>
      <c r="J2192">
        <f t="shared" si="232"/>
        <v>6.566115520282187</v>
      </c>
      <c r="K2192">
        <v>5153.8888283303768</v>
      </c>
    </row>
    <row r="2193" spans="1:11" x14ac:dyDescent="0.35">
      <c r="A2193" s="1">
        <v>42217</v>
      </c>
      <c r="B2193" t="s">
        <v>7</v>
      </c>
      <c r="C2193" t="s">
        <v>38</v>
      </c>
      <c r="D2193">
        <v>4557</v>
      </c>
      <c r="E2193">
        <v>53857</v>
      </c>
      <c r="F2193">
        <f t="shared" si="226"/>
        <v>11.818520956769804</v>
      </c>
      <c r="G2193">
        <f t="shared" si="231"/>
        <v>536.08811059907828</v>
      </c>
      <c r="H2193">
        <v>407.42208000000005</v>
      </c>
      <c r="I2193" t="s">
        <v>38</v>
      </c>
      <c r="J2193">
        <f t="shared" si="232"/>
        <v>8.9819682539682546</v>
      </c>
      <c r="K2193">
        <v>5153.8888283303768</v>
      </c>
    </row>
    <row r="2194" spans="1:11" x14ac:dyDescent="0.35">
      <c r="A2194" s="1">
        <v>42248</v>
      </c>
      <c r="B2194" t="s">
        <v>7</v>
      </c>
      <c r="C2194" t="s">
        <v>38</v>
      </c>
      <c r="D2194">
        <v>4760</v>
      </c>
      <c r="E2194">
        <v>45235</v>
      </c>
      <c r="F2194">
        <f t="shared" si="226"/>
        <v>9.5031512605042021</v>
      </c>
      <c r="G2194">
        <f t="shared" si="231"/>
        <v>431.06294117647059</v>
      </c>
      <c r="H2194">
        <v>632.56888888888886</v>
      </c>
      <c r="I2194" t="s">
        <v>38</v>
      </c>
      <c r="J2194">
        <f t="shared" si="232"/>
        <v>13.945522241818537</v>
      </c>
      <c r="K2194">
        <v>5153.8888283303768</v>
      </c>
    </row>
    <row r="2195" spans="1:11" x14ac:dyDescent="0.35">
      <c r="A2195" s="1">
        <v>42278</v>
      </c>
      <c r="B2195" t="s">
        <v>7</v>
      </c>
      <c r="C2195" t="s">
        <v>38</v>
      </c>
      <c r="D2195">
        <v>5914</v>
      </c>
      <c r="E2195">
        <v>72543.999999999985</v>
      </c>
      <c r="F2195">
        <f t="shared" si="226"/>
        <v>12.266486303686166</v>
      </c>
      <c r="G2195">
        <f t="shared" si="231"/>
        <v>556.4078187352045</v>
      </c>
      <c r="H2195">
        <v>728.05566666666664</v>
      </c>
      <c r="I2195" t="s">
        <v>38</v>
      </c>
      <c r="J2195">
        <f t="shared" si="232"/>
        <v>16.050609935332158</v>
      </c>
      <c r="K2195">
        <v>5153.8888283303768</v>
      </c>
    </row>
    <row r="2196" spans="1:11" x14ac:dyDescent="0.35">
      <c r="A2196" s="1">
        <v>42309</v>
      </c>
      <c r="B2196" t="s">
        <v>7</v>
      </c>
      <c r="C2196" t="s">
        <v>38</v>
      </c>
      <c r="D2196">
        <v>11795</v>
      </c>
      <c r="E2196">
        <v>85906.000000000015</v>
      </c>
      <c r="F2196">
        <f t="shared" si="226"/>
        <v>7.283255616786775</v>
      </c>
      <c r="G2196">
        <f t="shared" si="231"/>
        <v>330.36847477744811</v>
      </c>
      <c r="H2196">
        <v>830.97222222222217</v>
      </c>
      <c r="I2196" t="s">
        <v>38</v>
      </c>
      <c r="J2196">
        <f t="shared" si="232"/>
        <v>18.319493435234175</v>
      </c>
      <c r="K2196">
        <v>5153.8888283303768</v>
      </c>
    </row>
    <row r="2197" spans="1:11" x14ac:dyDescent="0.35">
      <c r="A2197" s="1">
        <v>42339</v>
      </c>
      <c r="B2197" t="s">
        <v>7</v>
      </c>
      <c r="C2197" t="s">
        <v>38</v>
      </c>
      <c r="D2197">
        <v>7957.9999999999991</v>
      </c>
      <c r="E2197">
        <v>82014</v>
      </c>
      <c r="F2197">
        <f t="shared" si="226"/>
        <v>10.305855742648909</v>
      </c>
      <c r="G2197">
        <f t="shared" si="231"/>
        <v>467.47361648655448</v>
      </c>
      <c r="H2197">
        <v>831.6111111111112</v>
      </c>
      <c r="I2197" t="s">
        <v>38</v>
      </c>
      <c r="J2197">
        <f t="shared" si="232"/>
        <v>18.333578287281995</v>
      </c>
      <c r="K2197">
        <v>5153.8888283303768</v>
      </c>
    </row>
    <row r="2198" spans="1:11" x14ac:dyDescent="0.35">
      <c r="A2198" s="1">
        <v>42005</v>
      </c>
      <c r="B2198" t="s">
        <v>8</v>
      </c>
      <c r="C2198" t="s">
        <v>38</v>
      </c>
      <c r="D2198">
        <v>7984</v>
      </c>
      <c r="E2198">
        <v>74805</v>
      </c>
      <c r="F2198">
        <f t="shared" si="226"/>
        <v>9.3693637274549104</v>
      </c>
      <c r="G2198">
        <f t="shared" si="231"/>
        <v>424.99433867735473</v>
      </c>
      <c r="H2198">
        <v>1058.5</v>
      </c>
      <c r="I2198" t="s">
        <v>38</v>
      </c>
      <c r="J2198">
        <f t="shared" si="232"/>
        <v>23.335537918871253</v>
      </c>
      <c r="K2198">
        <v>9360.0920089845185</v>
      </c>
    </row>
    <row r="2199" spans="1:11" x14ac:dyDescent="0.35">
      <c r="A2199" s="1">
        <v>42036</v>
      </c>
      <c r="B2199" t="s">
        <v>8</v>
      </c>
      <c r="C2199" t="s">
        <v>38</v>
      </c>
      <c r="D2199">
        <v>9732</v>
      </c>
      <c r="E2199">
        <v>91169</v>
      </c>
      <c r="F2199">
        <f t="shared" si="226"/>
        <v>9.3679613645704887</v>
      </c>
      <c r="G2199">
        <f t="shared" si="231"/>
        <v>424.93072749691737</v>
      </c>
      <c r="H2199">
        <v>1009.3049999999999</v>
      </c>
      <c r="I2199" t="s">
        <v>38</v>
      </c>
      <c r="J2199">
        <f t="shared" si="232"/>
        <v>22.250992063492063</v>
      </c>
      <c r="K2199">
        <v>9360.0920089845185</v>
      </c>
    </row>
    <row r="2200" spans="1:11" x14ac:dyDescent="0.35">
      <c r="A2200" s="1">
        <v>42064</v>
      </c>
      <c r="B2200" t="s">
        <v>8</v>
      </c>
      <c r="C2200" t="s">
        <v>38</v>
      </c>
      <c r="D2200">
        <v>5382</v>
      </c>
      <c r="E2200">
        <v>52834</v>
      </c>
      <c r="F2200">
        <f t="shared" si="226"/>
        <v>9.8167967298402079</v>
      </c>
      <c r="G2200">
        <f t="shared" si="231"/>
        <v>445.28989966555184</v>
      </c>
      <c r="H2200">
        <v>937.58333333333337</v>
      </c>
      <c r="I2200" t="s">
        <v>38</v>
      </c>
      <c r="J2200">
        <f t="shared" si="232"/>
        <v>20.66982657260435</v>
      </c>
      <c r="K2200">
        <v>9360.0920089845185</v>
      </c>
    </row>
    <row r="2201" spans="1:11" x14ac:dyDescent="0.35">
      <c r="A2201" s="1">
        <v>42095</v>
      </c>
      <c r="B2201" t="s">
        <v>8</v>
      </c>
      <c r="C2201" t="s">
        <v>38</v>
      </c>
      <c r="D2201">
        <v>9521</v>
      </c>
      <c r="E2201">
        <v>91874</v>
      </c>
      <c r="F2201">
        <f t="shared" si="226"/>
        <v>9.6496166369078882</v>
      </c>
      <c r="G2201">
        <f t="shared" si="231"/>
        <v>437.70661065014178</v>
      </c>
      <c r="H2201">
        <v>1164.4304761904764</v>
      </c>
      <c r="I2201" t="s">
        <v>38</v>
      </c>
      <c r="J2201">
        <f t="shared" si="232"/>
        <v>25.670865877215089</v>
      </c>
      <c r="K2201">
        <v>9360.0920089845185</v>
      </c>
    </row>
    <row r="2202" spans="1:11" x14ac:dyDescent="0.35">
      <c r="A2202" s="1">
        <v>42125</v>
      </c>
      <c r="B2202" t="s">
        <v>8</v>
      </c>
      <c r="C2202" t="s">
        <v>38</v>
      </c>
      <c r="D2202">
        <v>4309</v>
      </c>
      <c r="E2202">
        <v>42273</v>
      </c>
      <c r="F2202">
        <f t="shared" si="226"/>
        <v>9.8103968438152709</v>
      </c>
      <c r="G2202">
        <f t="shared" si="231"/>
        <v>444.99960083546068</v>
      </c>
      <c r="H2202">
        <v>1177.8125</v>
      </c>
      <c r="I2202" t="s">
        <v>38</v>
      </c>
      <c r="J2202">
        <f t="shared" si="232"/>
        <v>25.965884038800706</v>
      </c>
      <c r="K2202">
        <v>9360.0920089845185</v>
      </c>
    </row>
    <row r="2203" spans="1:11" x14ac:dyDescent="0.35">
      <c r="A2203" s="1">
        <v>42156</v>
      </c>
      <c r="B2203" t="s">
        <v>8</v>
      </c>
      <c r="C2203" t="s">
        <v>38</v>
      </c>
      <c r="D2203">
        <v>5201.0000000000009</v>
      </c>
      <c r="E2203">
        <v>40114</v>
      </c>
      <c r="F2203">
        <f t="shared" si="226"/>
        <v>7.7127475485483545</v>
      </c>
      <c r="G2203">
        <f t="shared" si="231"/>
        <v>349.85022880215337</v>
      </c>
      <c r="H2203">
        <v>1136.875</v>
      </c>
      <c r="I2203" t="s">
        <v>38</v>
      </c>
      <c r="J2203">
        <f t="shared" si="232"/>
        <v>25.063381834215168</v>
      </c>
      <c r="K2203">
        <v>9360.0920089845185</v>
      </c>
    </row>
    <row r="2204" spans="1:11" x14ac:dyDescent="0.35">
      <c r="A2204" s="1">
        <v>42186</v>
      </c>
      <c r="B2204" t="s">
        <v>8</v>
      </c>
      <c r="C2204" t="s">
        <v>38</v>
      </c>
      <c r="D2204">
        <v>2670</v>
      </c>
      <c r="E2204">
        <v>26586</v>
      </c>
      <c r="F2204">
        <f t="shared" si="226"/>
        <v>9.9573033707865175</v>
      </c>
      <c r="G2204">
        <f t="shared" si="231"/>
        <v>451.66328089887645</v>
      </c>
      <c r="H2204">
        <v>1219.9000000000001</v>
      </c>
      <c r="I2204" t="s">
        <v>38</v>
      </c>
      <c r="J2204">
        <f t="shared" si="232"/>
        <v>26.893738977072314</v>
      </c>
      <c r="K2204">
        <v>9360.0920089845185</v>
      </c>
    </row>
    <row r="2205" spans="1:11" x14ac:dyDescent="0.35">
      <c r="A2205" s="1">
        <v>42217</v>
      </c>
      <c r="B2205" t="s">
        <v>8</v>
      </c>
      <c r="C2205" t="s">
        <v>38</v>
      </c>
      <c r="D2205">
        <v>4201</v>
      </c>
      <c r="E2205">
        <v>32154</v>
      </c>
      <c r="F2205">
        <f t="shared" si="226"/>
        <v>7.6538919304927395</v>
      </c>
      <c r="G2205">
        <f t="shared" si="231"/>
        <v>347.18053796715066</v>
      </c>
      <c r="H2205">
        <v>1746.2638888888887</v>
      </c>
      <c r="I2205" t="s">
        <v>38</v>
      </c>
      <c r="J2205">
        <f t="shared" si="232"/>
        <v>38.497881148344106</v>
      </c>
      <c r="K2205">
        <v>9360.0920089845185</v>
      </c>
    </row>
    <row r="2206" spans="1:11" x14ac:dyDescent="0.35">
      <c r="A2206" s="1">
        <v>42248</v>
      </c>
      <c r="B2206" t="s">
        <v>8</v>
      </c>
      <c r="C2206" t="s">
        <v>38</v>
      </c>
      <c r="D2206">
        <v>2704</v>
      </c>
      <c r="E2206">
        <v>29214</v>
      </c>
      <c r="F2206">
        <f t="shared" si="226"/>
        <v>10.803994082840237</v>
      </c>
      <c r="G2206">
        <f t="shared" si="231"/>
        <v>490.06917159763316</v>
      </c>
      <c r="H2206">
        <v>1435.72</v>
      </c>
      <c r="I2206" t="s">
        <v>38</v>
      </c>
      <c r="J2206">
        <f t="shared" si="232"/>
        <v>31.65167548500882</v>
      </c>
      <c r="K2206">
        <v>9360.0920089845185</v>
      </c>
    </row>
    <row r="2207" spans="1:11" x14ac:dyDescent="0.35">
      <c r="A2207" s="1">
        <v>42278</v>
      </c>
      <c r="B2207" t="s">
        <v>8</v>
      </c>
      <c r="C2207" t="s">
        <v>38</v>
      </c>
      <c r="D2207">
        <v>4083</v>
      </c>
      <c r="E2207">
        <v>42592</v>
      </c>
      <c r="F2207">
        <f t="shared" si="226"/>
        <v>10.431545432280187</v>
      </c>
      <c r="G2207">
        <f t="shared" si="231"/>
        <v>473.17490080822927</v>
      </c>
      <c r="H2207">
        <v>1803.8894444444443</v>
      </c>
      <c r="I2207" t="s">
        <v>38</v>
      </c>
      <c r="J2207">
        <f t="shared" si="232"/>
        <v>39.768285812267294</v>
      </c>
      <c r="K2207">
        <v>9360.0920089845185</v>
      </c>
    </row>
    <row r="2208" spans="1:11" x14ac:dyDescent="0.35">
      <c r="A2208" s="1">
        <v>42309</v>
      </c>
      <c r="B2208" t="s">
        <v>8</v>
      </c>
      <c r="C2208" t="s">
        <v>38</v>
      </c>
      <c r="D2208">
        <v>6987</v>
      </c>
      <c r="E2208">
        <v>54628</v>
      </c>
      <c r="F2208">
        <f t="shared" si="226"/>
        <v>7.818520108773436</v>
      </c>
      <c r="G2208">
        <f t="shared" si="231"/>
        <v>354.64807213396307</v>
      </c>
      <c r="H2208">
        <v>1524.4285714285713</v>
      </c>
      <c r="I2208" t="s">
        <v>38</v>
      </c>
      <c r="J2208">
        <f t="shared" si="232"/>
        <v>33.607331821617535</v>
      </c>
      <c r="K2208">
        <v>9360.0920089845185</v>
      </c>
    </row>
    <row r="2209" spans="1:11" x14ac:dyDescent="0.35">
      <c r="A2209" s="1">
        <v>42339</v>
      </c>
      <c r="B2209" t="s">
        <v>8</v>
      </c>
      <c r="C2209" t="s">
        <v>38</v>
      </c>
      <c r="D2209">
        <v>7410.9999999999991</v>
      </c>
      <c r="E2209">
        <v>62147</v>
      </c>
      <c r="F2209">
        <f t="shared" si="226"/>
        <v>8.3857778977196062</v>
      </c>
      <c r="G2209">
        <f t="shared" si="231"/>
        <v>380.37888544056136</v>
      </c>
      <c r="H2209">
        <v>1750.8928571428571</v>
      </c>
      <c r="I2209" t="s">
        <v>38</v>
      </c>
      <c r="J2209">
        <f t="shared" si="232"/>
        <v>38.599930713025948</v>
      </c>
      <c r="K2209">
        <v>9360.0920089845185</v>
      </c>
    </row>
    <row r="2210" spans="1:11" x14ac:dyDescent="0.35">
      <c r="A2210" s="1">
        <v>42005</v>
      </c>
      <c r="B2210" t="s">
        <v>9</v>
      </c>
      <c r="C2210" t="s">
        <v>38</v>
      </c>
      <c r="D2210">
        <v>3852.0000000000005</v>
      </c>
      <c r="E2210">
        <v>129985</v>
      </c>
      <c r="F2210">
        <f t="shared" si="226"/>
        <v>33.744807892004147</v>
      </c>
      <c r="G2210">
        <f t="shared" si="231"/>
        <v>1530.6644859813082</v>
      </c>
      <c r="H2210">
        <v>800</v>
      </c>
      <c r="I2210" t="s">
        <v>38</v>
      </c>
      <c r="J2210">
        <f t="shared" si="232"/>
        <v>17.636684303350972</v>
      </c>
      <c r="K2210">
        <v>25505.193937477779</v>
      </c>
    </row>
    <row r="2211" spans="1:11" x14ac:dyDescent="0.35">
      <c r="A2211" s="1">
        <v>42036</v>
      </c>
      <c r="B2211" t="s">
        <v>9</v>
      </c>
      <c r="C2211" t="s">
        <v>38</v>
      </c>
      <c r="D2211">
        <v>5223</v>
      </c>
      <c r="E2211">
        <v>206940</v>
      </c>
      <c r="F2211">
        <f t="shared" si="226"/>
        <v>39.620907524411258</v>
      </c>
      <c r="G2211">
        <f t="shared" si="231"/>
        <v>1797.2043653072947</v>
      </c>
      <c r="H2211">
        <v>800</v>
      </c>
      <c r="I2211" t="s">
        <v>38</v>
      </c>
      <c r="J2211">
        <f t="shared" si="232"/>
        <v>17.636684303350972</v>
      </c>
      <c r="K2211">
        <v>25505.193937477779</v>
      </c>
    </row>
    <row r="2212" spans="1:11" x14ac:dyDescent="0.35">
      <c r="A2212" s="1">
        <v>42064</v>
      </c>
      <c r="B2212" t="s">
        <v>9</v>
      </c>
      <c r="C2212" t="s">
        <v>38</v>
      </c>
      <c r="D2212">
        <v>3753</v>
      </c>
      <c r="E2212">
        <v>135150</v>
      </c>
      <c r="F2212">
        <f t="shared" si="226"/>
        <v>36.011191047162271</v>
      </c>
      <c r="G2212">
        <f t="shared" si="231"/>
        <v>1633.4676258992806</v>
      </c>
      <c r="H2212">
        <v>866.67</v>
      </c>
      <c r="I2212" t="s">
        <v>38</v>
      </c>
      <c r="J2212">
        <f t="shared" si="232"/>
        <v>19.106481481481481</v>
      </c>
      <c r="K2212">
        <v>25505.193937477779</v>
      </c>
    </row>
    <row r="2213" spans="1:11" x14ac:dyDescent="0.35">
      <c r="A2213" s="1">
        <v>42095</v>
      </c>
      <c r="B2213" t="s">
        <v>9</v>
      </c>
      <c r="C2213" t="s">
        <v>38</v>
      </c>
      <c r="D2213">
        <v>3102</v>
      </c>
      <c r="E2213">
        <v>118969.00000000001</v>
      </c>
      <c r="F2213">
        <f t="shared" si="226"/>
        <v>38.352353320438432</v>
      </c>
      <c r="G2213">
        <f t="shared" si="231"/>
        <v>1739.6627466150874</v>
      </c>
      <c r="H2213">
        <v>931.25</v>
      </c>
      <c r="I2213" t="s">
        <v>38</v>
      </c>
      <c r="J2213">
        <f t="shared" si="232"/>
        <v>20.530202821869487</v>
      </c>
      <c r="K2213">
        <v>25505.193937477779</v>
      </c>
    </row>
    <row r="2214" spans="1:11" x14ac:dyDescent="0.35">
      <c r="A2214" s="1">
        <v>42125</v>
      </c>
      <c r="B2214" t="s">
        <v>9</v>
      </c>
      <c r="C2214" t="s">
        <v>38</v>
      </c>
      <c r="D2214">
        <v>4320</v>
      </c>
      <c r="E2214">
        <v>172014</v>
      </c>
      <c r="F2214">
        <f t="shared" ref="F2214:F2277" si="233">E2214/D2214</f>
        <v>39.818055555555553</v>
      </c>
      <c r="G2214">
        <f t="shared" si="231"/>
        <v>1806.1469999999999</v>
      </c>
      <c r="H2214">
        <v>898.96</v>
      </c>
      <c r="I2214" t="s">
        <v>38</v>
      </c>
      <c r="J2214">
        <f t="shared" si="232"/>
        <v>19.818342151675488</v>
      </c>
      <c r="K2214">
        <v>25505.193937477779</v>
      </c>
    </row>
    <row r="2215" spans="1:11" x14ac:dyDescent="0.35">
      <c r="A2215" s="1">
        <v>42156</v>
      </c>
      <c r="B2215" t="s">
        <v>9</v>
      </c>
      <c r="C2215" t="s">
        <v>38</v>
      </c>
      <c r="D2215">
        <v>2704</v>
      </c>
      <c r="E2215">
        <v>101635</v>
      </c>
      <c r="F2215">
        <f t="shared" si="233"/>
        <v>37.586908284023671</v>
      </c>
      <c r="G2215">
        <f t="shared" si="231"/>
        <v>1704.9421597633136</v>
      </c>
      <c r="H2215">
        <v>1095.835</v>
      </c>
      <c r="I2215" t="s">
        <v>38</v>
      </c>
      <c r="J2215">
        <f t="shared" si="232"/>
        <v>24.158619929453263</v>
      </c>
      <c r="K2215">
        <v>25505.193937477779</v>
      </c>
    </row>
    <row r="2216" spans="1:11" x14ac:dyDescent="0.35">
      <c r="A2216" s="1">
        <v>42186</v>
      </c>
      <c r="B2216" t="s">
        <v>9</v>
      </c>
      <c r="C2216" t="s">
        <v>38</v>
      </c>
      <c r="D2216">
        <v>2735</v>
      </c>
      <c r="E2216">
        <v>103365</v>
      </c>
      <c r="F2216">
        <f t="shared" si="233"/>
        <v>37.793418647166362</v>
      </c>
      <c r="G2216">
        <f t="shared" si="231"/>
        <v>1714.3094698354662</v>
      </c>
      <c r="H2216">
        <v>1016.0333333333333</v>
      </c>
      <c r="I2216" t="s">
        <v>38</v>
      </c>
      <c r="J2216">
        <f t="shared" si="232"/>
        <v>22.399323927101705</v>
      </c>
      <c r="K2216">
        <v>25505.193937477779</v>
      </c>
    </row>
    <row r="2217" spans="1:11" x14ac:dyDescent="0.35">
      <c r="A2217" s="1">
        <v>42217</v>
      </c>
      <c r="B2217" t="s">
        <v>9</v>
      </c>
      <c r="C2217" t="s">
        <v>38</v>
      </c>
      <c r="D2217">
        <v>2659</v>
      </c>
      <c r="E2217">
        <v>102200</v>
      </c>
      <c r="F2217">
        <f t="shared" si="233"/>
        <v>38.435502068446787</v>
      </c>
      <c r="G2217">
        <f t="shared" si="231"/>
        <v>1743.4343738247462</v>
      </c>
      <c r="H2217">
        <v>1041.75</v>
      </c>
      <c r="I2217" t="s">
        <v>38</v>
      </c>
      <c r="J2217">
        <f t="shared" si="232"/>
        <v>22.966269841269842</v>
      </c>
      <c r="K2217">
        <v>25505.193937477779</v>
      </c>
    </row>
    <row r="2218" spans="1:11" x14ac:dyDescent="0.35">
      <c r="A2218" s="1">
        <v>42248</v>
      </c>
      <c r="B2218" t="s">
        <v>9</v>
      </c>
      <c r="C2218" t="s">
        <v>38</v>
      </c>
      <c r="D2218">
        <v>4865</v>
      </c>
      <c r="E2218">
        <v>191375</v>
      </c>
      <c r="F2218">
        <f t="shared" si="233"/>
        <v>39.337101747173691</v>
      </c>
      <c r="G2218">
        <f t="shared" si="231"/>
        <v>1784.3309352517986</v>
      </c>
      <c r="H2218">
        <v>989.58333333333326</v>
      </c>
      <c r="I2218" t="s">
        <v>38</v>
      </c>
      <c r="J2218">
        <f t="shared" si="232"/>
        <v>21.816211052322164</v>
      </c>
      <c r="K2218">
        <v>25505.193937477779</v>
      </c>
    </row>
    <row r="2219" spans="1:11" x14ac:dyDescent="0.35">
      <c r="A2219" s="1">
        <v>42278</v>
      </c>
      <c r="B2219" t="s">
        <v>9</v>
      </c>
      <c r="C2219" t="s">
        <v>38</v>
      </c>
      <c r="D2219">
        <v>3759</v>
      </c>
      <c r="E2219">
        <v>143545</v>
      </c>
      <c r="F2219">
        <f t="shared" si="233"/>
        <v>38.187017823889335</v>
      </c>
      <c r="G2219">
        <f t="shared" si="231"/>
        <v>1732.1631284916202</v>
      </c>
      <c r="H2219">
        <v>981.25</v>
      </c>
      <c r="I2219" t="s">
        <v>38</v>
      </c>
      <c r="J2219">
        <f t="shared" si="232"/>
        <v>21.632495590828924</v>
      </c>
      <c r="K2219">
        <v>25505.193937477779</v>
      </c>
    </row>
    <row r="2220" spans="1:11" x14ac:dyDescent="0.35">
      <c r="A2220" s="1">
        <v>42309</v>
      </c>
      <c r="B2220" t="s">
        <v>9</v>
      </c>
      <c r="C2220" t="s">
        <v>38</v>
      </c>
      <c r="D2220">
        <v>3662</v>
      </c>
      <c r="E2220">
        <v>102147.00000000001</v>
      </c>
      <c r="F2220">
        <f t="shared" si="233"/>
        <v>27.893773894046973</v>
      </c>
      <c r="G2220">
        <f t="shared" si="231"/>
        <v>1265.2615838339707</v>
      </c>
      <c r="H2220">
        <v>1000</v>
      </c>
      <c r="I2220" t="s">
        <v>38</v>
      </c>
      <c r="J2220">
        <f t="shared" si="232"/>
        <v>22.045855379188712</v>
      </c>
      <c r="K2220">
        <v>25505.193937477779</v>
      </c>
    </row>
    <row r="2221" spans="1:11" x14ac:dyDescent="0.35">
      <c r="A2221" s="1">
        <v>42339</v>
      </c>
      <c r="B2221" t="s">
        <v>9</v>
      </c>
      <c r="C2221" t="s">
        <v>38</v>
      </c>
      <c r="D2221">
        <v>2785</v>
      </c>
      <c r="E2221">
        <v>98958</v>
      </c>
      <c r="F2221">
        <f t="shared" si="233"/>
        <v>35.532495511669659</v>
      </c>
      <c r="G2221">
        <f t="shared" si="231"/>
        <v>1611.7539964093357</v>
      </c>
      <c r="H2221">
        <v>1100</v>
      </c>
      <c r="I2221" t="s">
        <v>38</v>
      </c>
      <c r="J2221">
        <f t="shared" si="232"/>
        <v>24.250440917107586</v>
      </c>
      <c r="K2221">
        <v>25505.193937477779</v>
      </c>
    </row>
    <row r="2222" spans="1:11" x14ac:dyDescent="0.35">
      <c r="A2222" s="1">
        <v>42005</v>
      </c>
      <c r="B2222" t="s">
        <v>10</v>
      </c>
      <c r="C2222" t="s">
        <v>38</v>
      </c>
      <c r="D2222">
        <v>5410</v>
      </c>
      <c r="E2222">
        <v>75241</v>
      </c>
      <c r="F2222">
        <f t="shared" si="233"/>
        <v>13.907763401109058</v>
      </c>
      <c r="G2222">
        <f t="shared" si="231"/>
        <v>630.85614787430688</v>
      </c>
      <c r="H2222">
        <v>1245.5625</v>
      </c>
      <c r="I2222" t="s">
        <v>38</v>
      </c>
      <c r="J2222">
        <f t="shared" si="232"/>
        <v>27.45949074074074</v>
      </c>
      <c r="K2222">
        <v>9240.5655642007696</v>
      </c>
    </row>
    <row r="2223" spans="1:11" x14ac:dyDescent="0.35">
      <c r="A2223" s="1">
        <v>42036</v>
      </c>
      <c r="B2223" t="s">
        <v>10</v>
      </c>
      <c r="C2223" t="s">
        <v>38</v>
      </c>
      <c r="D2223">
        <v>8649</v>
      </c>
      <c r="E2223">
        <v>77017</v>
      </c>
      <c r="F2223">
        <f t="shared" si="233"/>
        <v>8.9047288703896399</v>
      </c>
      <c r="G2223">
        <f t="shared" si="231"/>
        <v>403.91850156087406</v>
      </c>
      <c r="H2223">
        <v>1512.140625</v>
      </c>
      <c r="I2223" t="s">
        <v>38</v>
      </c>
      <c r="J2223">
        <f t="shared" si="232"/>
        <v>33.336433531746032</v>
      </c>
      <c r="K2223">
        <v>9240.5655642007696</v>
      </c>
    </row>
    <row r="2224" spans="1:11" x14ac:dyDescent="0.35">
      <c r="A2224" s="1">
        <v>42064</v>
      </c>
      <c r="B2224" t="s">
        <v>10</v>
      </c>
      <c r="C2224" t="s">
        <v>38</v>
      </c>
      <c r="D2224">
        <v>6585</v>
      </c>
      <c r="E2224">
        <v>51933</v>
      </c>
      <c r="F2224">
        <f t="shared" si="233"/>
        <v>7.8865603644646924</v>
      </c>
      <c r="G2224">
        <f t="shared" si="231"/>
        <v>357.73437813211842</v>
      </c>
      <c r="H2224">
        <v>1525.78125</v>
      </c>
      <c r="I2224" t="s">
        <v>38</v>
      </c>
      <c r="J2224">
        <f t="shared" si="232"/>
        <v>33.637152777777779</v>
      </c>
      <c r="K2224">
        <v>9240.5655642007696</v>
      </c>
    </row>
    <row r="2225" spans="1:11" x14ac:dyDescent="0.35">
      <c r="A2225" s="1">
        <v>42095</v>
      </c>
      <c r="B2225" t="s">
        <v>10</v>
      </c>
      <c r="C2225" t="s">
        <v>38</v>
      </c>
      <c r="D2225">
        <v>7201</v>
      </c>
      <c r="E2225">
        <v>66201</v>
      </c>
      <c r="F2225">
        <f t="shared" si="233"/>
        <v>9.1933064852103872</v>
      </c>
      <c r="G2225">
        <f t="shared" si="231"/>
        <v>417.00838216914315</v>
      </c>
      <c r="H2225">
        <v>1517.6785714285713</v>
      </c>
      <c r="I2225" t="s">
        <v>38</v>
      </c>
      <c r="J2225">
        <f t="shared" si="232"/>
        <v>33.45852229780801</v>
      </c>
      <c r="K2225">
        <v>9240.5655642007696</v>
      </c>
    </row>
    <row r="2226" spans="1:11" x14ac:dyDescent="0.35">
      <c r="A2226" s="1">
        <v>42125</v>
      </c>
      <c r="B2226" t="s">
        <v>10</v>
      </c>
      <c r="C2226" t="s">
        <v>38</v>
      </c>
      <c r="D2226">
        <v>5114</v>
      </c>
      <c r="E2226">
        <v>37543.999999999993</v>
      </c>
      <c r="F2226">
        <f t="shared" si="233"/>
        <v>7.3414157215486888</v>
      </c>
      <c r="G2226">
        <f t="shared" si="231"/>
        <v>333.0066171294485</v>
      </c>
      <c r="H2226">
        <v>1447.5104166666665</v>
      </c>
      <c r="I2226" t="s">
        <v>38</v>
      </c>
      <c r="J2226">
        <f t="shared" si="232"/>
        <v>31.911605305702526</v>
      </c>
      <c r="K2226">
        <v>9240.5655642007696</v>
      </c>
    </row>
    <row r="2227" spans="1:11" x14ac:dyDescent="0.35">
      <c r="A2227" s="1">
        <v>42156</v>
      </c>
      <c r="B2227" t="s">
        <v>10</v>
      </c>
      <c r="C2227" t="s">
        <v>38</v>
      </c>
      <c r="D2227">
        <v>4923</v>
      </c>
      <c r="E2227">
        <v>47240</v>
      </c>
      <c r="F2227">
        <f t="shared" si="233"/>
        <v>9.5957749339833427</v>
      </c>
      <c r="G2227">
        <f t="shared" si="231"/>
        <v>435.2643510054844</v>
      </c>
      <c r="H2227">
        <v>1516.4166666666667</v>
      </c>
      <c r="I2227" t="s">
        <v>38</v>
      </c>
      <c r="J2227">
        <f t="shared" si="232"/>
        <v>33.430702527924751</v>
      </c>
      <c r="K2227">
        <v>9240.5655642007696</v>
      </c>
    </row>
    <row r="2228" spans="1:11" x14ac:dyDescent="0.35">
      <c r="A2228" s="1">
        <v>42186</v>
      </c>
      <c r="B2228" t="s">
        <v>10</v>
      </c>
      <c r="C2228" t="s">
        <v>38</v>
      </c>
      <c r="D2228">
        <v>6144</v>
      </c>
      <c r="E2228">
        <v>53570</v>
      </c>
      <c r="F2228">
        <f t="shared" si="233"/>
        <v>8.7190755208333339</v>
      </c>
      <c r="G2228">
        <f t="shared" ref="G2228:G2291" si="234">F2228*45.36</f>
        <v>395.49726562500001</v>
      </c>
      <c r="H2228">
        <v>1562.0572916666665</v>
      </c>
      <c r="I2228" t="s">
        <v>38</v>
      </c>
      <c r="J2228">
        <f t="shared" si="232"/>
        <v>34.436889146090529</v>
      </c>
      <c r="K2228">
        <v>9240.5655642007696</v>
      </c>
    </row>
    <row r="2229" spans="1:11" x14ac:dyDescent="0.35">
      <c r="A2229" s="1">
        <v>42217</v>
      </c>
      <c r="B2229" t="s">
        <v>10</v>
      </c>
      <c r="C2229" t="s">
        <v>38</v>
      </c>
      <c r="D2229">
        <v>4324</v>
      </c>
      <c r="E2229">
        <v>47243</v>
      </c>
      <c r="F2229">
        <f t="shared" si="233"/>
        <v>10.925763182238668</v>
      </c>
      <c r="G2229">
        <f t="shared" si="234"/>
        <v>495.59261794634602</v>
      </c>
      <c r="H2229">
        <v>1597.1071428571429</v>
      </c>
      <c r="I2229" t="s">
        <v>38</v>
      </c>
      <c r="J2229">
        <f t="shared" si="232"/>
        <v>35.209593096497862</v>
      </c>
      <c r="K2229">
        <v>9240.5655642007696</v>
      </c>
    </row>
    <row r="2230" spans="1:11" x14ac:dyDescent="0.35">
      <c r="A2230" s="1">
        <v>42248</v>
      </c>
      <c r="B2230" t="s">
        <v>10</v>
      </c>
      <c r="C2230" t="s">
        <v>38</v>
      </c>
      <c r="D2230">
        <v>4190</v>
      </c>
      <c r="E2230">
        <v>32463</v>
      </c>
      <c r="F2230">
        <f t="shared" si="233"/>
        <v>7.7477326968973745</v>
      </c>
      <c r="G2230">
        <f t="shared" si="234"/>
        <v>351.43715513126489</v>
      </c>
      <c r="H2230">
        <v>1750.8928571428571</v>
      </c>
      <c r="I2230" t="s">
        <v>38</v>
      </c>
      <c r="J2230">
        <f t="shared" si="232"/>
        <v>38.599930713025948</v>
      </c>
      <c r="K2230">
        <v>9240.5655642007696</v>
      </c>
    </row>
    <row r="2231" spans="1:11" x14ac:dyDescent="0.35">
      <c r="A2231" s="1">
        <v>42278</v>
      </c>
      <c r="B2231" t="s">
        <v>10</v>
      </c>
      <c r="C2231" t="s">
        <v>38</v>
      </c>
      <c r="D2231">
        <v>5452</v>
      </c>
      <c r="E2231">
        <v>55900</v>
      </c>
      <c r="F2231">
        <f t="shared" si="233"/>
        <v>10.253118121790168</v>
      </c>
      <c r="G2231">
        <f t="shared" si="234"/>
        <v>465.081438004402</v>
      </c>
      <c r="H2231">
        <v>2106.4885714285715</v>
      </c>
      <c r="I2231" t="s">
        <v>38</v>
      </c>
      <c r="J2231">
        <f t="shared" si="232"/>
        <v>46.439342403628117</v>
      </c>
      <c r="K2231">
        <v>9240.5655642007696</v>
      </c>
    </row>
    <row r="2232" spans="1:11" x14ac:dyDescent="0.35">
      <c r="A2232" s="1">
        <v>42309</v>
      </c>
      <c r="B2232" t="s">
        <v>10</v>
      </c>
      <c r="C2232" t="s">
        <v>38</v>
      </c>
      <c r="D2232">
        <v>6623.9999999999991</v>
      </c>
      <c r="E2232">
        <v>49130</v>
      </c>
      <c r="F2232">
        <f t="shared" si="233"/>
        <v>7.416968599033817</v>
      </c>
      <c r="G2232">
        <f t="shared" si="234"/>
        <v>336.43369565217392</v>
      </c>
      <c r="H2232">
        <v>1946.2147619047621</v>
      </c>
      <c r="I2232" t="s">
        <v>38</v>
      </c>
      <c r="J2232">
        <f t="shared" si="232"/>
        <v>42.905969177794582</v>
      </c>
      <c r="K2232">
        <v>9240.5655642007696</v>
      </c>
    </row>
    <row r="2233" spans="1:11" x14ac:dyDescent="0.35">
      <c r="A2233" s="1">
        <v>42339</v>
      </c>
      <c r="B2233" t="s">
        <v>10</v>
      </c>
      <c r="C2233" t="s">
        <v>38</v>
      </c>
      <c r="D2233">
        <v>9895</v>
      </c>
      <c r="E2233">
        <v>94311</v>
      </c>
      <c r="F2233">
        <f t="shared" si="233"/>
        <v>9.5311773623041933</v>
      </c>
      <c r="G2233">
        <f t="shared" si="234"/>
        <v>432.33420515411819</v>
      </c>
      <c r="H2233">
        <v>2422.261428571429</v>
      </c>
      <c r="I2233" t="s">
        <v>38</v>
      </c>
      <c r="J2233">
        <f t="shared" si="232"/>
        <v>53.400825144872776</v>
      </c>
      <c r="K2233">
        <v>9240.5655642007696</v>
      </c>
    </row>
    <row r="2234" spans="1:11" x14ac:dyDescent="0.35">
      <c r="A2234" s="1">
        <v>42005</v>
      </c>
      <c r="B2234" t="s">
        <v>11</v>
      </c>
      <c r="C2234" t="s">
        <v>38</v>
      </c>
      <c r="D2234">
        <v>27856.999999999996</v>
      </c>
      <c r="E2234">
        <v>286214</v>
      </c>
      <c r="F2234">
        <f t="shared" si="233"/>
        <v>10.274401407186705</v>
      </c>
      <c r="G2234">
        <f t="shared" si="234"/>
        <v>466.04684782998891</v>
      </c>
      <c r="H2234">
        <v>465.28333333333342</v>
      </c>
      <c r="I2234" t="s">
        <v>38</v>
      </c>
      <c r="J2234">
        <f t="shared" si="232"/>
        <v>10.257569077013523</v>
      </c>
      <c r="K2234">
        <v>5033.4530378825129</v>
      </c>
    </row>
    <row r="2235" spans="1:11" x14ac:dyDescent="0.35">
      <c r="A2235" s="1">
        <v>42036</v>
      </c>
      <c r="B2235" t="s">
        <v>11</v>
      </c>
      <c r="C2235" t="s">
        <v>38</v>
      </c>
      <c r="D2235">
        <v>45210.000000000007</v>
      </c>
      <c r="E2235">
        <v>452121.99999999988</v>
      </c>
      <c r="F2235">
        <f t="shared" si="233"/>
        <v>10.000486618004862</v>
      </c>
      <c r="G2235">
        <f t="shared" si="234"/>
        <v>453.62207299270051</v>
      </c>
      <c r="H2235">
        <v>471.983</v>
      </c>
      <c r="I2235" t="s">
        <v>38</v>
      </c>
      <c r="J2235">
        <f t="shared" si="232"/>
        <v>10.405268959435626</v>
      </c>
      <c r="K2235">
        <v>5033.4530378825129</v>
      </c>
    </row>
    <row r="2236" spans="1:11" x14ac:dyDescent="0.35">
      <c r="A2236" s="1">
        <v>42064</v>
      </c>
      <c r="B2236" t="s">
        <v>11</v>
      </c>
      <c r="C2236" t="s">
        <v>38</v>
      </c>
      <c r="D2236">
        <v>26021.000000000004</v>
      </c>
      <c r="E2236">
        <v>258967</v>
      </c>
      <c r="F2236">
        <f t="shared" si="233"/>
        <v>9.952230890434647</v>
      </c>
      <c r="G2236">
        <f t="shared" si="234"/>
        <v>451.43319319011556</v>
      </c>
      <c r="H2236">
        <v>486.5</v>
      </c>
      <c r="I2236" t="s">
        <v>38</v>
      </c>
      <c r="J2236">
        <f t="shared" si="232"/>
        <v>10.725308641975309</v>
      </c>
      <c r="K2236">
        <v>5033.4530378825129</v>
      </c>
    </row>
    <row r="2237" spans="1:11" x14ac:dyDescent="0.35">
      <c r="A2237" s="1">
        <v>42095</v>
      </c>
      <c r="B2237" t="s">
        <v>11</v>
      </c>
      <c r="C2237" t="s">
        <v>38</v>
      </c>
      <c r="D2237">
        <v>26587</v>
      </c>
      <c r="E2237">
        <v>258930</v>
      </c>
      <c r="F2237">
        <f t="shared" si="233"/>
        <v>9.7389701733930121</v>
      </c>
      <c r="G2237">
        <f t="shared" si="234"/>
        <v>441.75968706510702</v>
      </c>
      <c r="H2237">
        <v>535.26039999999989</v>
      </c>
      <c r="I2237" t="s">
        <v>38</v>
      </c>
      <c r="J2237">
        <f t="shared" si="232"/>
        <v>11.8002733686067</v>
      </c>
      <c r="K2237">
        <v>5033.4530378825129</v>
      </c>
    </row>
    <row r="2238" spans="1:11" x14ac:dyDescent="0.35">
      <c r="A2238" s="1">
        <v>42125</v>
      </c>
      <c r="B2238" t="s">
        <v>11</v>
      </c>
      <c r="C2238" t="s">
        <v>38</v>
      </c>
      <c r="D2238">
        <v>30244.000000000007</v>
      </c>
      <c r="E2238">
        <v>289544</v>
      </c>
      <c r="F2238">
        <f t="shared" si="233"/>
        <v>9.5736013754794325</v>
      </c>
      <c r="G2238">
        <f t="shared" si="234"/>
        <v>434.25855839174704</v>
      </c>
      <c r="H2238">
        <v>459.97499999999997</v>
      </c>
      <c r="I2238" t="s">
        <v>38</v>
      </c>
      <c r="J2238">
        <f t="shared" si="232"/>
        <v>10.140542328042327</v>
      </c>
      <c r="K2238">
        <v>5033.4530378825129</v>
      </c>
    </row>
    <row r="2239" spans="1:11" x14ac:dyDescent="0.35">
      <c r="A2239" s="1">
        <v>42156</v>
      </c>
      <c r="B2239" t="s">
        <v>11</v>
      </c>
      <c r="C2239" t="s">
        <v>38</v>
      </c>
      <c r="D2239">
        <v>27447</v>
      </c>
      <c r="E2239">
        <v>259843.99999999994</v>
      </c>
      <c r="F2239">
        <f t="shared" si="233"/>
        <v>9.4671184464604483</v>
      </c>
      <c r="G2239">
        <f t="shared" si="234"/>
        <v>429.42849273144594</v>
      </c>
      <c r="H2239">
        <v>863.28125</v>
      </c>
      <c r="I2239" t="s">
        <v>38</v>
      </c>
      <c r="J2239">
        <f t="shared" ref="J2239:J2269" si="235">H2239/45.36</f>
        <v>19.031773589065256</v>
      </c>
      <c r="K2239">
        <v>5033.4530378825129</v>
      </c>
    </row>
    <row r="2240" spans="1:11" x14ac:dyDescent="0.35">
      <c r="A2240" s="1">
        <v>42186</v>
      </c>
      <c r="B2240" t="s">
        <v>11</v>
      </c>
      <c r="C2240" t="s">
        <v>38</v>
      </c>
      <c r="D2240">
        <v>21743.999999999996</v>
      </c>
      <c r="E2240">
        <v>211753</v>
      </c>
      <c r="F2240">
        <f t="shared" si="233"/>
        <v>9.7384565857247996</v>
      </c>
      <c r="G2240">
        <f t="shared" si="234"/>
        <v>441.73639072847692</v>
      </c>
      <c r="H2240">
        <v>495.03918125000007</v>
      </c>
      <c r="I2240" t="s">
        <v>38</v>
      </c>
      <c r="J2240">
        <f t="shared" si="235"/>
        <v>10.91356219686949</v>
      </c>
      <c r="K2240">
        <v>5033.4530378825129</v>
      </c>
    </row>
    <row r="2241" spans="1:11" x14ac:dyDescent="0.35">
      <c r="A2241" s="1">
        <v>42217</v>
      </c>
      <c r="B2241" t="s">
        <v>11</v>
      </c>
      <c r="C2241" t="s">
        <v>38</v>
      </c>
      <c r="D2241">
        <v>21371</v>
      </c>
      <c r="E2241">
        <v>205752</v>
      </c>
      <c r="F2241">
        <f t="shared" si="233"/>
        <v>9.627626222450985</v>
      </c>
      <c r="G2241">
        <f t="shared" si="234"/>
        <v>436.70912545037669</v>
      </c>
      <c r="H2241">
        <v>969.71428571428567</v>
      </c>
      <c r="I2241" t="s">
        <v>38</v>
      </c>
      <c r="J2241">
        <f t="shared" si="235"/>
        <v>21.378180901990426</v>
      </c>
      <c r="K2241">
        <v>5033.4530378825129</v>
      </c>
    </row>
    <row r="2242" spans="1:11" x14ac:dyDescent="0.35">
      <c r="A2242" s="1">
        <v>42248</v>
      </c>
      <c r="B2242" t="s">
        <v>11</v>
      </c>
      <c r="C2242" t="s">
        <v>38</v>
      </c>
      <c r="D2242">
        <v>26144</v>
      </c>
      <c r="E2242">
        <v>258473.99999999997</v>
      </c>
      <c r="F2242">
        <f t="shared" si="233"/>
        <v>9.8865514075887386</v>
      </c>
      <c r="G2242">
        <f t="shared" si="234"/>
        <v>448.45397184822519</v>
      </c>
      <c r="H2242">
        <v>1060.127619047619</v>
      </c>
      <c r="I2242" t="s">
        <v>38</v>
      </c>
      <c r="J2242">
        <f t="shared" si="235"/>
        <v>23.371420173007472</v>
      </c>
      <c r="K2242">
        <v>5033.4530378825129</v>
      </c>
    </row>
    <row r="2243" spans="1:11" x14ac:dyDescent="0.35">
      <c r="A2243" s="1">
        <v>42278</v>
      </c>
      <c r="B2243" t="s">
        <v>11</v>
      </c>
      <c r="C2243" t="s">
        <v>38</v>
      </c>
      <c r="D2243">
        <v>30144.999999999996</v>
      </c>
      <c r="E2243">
        <v>275483.99999999994</v>
      </c>
      <c r="F2243">
        <f t="shared" si="233"/>
        <v>9.1386299552164534</v>
      </c>
      <c r="G2243">
        <f t="shared" si="234"/>
        <v>414.5282547686183</v>
      </c>
      <c r="H2243">
        <v>1096.2142857142858</v>
      </c>
      <c r="I2243" t="s">
        <v>38</v>
      </c>
      <c r="J2243">
        <f t="shared" si="235"/>
        <v>24.166981607457799</v>
      </c>
      <c r="K2243">
        <v>5033.4530378825129</v>
      </c>
    </row>
    <row r="2244" spans="1:11" x14ac:dyDescent="0.35">
      <c r="A2244" s="1">
        <v>42309</v>
      </c>
      <c r="B2244" t="s">
        <v>11</v>
      </c>
      <c r="C2244" t="s">
        <v>38</v>
      </c>
      <c r="D2244">
        <v>45744</v>
      </c>
      <c r="E2244">
        <v>415066.99999999994</v>
      </c>
      <c r="F2244">
        <f t="shared" si="233"/>
        <v>9.0736927247289252</v>
      </c>
      <c r="G2244">
        <f t="shared" si="234"/>
        <v>411.58270199370406</v>
      </c>
      <c r="H2244">
        <v>981.10714285714289</v>
      </c>
      <c r="I2244" t="s">
        <v>38</v>
      </c>
      <c r="J2244">
        <f t="shared" si="235"/>
        <v>21.629346182917612</v>
      </c>
      <c r="K2244">
        <v>5033.4530378825129</v>
      </c>
    </row>
    <row r="2245" spans="1:11" x14ac:dyDescent="0.35">
      <c r="A2245" s="1">
        <v>42339</v>
      </c>
      <c r="B2245" t="s">
        <v>11</v>
      </c>
      <c r="C2245" t="s">
        <v>38</v>
      </c>
      <c r="D2245">
        <v>28541.000000000004</v>
      </c>
      <c r="E2245">
        <v>342144.99999999994</v>
      </c>
      <c r="F2245">
        <f t="shared" si="233"/>
        <v>11.987842051785147</v>
      </c>
      <c r="G2245">
        <f t="shared" si="234"/>
        <v>543.76851546897433</v>
      </c>
      <c r="H2245">
        <v>998.99047619047622</v>
      </c>
      <c r="I2245" t="s">
        <v>38</v>
      </c>
      <c r="J2245">
        <f t="shared" si="235"/>
        <v>22.023599563282104</v>
      </c>
      <c r="K2245">
        <v>5033.4530378825129</v>
      </c>
    </row>
    <row r="2246" spans="1:11" x14ac:dyDescent="0.35">
      <c r="A2246" s="1">
        <v>42005</v>
      </c>
      <c r="B2246" t="s">
        <v>12</v>
      </c>
      <c r="C2246" t="s">
        <v>38</v>
      </c>
      <c r="D2246">
        <v>12546.999999999996</v>
      </c>
      <c r="E2246">
        <v>72652</v>
      </c>
      <c r="F2246">
        <f t="shared" si="233"/>
        <v>5.7903881405913777</v>
      </c>
      <c r="G2246">
        <f t="shared" si="234"/>
        <v>262.65200605722487</v>
      </c>
      <c r="H2246">
        <v>745</v>
      </c>
      <c r="I2246" t="s">
        <v>38</v>
      </c>
      <c r="J2246">
        <f t="shared" si="235"/>
        <v>16.424162257495592</v>
      </c>
      <c r="K2246">
        <v>2123.3608896042615</v>
      </c>
    </row>
    <row r="2247" spans="1:11" x14ac:dyDescent="0.35">
      <c r="A2247" s="1">
        <v>42036</v>
      </c>
      <c r="B2247" t="s">
        <v>12</v>
      </c>
      <c r="C2247" t="s">
        <v>38</v>
      </c>
      <c r="D2247">
        <v>8849</v>
      </c>
      <c r="E2247">
        <v>53458</v>
      </c>
      <c r="F2247">
        <f t="shared" si="233"/>
        <v>6.0411345914792633</v>
      </c>
      <c r="G2247">
        <f t="shared" si="234"/>
        <v>274.02586506949939</v>
      </c>
      <c r="H2247">
        <v>787.18799999999999</v>
      </c>
      <c r="I2247" t="s">
        <v>38</v>
      </c>
      <c r="J2247">
        <f t="shared" si="235"/>
        <v>17.354232804232804</v>
      </c>
      <c r="K2247">
        <v>2123.3608896042615</v>
      </c>
    </row>
    <row r="2248" spans="1:11" x14ac:dyDescent="0.35">
      <c r="A2248" s="1">
        <v>42064</v>
      </c>
      <c r="B2248" t="s">
        <v>12</v>
      </c>
      <c r="C2248" t="s">
        <v>38</v>
      </c>
      <c r="D2248">
        <v>12901</v>
      </c>
      <c r="E2248">
        <v>58980</v>
      </c>
      <c r="F2248">
        <f t="shared" si="233"/>
        <v>4.5717386249127978</v>
      </c>
      <c r="G2248">
        <f t="shared" si="234"/>
        <v>207.37406402604449</v>
      </c>
      <c r="H2248">
        <v>770.41666666666663</v>
      </c>
      <c r="I2248" t="s">
        <v>38</v>
      </c>
      <c r="J2248">
        <f t="shared" si="235"/>
        <v>16.984494415049969</v>
      </c>
      <c r="K2248">
        <v>2123.3608896042615</v>
      </c>
    </row>
    <row r="2249" spans="1:11" x14ac:dyDescent="0.35">
      <c r="A2249" s="1">
        <v>42095</v>
      </c>
      <c r="B2249" t="s">
        <v>12</v>
      </c>
      <c r="C2249" t="s">
        <v>38</v>
      </c>
      <c r="D2249">
        <v>9703</v>
      </c>
      <c r="E2249">
        <v>65042</v>
      </c>
      <c r="F2249">
        <f t="shared" si="233"/>
        <v>6.7032876429970116</v>
      </c>
      <c r="G2249">
        <f t="shared" si="234"/>
        <v>304.06112748634445</v>
      </c>
      <c r="H2249">
        <v>684.88833333333332</v>
      </c>
      <c r="I2249" t="s">
        <v>38</v>
      </c>
      <c r="J2249">
        <f t="shared" si="235"/>
        <v>15.098949147560258</v>
      </c>
      <c r="K2249">
        <v>2123.3608896042615</v>
      </c>
    </row>
    <row r="2250" spans="1:11" x14ac:dyDescent="0.35">
      <c r="A2250" s="1">
        <v>42125</v>
      </c>
      <c r="B2250" t="s">
        <v>12</v>
      </c>
      <c r="C2250" t="s">
        <v>38</v>
      </c>
      <c r="D2250">
        <v>6854</v>
      </c>
      <c r="E2250">
        <v>44100</v>
      </c>
      <c r="F2250">
        <f t="shared" si="233"/>
        <v>6.4341990078786111</v>
      </c>
      <c r="G2250">
        <f t="shared" si="234"/>
        <v>291.8552669973738</v>
      </c>
      <c r="H2250">
        <v>784.7</v>
      </c>
      <c r="I2250" t="s">
        <v>38</v>
      </c>
      <c r="J2250">
        <f t="shared" si="235"/>
        <v>17.299382716049383</v>
      </c>
      <c r="K2250">
        <v>2123.3608896042615</v>
      </c>
    </row>
    <row r="2251" spans="1:11" x14ac:dyDescent="0.35">
      <c r="A2251" s="1">
        <v>42156</v>
      </c>
      <c r="B2251" t="s">
        <v>12</v>
      </c>
      <c r="C2251" t="s">
        <v>38</v>
      </c>
      <c r="D2251">
        <v>16524</v>
      </c>
      <c r="E2251">
        <v>84044</v>
      </c>
      <c r="F2251">
        <f t="shared" si="233"/>
        <v>5.0861776809489232</v>
      </c>
      <c r="G2251">
        <f t="shared" si="234"/>
        <v>230.70901960784315</v>
      </c>
      <c r="H2251">
        <v>782.36083333333329</v>
      </c>
      <c r="I2251" t="s">
        <v>38</v>
      </c>
      <c r="J2251">
        <f t="shared" si="235"/>
        <v>17.24781378600823</v>
      </c>
      <c r="K2251">
        <v>2123.3608896042615</v>
      </c>
    </row>
    <row r="2252" spans="1:11" x14ac:dyDescent="0.35">
      <c r="A2252" s="1">
        <v>42186</v>
      </c>
      <c r="B2252" t="s">
        <v>12</v>
      </c>
      <c r="C2252" t="s">
        <v>38</v>
      </c>
      <c r="D2252">
        <v>8108</v>
      </c>
      <c r="E2252">
        <v>45872</v>
      </c>
      <c r="F2252">
        <f t="shared" si="233"/>
        <v>5.6576221016280215</v>
      </c>
      <c r="G2252">
        <f t="shared" si="234"/>
        <v>256.62973852984703</v>
      </c>
      <c r="H2252">
        <v>875.34749999999997</v>
      </c>
      <c r="I2252" t="s">
        <v>38</v>
      </c>
      <c r="J2252">
        <f t="shared" si="235"/>
        <v>19.297784391534393</v>
      </c>
      <c r="K2252">
        <v>2123.3608896042615</v>
      </c>
    </row>
    <row r="2253" spans="1:11" x14ac:dyDescent="0.35">
      <c r="A2253" s="1">
        <v>42217</v>
      </c>
      <c r="B2253" t="s">
        <v>12</v>
      </c>
      <c r="C2253" t="s">
        <v>38</v>
      </c>
      <c r="D2253">
        <v>7572</v>
      </c>
      <c r="E2253">
        <v>49326</v>
      </c>
      <c r="F2253">
        <f t="shared" si="233"/>
        <v>6.5142630744849441</v>
      </c>
      <c r="G2253">
        <f t="shared" si="234"/>
        <v>295.48697305863703</v>
      </c>
      <c r="H2253">
        <v>928.95530000000008</v>
      </c>
      <c r="I2253" t="s">
        <v>38</v>
      </c>
      <c r="J2253">
        <f t="shared" si="235"/>
        <v>20.479614197530868</v>
      </c>
      <c r="K2253">
        <v>2123.3608896042615</v>
      </c>
    </row>
    <row r="2254" spans="1:11" x14ac:dyDescent="0.35">
      <c r="A2254" s="1">
        <v>42248</v>
      </c>
      <c r="B2254" t="s">
        <v>12</v>
      </c>
      <c r="C2254" t="s">
        <v>38</v>
      </c>
      <c r="D2254">
        <v>9955</v>
      </c>
      <c r="E2254">
        <v>59894.999999999993</v>
      </c>
      <c r="F2254">
        <f t="shared" si="233"/>
        <v>6.0165745856353583</v>
      </c>
      <c r="G2254">
        <f t="shared" si="234"/>
        <v>272.91182320441987</v>
      </c>
      <c r="H2254">
        <v>1043.6944444444446</v>
      </c>
      <c r="I2254" t="s">
        <v>38</v>
      </c>
      <c r="J2254">
        <f t="shared" si="235"/>
        <v>23.009136782284934</v>
      </c>
      <c r="K2254">
        <v>2123.3608896042615</v>
      </c>
    </row>
    <row r="2255" spans="1:11" x14ac:dyDescent="0.35">
      <c r="A2255" s="1">
        <v>42278</v>
      </c>
      <c r="B2255" t="s">
        <v>12</v>
      </c>
      <c r="C2255" t="s">
        <v>38</v>
      </c>
      <c r="D2255">
        <v>10012.000000000002</v>
      </c>
      <c r="E2255">
        <v>60157</v>
      </c>
      <c r="F2255">
        <f t="shared" si="233"/>
        <v>6.0084898122253287</v>
      </c>
      <c r="G2255">
        <f t="shared" si="234"/>
        <v>272.54509788254092</v>
      </c>
      <c r="H2255">
        <v>1105.2083333333333</v>
      </c>
      <c r="I2255" t="s">
        <v>38</v>
      </c>
      <c r="J2255">
        <f t="shared" si="235"/>
        <v>24.365263080540856</v>
      </c>
      <c r="K2255">
        <v>2123.3608896042615</v>
      </c>
    </row>
    <row r="2256" spans="1:11" x14ac:dyDescent="0.35">
      <c r="A2256" s="1">
        <v>42309</v>
      </c>
      <c r="B2256" t="s">
        <v>12</v>
      </c>
      <c r="C2256" t="s">
        <v>38</v>
      </c>
      <c r="D2256">
        <v>11940</v>
      </c>
      <c r="E2256">
        <v>76071.999999999985</v>
      </c>
      <c r="F2256">
        <f t="shared" si="233"/>
        <v>6.3711892797319924</v>
      </c>
      <c r="G2256">
        <f t="shared" si="234"/>
        <v>288.99714572864315</v>
      </c>
      <c r="H2256">
        <v>1059.3333333333333</v>
      </c>
      <c r="I2256" t="s">
        <v>38</v>
      </c>
      <c r="J2256">
        <f t="shared" si="235"/>
        <v>23.353909465020575</v>
      </c>
      <c r="K2256">
        <v>2123.3608896042615</v>
      </c>
    </row>
    <row r="2257" spans="1:11" x14ac:dyDescent="0.35">
      <c r="A2257" s="1">
        <v>42339</v>
      </c>
      <c r="B2257" t="s">
        <v>12</v>
      </c>
      <c r="C2257" t="s">
        <v>38</v>
      </c>
      <c r="D2257">
        <v>13845.000000000002</v>
      </c>
      <c r="E2257">
        <v>92540.999999999985</v>
      </c>
      <c r="F2257">
        <f t="shared" si="233"/>
        <v>6.6840736728060657</v>
      </c>
      <c r="G2257">
        <f t="shared" si="234"/>
        <v>303.18958179848312</v>
      </c>
      <c r="H2257">
        <v>900.94444444444434</v>
      </c>
      <c r="I2257" t="s">
        <v>38</v>
      </c>
      <c r="J2257">
        <f t="shared" si="235"/>
        <v>19.86209092690574</v>
      </c>
      <c r="K2257">
        <v>2123.3608896042615</v>
      </c>
    </row>
    <row r="2258" spans="1:11" x14ac:dyDescent="0.35">
      <c r="A2258" s="1">
        <v>42005</v>
      </c>
      <c r="B2258" t="s">
        <v>13</v>
      </c>
      <c r="C2258" t="s">
        <v>38</v>
      </c>
      <c r="D2258">
        <v>4809.9999999999991</v>
      </c>
      <c r="E2258">
        <v>42014</v>
      </c>
      <c r="F2258">
        <f t="shared" si="233"/>
        <v>8.7347193347193368</v>
      </c>
      <c r="G2258">
        <f t="shared" si="234"/>
        <v>396.20686902286911</v>
      </c>
      <c r="H2258">
        <v>496.60885714285712</v>
      </c>
      <c r="I2258" t="s">
        <v>38</v>
      </c>
      <c r="J2258">
        <f t="shared" si="235"/>
        <v>10.948167044595616</v>
      </c>
      <c r="K2258">
        <v>8682.692545605998</v>
      </c>
    </row>
    <row r="2259" spans="1:11" x14ac:dyDescent="0.35">
      <c r="A2259" s="1">
        <v>42036</v>
      </c>
      <c r="B2259" t="s">
        <v>13</v>
      </c>
      <c r="C2259" t="s">
        <v>38</v>
      </c>
      <c r="D2259">
        <v>5176.0000000000009</v>
      </c>
      <c r="E2259">
        <v>33286</v>
      </c>
      <c r="F2259">
        <f t="shared" si="233"/>
        <v>6.4308346213292102</v>
      </c>
      <c r="G2259">
        <f t="shared" si="234"/>
        <v>291.70265842349295</v>
      </c>
      <c r="H2259">
        <v>634.48857142857139</v>
      </c>
      <c r="I2259" t="s">
        <v>38</v>
      </c>
      <c r="J2259">
        <f t="shared" si="235"/>
        <v>13.987843285462333</v>
      </c>
      <c r="K2259">
        <v>8682.692545605998</v>
      </c>
    </row>
    <row r="2260" spans="1:11" x14ac:dyDescent="0.35">
      <c r="A2260" s="1">
        <v>42064</v>
      </c>
      <c r="B2260" t="s">
        <v>13</v>
      </c>
      <c r="C2260" t="s">
        <v>38</v>
      </c>
      <c r="D2260">
        <v>5028</v>
      </c>
      <c r="E2260">
        <v>47662</v>
      </c>
      <c r="F2260">
        <f t="shared" si="233"/>
        <v>9.4793158313444703</v>
      </c>
      <c r="G2260">
        <f t="shared" si="234"/>
        <v>429.98176610978516</v>
      </c>
      <c r="H2260">
        <v>655.55499999999995</v>
      </c>
      <c r="I2260" t="s">
        <v>38</v>
      </c>
      <c r="J2260">
        <f t="shared" si="235"/>
        <v>14.452270723104055</v>
      </c>
      <c r="K2260">
        <v>8682.692545605998</v>
      </c>
    </row>
    <row r="2261" spans="1:11" x14ac:dyDescent="0.35">
      <c r="A2261" s="1">
        <v>42095</v>
      </c>
      <c r="B2261" t="s">
        <v>13</v>
      </c>
      <c r="C2261" t="s">
        <v>38</v>
      </c>
      <c r="D2261">
        <v>5460</v>
      </c>
      <c r="E2261">
        <v>53522</v>
      </c>
      <c r="F2261">
        <f t="shared" si="233"/>
        <v>9.8025641025641033</v>
      </c>
      <c r="G2261">
        <f t="shared" si="234"/>
        <v>444.64430769230773</v>
      </c>
      <c r="H2261">
        <v>579.63814428571425</v>
      </c>
      <c r="I2261" t="s">
        <v>38</v>
      </c>
      <c r="J2261">
        <f t="shared" si="235"/>
        <v>12.778618701184177</v>
      </c>
      <c r="K2261">
        <v>8682.692545605998</v>
      </c>
    </row>
    <row r="2262" spans="1:11" x14ac:dyDescent="0.35">
      <c r="A2262" s="1">
        <v>42125</v>
      </c>
      <c r="B2262" t="s">
        <v>13</v>
      </c>
      <c r="C2262" t="s">
        <v>38</v>
      </c>
      <c r="D2262">
        <v>3421</v>
      </c>
      <c r="E2262">
        <v>32013.999999999894</v>
      </c>
      <c r="F2262">
        <f t="shared" si="233"/>
        <v>9.358082432037385</v>
      </c>
      <c r="G2262">
        <f t="shared" si="234"/>
        <v>424.48261911721579</v>
      </c>
      <c r="H2262">
        <v>749.28571428571433</v>
      </c>
      <c r="I2262" t="s">
        <v>38</v>
      </c>
      <c r="J2262">
        <f t="shared" si="235"/>
        <v>16.518644494834973</v>
      </c>
      <c r="K2262">
        <v>8682.692545605998</v>
      </c>
    </row>
    <row r="2263" spans="1:11" x14ac:dyDescent="0.35">
      <c r="A2263" s="1">
        <v>42156</v>
      </c>
      <c r="B2263" t="s">
        <v>13</v>
      </c>
      <c r="C2263" t="s">
        <v>38</v>
      </c>
      <c r="D2263">
        <v>6789</v>
      </c>
      <c r="E2263">
        <v>38922</v>
      </c>
      <c r="F2263">
        <f t="shared" si="233"/>
        <v>5.7330976579761375</v>
      </c>
      <c r="G2263">
        <f t="shared" si="234"/>
        <v>260.05330976579756</v>
      </c>
      <c r="H2263">
        <v>704.75625000000002</v>
      </c>
      <c r="I2263" t="s">
        <v>38</v>
      </c>
      <c r="J2263">
        <f t="shared" si="235"/>
        <v>15.536954365079366</v>
      </c>
      <c r="K2263">
        <v>8682.692545605998</v>
      </c>
    </row>
    <row r="2264" spans="1:11" x14ac:dyDescent="0.35">
      <c r="A2264" s="1">
        <v>42186</v>
      </c>
      <c r="B2264" t="s">
        <v>13</v>
      </c>
      <c r="C2264" t="s">
        <v>38</v>
      </c>
      <c r="D2264">
        <v>4542.9999999999991</v>
      </c>
      <c r="E2264">
        <v>41748</v>
      </c>
      <c r="F2264">
        <f t="shared" si="233"/>
        <v>9.1895223420647163</v>
      </c>
      <c r="G2264">
        <f t="shared" si="234"/>
        <v>416.83673343605551</v>
      </c>
      <c r="H2264">
        <v>747.29195000000004</v>
      </c>
      <c r="I2264" t="s">
        <v>38</v>
      </c>
      <c r="J2264">
        <f t="shared" si="235"/>
        <v>16.474690255731925</v>
      </c>
      <c r="K2264">
        <v>8682.692545605998</v>
      </c>
    </row>
    <row r="2265" spans="1:11" x14ac:dyDescent="0.35">
      <c r="A2265" s="1">
        <v>42217</v>
      </c>
      <c r="B2265" t="s">
        <v>13</v>
      </c>
      <c r="C2265" t="s">
        <v>38</v>
      </c>
      <c r="D2265">
        <v>3983</v>
      </c>
      <c r="E2265">
        <v>39458</v>
      </c>
      <c r="F2265">
        <f t="shared" si="233"/>
        <v>9.9066030630178261</v>
      </c>
      <c r="G2265">
        <f t="shared" si="234"/>
        <v>449.36351493848861</v>
      </c>
      <c r="H2265">
        <v>815.34185714285718</v>
      </c>
      <c r="I2265" t="s">
        <v>38</v>
      </c>
      <c r="J2265">
        <f t="shared" si="235"/>
        <v>17.974908667170574</v>
      </c>
      <c r="K2265">
        <v>8682.692545605998</v>
      </c>
    </row>
    <row r="2266" spans="1:11" x14ac:dyDescent="0.35">
      <c r="A2266" s="1">
        <v>42248</v>
      </c>
      <c r="B2266" t="s">
        <v>13</v>
      </c>
      <c r="C2266" t="s">
        <v>38</v>
      </c>
      <c r="D2266">
        <v>3754</v>
      </c>
      <c r="E2266">
        <v>34121</v>
      </c>
      <c r="F2266">
        <f t="shared" si="233"/>
        <v>9.0892381459776246</v>
      </c>
      <c r="G2266">
        <f t="shared" si="234"/>
        <v>412.28784230154503</v>
      </c>
      <c r="H2266">
        <v>844.13095238095252</v>
      </c>
      <c r="I2266" t="s">
        <v>38</v>
      </c>
      <c r="J2266">
        <f t="shared" si="235"/>
        <v>18.609588897287313</v>
      </c>
      <c r="K2266">
        <v>8682.692545605998</v>
      </c>
    </row>
    <row r="2267" spans="1:11" x14ac:dyDescent="0.35">
      <c r="A2267" s="1">
        <v>42278</v>
      </c>
      <c r="B2267" t="s">
        <v>13</v>
      </c>
      <c r="C2267" t="s">
        <v>38</v>
      </c>
      <c r="D2267">
        <v>3274</v>
      </c>
      <c r="E2267">
        <v>27275</v>
      </c>
      <c r="F2267">
        <f t="shared" si="233"/>
        <v>8.3307880268784356</v>
      </c>
      <c r="G2267">
        <f t="shared" si="234"/>
        <v>377.88454489920582</v>
      </c>
      <c r="H2267">
        <v>778.19915416666663</v>
      </c>
      <c r="I2267" t="s">
        <v>38</v>
      </c>
      <c r="J2267">
        <f t="shared" si="235"/>
        <v>17.156066008965315</v>
      </c>
      <c r="K2267">
        <v>8682.692545605998</v>
      </c>
    </row>
    <row r="2268" spans="1:11" x14ac:dyDescent="0.35">
      <c r="A2268" s="1">
        <v>42309</v>
      </c>
      <c r="B2268" t="s">
        <v>13</v>
      </c>
      <c r="C2268" t="s">
        <v>38</v>
      </c>
      <c r="D2268">
        <v>5224.9999999999991</v>
      </c>
      <c r="E2268">
        <v>27764</v>
      </c>
      <c r="F2268">
        <f t="shared" si="233"/>
        <v>5.3136842105263167</v>
      </c>
      <c r="G2268">
        <f t="shared" si="234"/>
        <v>241.02871578947372</v>
      </c>
      <c r="H2268">
        <v>815.58</v>
      </c>
      <c r="I2268" t="s">
        <v>38</v>
      </c>
      <c r="J2268">
        <f t="shared" si="235"/>
        <v>17.980158730158731</v>
      </c>
      <c r="K2268">
        <v>8682.692545605998</v>
      </c>
    </row>
    <row r="2269" spans="1:11" x14ac:dyDescent="0.35">
      <c r="A2269" s="1">
        <v>42339</v>
      </c>
      <c r="B2269" t="s">
        <v>13</v>
      </c>
      <c r="C2269" t="s">
        <v>38</v>
      </c>
      <c r="D2269">
        <v>7102</v>
      </c>
      <c r="E2269">
        <v>44521</v>
      </c>
      <c r="F2269">
        <f t="shared" si="233"/>
        <v>6.2687975218248377</v>
      </c>
      <c r="G2269">
        <f t="shared" si="234"/>
        <v>284.35265558997463</v>
      </c>
      <c r="H2269">
        <v>651.95084999999995</v>
      </c>
      <c r="I2269" t="s">
        <v>38</v>
      </c>
      <c r="J2269">
        <f t="shared" si="235"/>
        <v>14.372814153439153</v>
      </c>
      <c r="K2269">
        <v>8682.692545605998</v>
      </c>
    </row>
    <row r="2270" spans="1:11" x14ac:dyDescent="0.35">
      <c r="A2270" s="1">
        <v>42005</v>
      </c>
      <c r="B2270" t="s">
        <v>14</v>
      </c>
      <c r="C2270" t="s">
        <v>38</v>
      </c>
      <c r="D2270">
        <v>69877</v>
      </c>
      <c r="E2270">
        <v>1201444</v>
      </c>
      <c r="F2270">
        <f t="shared" si="233"/>
        <v>17.193697497030495</v>
      </c>
      <c r="G2270">
        <f t="shared" si="234"/>
        <v>779.90611846530328</v>
      </c>
      <c r="H2270">
        <v>6742.5</v>
      </c>
      <c r="I2270" t="s">
        <v>40</v>
      </c>
      <c r="J2270">
        <f>(H2270/1000)/0.56234</f>
        <v>11.990077177508269</v>
      </c>
      <c r="K2270">
        <v>7427.3786743830942</v>
      </c>
    </row>
    <row r="2271" spans="1:11" x14ac:dyDescent="0.35">
      <c r="A2271" s="1">
        <v>42036</v>
      </c>
      <c r="B2271" t="s">
        <v>14</v>
      </c>
      <c r="C2271" t="s">
        <v>38</v>
      </c>
      <c r="D2271">
        <v>93288</v>
      </c>
      <c r="E2271">
        <v>1442919.0000000002</v>
      </c>
      <c r="F2271">
        <f t="shared" si="233"/>
        <v>15.467359145870853</v>
      </c>
      <c r="G2271">
        <f t="shared" si="234"/>
        <v>701.59941085670187</v>
      </c>
      <c r="H2271">
        <v>8835.0833333333339</v>
      </c>
      <c r="I2271" t="s">
        <v>40</v>
      </c>
      <c r="J2271">
        <f t="shared" ref="J2271:J2281" si="236">(H2271/1000)/0.56234</f>
        <v>15.711283802207443</v>
      </c>
      <c r="K2271">
        <v>7427.3786743830942</v>
      </c>
    </row>
    <row r="2272" spans="1:11" x14ac:dyDescent="0.35">
      <c r="A2272" s="1">
        <v>42064</v>
      </c>
      <c r="B2272" t="s">
        <v>14</v>
      </c>
      <c r="C2272" t="s">
        <v>38</v>
      </c>
      <c r="D2272">
        <v>73815</v>
      </c>
      <c r="E2272">
        <v>1100234</v>
      </c>
      <c r="F2272">
        <f t="shared" si="233"/>
        <v>14.905290252658673</v>
      </c>
      <c r="G2272">
        <f t="shared" si="234"/>
        <v>676.10396586059744</v>
      </c>
      <c r="H2272">
        <v>11839.85</v>
      </c>
      <c r="I2272" t="s">
        <v>40</v>
      </c>
      <c r="J2272">
        <f t="shared" si="236"/>
        <v>21.054611089376536</v>
      </c>
      <c r="K2272">
        <v>7427.3786743830942</v>
      </c>
    </row>
    <row r="2273" spans="1:12" x14ac:dyDescent="0.35">
      <c r="A2273" s="1">
        <v>42095</v>
      </c>
      <c r="B2273" t="s">
        <v>14</v>
      </c>
      <c r="C2273" t="s">
        <v>38</v>
      </c>
      <c r="D2273">
        <v>19210.999999999996</v>
      </c>
      <c r="E2273">
        <v>275890</v>
      </c>
      <c r="F2273">
        <f t="shared" si="233"/>
        <v>14.361043152360629</v>
      </c>
      <c r="G2273">
        <f t="shared" si="234"/>
        <v>651.41691739107819</v>
      </c>
      <c r="H2273">
        <v>10063.065000000001</v>
      </c>
      <c r="I2273" t="s">
        <v>40</v>
      </c>
      <c r="J2273">
        <f t="shared" si="236"/>
        <v>17.894983461962514</v>
      </c>
      <c r="K2273">
        <v>7427.3786743830942</v>
      </c>
    </row>
    <row r="2274" spans="1:12" x14ac:dyDescent="0.35">
      <c r="A2274" s="1">
        <v>42125</v>
      </c>
      <c r="B2274" t="s">
        <v>14</v>
      </c>
      <c r="C2274" t="s">
        <v>38</v>
      </c>
      <c r="D2274">
        <v>11024.000000000002</v>
      </c>
      <c r="E2274">
        <v>131843.99999999997</v>
      </c>
      <c r="F2274">
        <f t="shared" si="233"/>
        <v>11.959724238026121</v>
      </c>
      <c r="G2274">
        <f t="shared" si="234"/>
        <v>542.4930914368648</v>
      </c>
      <c r="H2274">
        <v>10960.65</v>
      </c>
      <c r="I2274" t="s">
        <v>40</v>
      </c>
      <c r="J2274">
        <f t="shared" si="236"/>
        <v>19.49114414766867</v>
      </c>
      <c r="K2274">
        <v>7427.3786743830942</v>
      </c>
    </row>
    <row r="2275" spans="1:12" x14ac:dyDescent="0.35">
      <c r="A2275" s="1">
        <v>42156</v>
      </c>
      <c r="B2275" t="s">
        <v>14</v>
      </c>
      <c r="C2275" t="s">
        <v>38</v>
      </c>
      <c r="D2275">
        <v>4298</v>
      </c>
      <c r="E2275">
        <v>98196</v>
      </c>
      <c r="F2275">
        <f t="shared" si="233"/>
        <v>22.846905537459282</v>
      </c>
      <c r="G2275">
        <f t="shared" si="234"/>
        <v>1036.3356351791531</v>
      </c>
      <c r="H2275">
        <v>9043.2000000000007</v>
      </c>
      <c r="I2275" t="s">
        <v>40</v>
      </c>
      <c r="J2275">
        <f t="shared" si="236"/>
        <v>16.081374257566598</v>
      </c>
      <c r="K2275">
        <v>7427.3786743830942</v>
      </c>
    </row>
    <row r="2276" spans="1:12" x14ac:dyDescent="0.35">
      <c r="A2276" s="1">
        <v>42186</v>
      </c>
      <c r="B2276" t="s">
        <v>14</v>
      </c>
      <c r="C2276" t="s">
        <v>38</v>
      </c>
      <c r="D2276">
        <v>37377</v>
      </c>
      <c r="E2276">
        <v>966036</v>
      </c>
      <c r="F2276">
        <f t="shared" si="233"/>
        <v>25.845734007544745</v>
      </c>
      <c r="G2276">
        <f t="shared" si="234"/>
        <v>1172.3624945822296</v>
      </c>
      <c r="H2276">
        <v>10084.25</v>
      </c>
      <c r="I2276" t="s">
        <v>40</v>
      </c>
      <c r="J2276">
        <f t="shared" si="236"/>
        <v>17.932656400042681</v>
      </c>
      <c r="K2276">
        <v>7427.3786743830942</v>
      </c>
    </row>
    <row r="2277" spans="1:12" x14ac:dyDescent="0.35">
      <c r="A2277" s="1">
        <v>42217</v>
      </c>
      <c r="B2277" t="s">
        <v>14</v>
      </c>
      <c r="C2277" t="s">
        <v>38</v>
      </c>
      <c r="D2277">
        <v>64687</v>
      </c>
      <c r="E2277">
        <v>1582800</v>
      </c>
      <c r="F2277">
        <f t="shared" si="233"/>
        <v>24.468594926337595</v>
      </c>
      <c r="G2277">
        <f t="shared" si="234"/>
        <v>1109.8954658586733</v>
      </c>
      <c r="H2277">
        <v>7137.045000000001</v>
      </c>
      <c r="I2277" t="s">
        <v>40</v>
      </c>
      <c r="J2277">
        <f t="shared" si="236"/>
        <v>12.691690080734078</v>
      </c>
      <c r="K2277">
        <v>7427.3786743830942</v>
      </c>
    </row>
    <row r="2278" spans="1:12" x14ac:dyDescent="0.35">
      <c r="A2278" s="1">
        <v>42248</v>
      </c>
      <c r="B2278" t="s">
        <v>14</v>
      </c>
      <c r="C2278" t="s">
        <v>38</v>
      </c>
      <c r="D2278">
        <v>80147</v>
      </c>
      <c r="E2278">
        <v>1824168.0000000005</v>
      </c>
      <c r="F2278">
        <f t="shared" ref="F2278:F2342" si="237">E2278/D2278</f>
        <v>22.760277989194861</v>
      </c>
      <c r="G2278">
        <f t="shared" si="234"/>
        <v>1032.4062095898789</v>
      </c>
      <c r="H2278">
        <v>4466.2807142857146</v>
      </c>
      <c r="I2278" t="s">
        <v>40</v>
      </c>
      <c r="J2278">
        <f t="shared" si="236"/>
        <v>7.9423137501968819</v>
      </c>
      <c r="K2278">
        <v>7427.3786743830942</v>
      </c>
    </row>
    <row r="2279" spans="1:12" x14ac:dyDescent="0.35">
      <c r="A2279" s="1">
        <v>42278</v>
      </c>
      <c r="B2279" t="s">
        <v>14</v>
      </c>
      <c r="C2279" t="s">
        <v>38</v>
      </c>
      <c r="D2279">
        <v>54225</v>
      </c>
      <c r="E2279">
        <v>930780</v>
      </c>
      <c r="F2279">
        <f t="shared" si="237"/>
        <v>17.165145228215767</v>
      </c>
      <c r="G2279">
        <f t="shared" si="234"/>
        <v>778.6109875518672</v>
      </c>
      <c r="H2279">
        <v>4799.2220833333331</v>
      </c>
      <c r="I2279" t="s">
        <v>40</v>
      </c>
      <c r="J2279">
        <f t="shared" si="236"/>
        <v>8.5343779267584274</v>
      </c>
      <c r="K2279">
        <v>7427.3786743830942</v>
      </c>
    </row>
    <row r="2280" spans="1:12" x14ac:dyDescent="0.35">
      <c r="A2280" s="1">
        <v>42309</v>
      </c>
      <c r="B2280" t="s">
        <v>14</v>
      </c>
      <c r="C2280" t="s">
        <v>38</v>
      </c>
      <c r="D2280">
        <v>58546.999999999993</v>
      </c>
      <c r="E2280">
        <v>858072</v>
      </c>
      <c r="F2280">
        <f t="shared" si="237"/>
        <v>14.656122431550722</v>
      </c>
      <c r="G2280">
        <f t="shared" si="234"/>
        <v>664.8017134951408</v>
      </c>
      <c r="H2280">
        <v>5653.8888888888878</v>
      </c>
      <c r="I2280" t="s">
        <v>40</v>
      </c>
      <c r="J2280">
        <f t="shared" si="236"/>
        <v>10.054217891113719</v>
      </c>
      <c r="K2280">
        <v>7427.3786743830942</v>
      </c>
    </row>
    <row r="2281" spans="1:12" x14ac:dyDescent="0.35">
      <c r="A2281" s="1">
        <v>42339</v>
      </c>
      <c r="B2281" t="s">
        <v>14</v>
      </c>
      <c r="C2281" t="s">
        <v>38</v>
      </c>
      <c r="D2281">
        <v>58958</v>
      </c>
      <c r="E2281">
        <v>1193460.0000000002</v>
      </c>
      <c r="F2281">
        <f t="shared" si="237"/>
        <v>20.24254554089352</v>
      </c>
      <c r="G2281">
        <f t="shared" si="234"/>
        <v>918.20186573493004</v>
      </c>
      <c r="H2281">
        <v>5609.9638095238097</v>
      </c>
      <c r="I2281" t="s">
        <v>40</v>
      </c>
      <c r="J2281">
        <f t="shared" si="236"/>
        <v>9.9761066428207315</v>
      </c>
      <c r="K2281">
        <v>7427.3786743830942</v>
      </c>
    </row>
    <row r="2282" spans="1:12" x14ac:dyDescent="0.35">
      <c r="A2282" s="1">
        <v>42005</v>
      </c>
      <c r="B2282" t="s">
        <v>15</v>
      </c>
      <c r="C2282" t="s">
        <v>38</v>
      </c>
      <c r="D2282">
        <v>425011.99999999948</v>
      </c>
      <c r="E2282">
        <v>2014555</v>
      </c>
      <c r="F2282">
        <f t="shared" si="237"/>
        <v>4.73999557659549</v>
      </c>
      <c r="G2282">
        <f t="shared" si="234"/>
        <v>215.00619935437143</v>
      </c>
      <c r="H2282">
        <v>202.94</v>
      </c>
      <c r="I2282" t="s">
        <v>58</v>
      </c>
      <c r="J2282">
        <f>H2282/27.21</f>
        <v>7.4582873943403154</v>
      </c>
      <c r="K2282">
        <f>$L$2282+$L$2283</f>
        <v>22429.724863205804</v>
      </c>
      <c r="L2282">
        <v>13740.294310879593</v>
      </c>
    </row>
    <row r="2283" spans="1:12" x14ac:dyDescent="0.35">
      <c r="A2283" s="1">
        <v>42036</v>
      </c>
      <c r="B2283" t="s">
        <v>15</v>
      </c>
      <c r="C2283" t="s">
        <v>38</v>
      </c>
      <c r="D2283">
        <v>425199.00000000035</v>
      </c>
      <c r="E2283">
        <v>2014557.9999999998</v>
      </c>
      <c r="F2283">
        <f t="shared" si="237"/>
        <v>4.7379180101552407</v>
      </c>
      <c r="G2283">
        <f t="shared" si="234"/>
        <v>214.91196094064171</v>
      </c>
      <c r="H2283">
        <v>155.32599999999999</v>
      </c>
      <c r="I2283" t="s">
        <v>58</v>
      </c>
      <c r="J2283">
        <f t="shared" ref="J2283:J2293" si="238">H2283/27.21</f>
        <v>5.7084160235207637</v>
      </c>
      <c r="K2283">
        <f t="shared" ref="K2283:K2293" si="239">$L$2282+$L$2283</f>
        <v>22429.724863205804</v>
      </c>
      <c r="L2283">
        <v>8689.4305523262101</v>
      </c>
    </row>
    <row r="2284" spans="1:12" x14ac:dyDescent="0.35">
      <c r="A2284" s="1">
        <v>42064</v>
      </c>
      <c r="B2284" t="s">
        <v>15</v>
      </c>
      <c r="C2284" t="s">
        <v>38</v>
      </c>
      <c r="D2284">
        <v>451021</v>
      </c>
      <c r="E2284">
        <v>2003620</v>
      </c>
      <c r="F2284">
        <f t="shared" si="237"/>
        <v>4.4424095552091813</v>
      </c>
      <c r="G2284">
        <f t="shared" si="234"/>
        <v>201.50769742428847</v>
      </c>
      <c r="H2284">
        <v>177.7428571428571</v>
      </c>
      <c r="I2284" t="s">
        <v>58</v>
      </c>
      <c r="J2284">
        <f t="shared" si="238"/>
        <v>6.5322622985247003</v>
      </c>
      <c r="K2284">
        <f t="shared" si="239"/>
        <v>22429.724863205804</v>
      </c>
    </row>
    <row r="2285" spans="1:12" x14ac:dyDescent="0.35">
      <c r="A2285" s="1">
        <v>42095</v>
      </c>
      <c r="B2285" t="s">
        <v>15</v>
      </c>
      <c r="C2285" t="s">
        <v>38</v>
      </c>
      <c r="D2285">
        <v>442013.99999999994</v>
      </c>
      <c r="E2285">
        <v>2112084</v>
      </c>
      <c r="F2285">
        <f t="shared" si="237"/>
        <v>4.7783192387571445</v>
      </c>
      <c r="G2285">
        <f t="shared" si="234"/>
        <v>216.74456067002407</v>
      </c>
      <c r="H2285">
        <v>158.33857142857141</v>
      </c>
      <c r="I2285" t="s">
        <v>58</v>
      </c>
      <c r="J2285">
        <f t="shared" si="238"/>
        <v>5.8191316217777072</v>
      </c>
      <c r="K2285">
        <f t="shared" si="239"/>
        <v>22429.724863205804</v>
      </c>
    </row>
    <row r="2286" spans="1:12" x14ac:dyDescent="0.35">
      <c r="A2286" s="1">
        <v>42125</v>
      </c>
      <c r="B2286" t="s">
        <v>15</v>
      </c>
      <c r="C2286" t="s">
        <v>38</v>
      </c>
      <c r="D2286">
        <v>432099.99999999959</v>
      </c>
      <c r="E2286">
        <v>1967433.5999999999</v>
      </c>
      <c r="F2286">
        <f t="shared" si="237"/>
        <v>4.5531904651701032</v>
      </c>
      <c r="G2286">
        <f t="shared" si="234"/>
        <v>206.53271950011589</v>
      </c>
      <c r="H2286">
        <v>138.59375</v>
      </c>
      <c r="I2286" t="s">
        <v>58</v>
      </c>
      <c r="J2286">
        <f t="shared" si="238"/>
        <v>5.0934858507901506</v>
      </c>
      <c r="K2286">
        <f t="shared" si="239"/>
        <v>22429.724863205804</v>
      </c>
    </row>
    <row r="2287" spans="1:12" x14ac:dyDescent="0.35">
      <c r="A2287" s="1">
        <v>42156</v>
      </c>
      <c r="B2287" t="s">
        <v>15</v>
      </c>
      <c r="C2287" t="s">
        <v>38</v>
      </c>
      <c r="D2287">
        <v>403054</v>
      </c>
      <c r="E2287">
        <v>2279103</v>
      </c>
      <c r="F2287">
        <f t="shared" si="237"/>
        <v>5.6545847454683491</v>
      </c>
      <c r="G2287">
        <f t="shared" si="234"/>
        <v>256.49196405444434</v>
      </c>
      <c r="H2287">
        <v>165.91428571428574</v>
      </c>
      <c r="I2287" t="s">
        <v>58</v>
      </c>
      <c r="J2287">
        <f t="shared" si="238"/>
        <v>6.0975481703155356</v>
      </c>
      <c r="K2287">
        <f t="shared" si="239"/>
        <v>22429.724863205804</v>
      </c>
    </row>
    <row r="2288" spans="1:12" x14ac:dyDescent="0.35">
      <c r="A2288" s="1">
        <v>42186</v>
      </c>
      <c r="B2288" t="s">
        <v>15</v>
      </c>
      <c r="C2288" t="s">
        <v>38</v>
      </c>
      <c r="D2288">
        <v>406275</v>
      </c>
      <c r="E2288">
        <v>2102224.7999999998</v>
      </c>
      <c r="F2288">
        <f t="shared" si="237"/>
        <v>5.1743887760753182</v>
      </c>
      <c r="G2288">
        <f t="shared" si="234"/>
        <v>234.71027488277642</v>
      </c>
      <c r="H2288">
        <v>169.35</v>
      </c>
      <c r="I2288" t="s">
        <v>58</v>
      </c>
      <c r="J2288">
        <f t="shared" si="238"/>
        <v>6.2238147739801537</v>
      </c>
      <c r="K2288">
        <f t="shared" si="239"/>
        <v>22429.724863205804</v>
      </c>
    </row>
    <row r="2289" spans="1:12" x14ac:dyDescent="0.35">
      <c r="A2289" s="1">
        <v>42217</v>
      </c>
      <c r="B2289" t="s">
        <v>15</v>
      </c>
      <c r="C2289" t="s">
        <v>38</v>
      </c>
      <c r="D2289">
        <v>400214</v>
      </c>
      <c r="E2289">
        <v>2003383.2</v>
      </c>
      <c r="F2289">
        <f t="shared" si="237"/>
        <v>5.0057799077493543</v>
      </c>
      <c r="G2289">
        <f t="shared" si="234"/>
        <v>227.06217661551071</v>
      </c>
      <c r="H2289">
        <v>190.78</v>
      </c>
      <c r="I2289" t="s">
        <v>58</v>
      </c>
      <c r="J2289">
        <f t="shared" si="238"/>
        <v>7.0113928702682839</v>
      </c>
      <c r="K2289">
        <f t="shared" si="239"/>
        <v>22429.724863205804</v>
      </c>
    </row>
    <row r="2290" spans="1:12" x14ac:dyDescent="0.35">
      <c r="A2290" s="1">
        <v>42248</v>
      </c>
      <c r="B2290" t="s">
        <v>15</v>
      </c>
      <c r="C2290" t="s">
        <v>38</v>
      </c>
      <c r="D2290">
        <v>401252</v>
      </c>
      <c r="E2290">
        <v>1949934.5999999999</v>
      </c>
      <c r="F2290">
        <f t="shared" si="237"/>
        <v>4.8596258710236953</v>
      </c>
      <c r="G2290">
        <f t="shared" si="234"/>
        <v>220.43262950963481</v>
      </c>
      <c r="H2290">
        <v>173.58190476190475</v>
      </c>
      <c r="I2290" t="s">
        <v>58</v>
      </c>
      <c r="J2290">
        <f t="shared" si="238"/>
        <v>6.3793423286256798</v>
      </c>
      <c r="K2290">
        <f t="shared" si="239"/>
        <v>22429.724863205804</v>
      </c>
    </row>
    <row r="2291" spans="1:12" x14ac:dyDescent="0.35">
      <c r="A2291" s="1">
        <v>42278</v>
      </c>
      <c r="B2291" t="s">
        <v>15</v>
      </c>
      <c r="C2291" t="s">
        <v>38</v>
      </c>
      <c r="D2291">
        <v>413013.99999999994</v>
      </c>
      <c r="E2291">
        <v>2314799.4</v>
      </c>
      <c r="F2291">
        <f t="shared" si="237"/>
        <v>5.6046511740522122</v>
      </c>
      <c r="G2291">
        <f t="shared" si="234"/>
        <v>254.22697725500834</v>
      </c>
      <c r="H2291">
        <v>215.88928571428571</v>
      </c>
      <c r="I2291" t="s">
        <v>58</v>
      </c>
      <c r="J2291">
        <f t="shared" si="238"/>
        <v>7.9341891111461118</v>
      </c>
      <c r="K2291">
        <f t="shared" si="239"/>
        <v>22429.724863205804</v>
      </c>
    </row>
    <row r="2292" spans="1:12" x14ac:dyDescent="0.35">
      <c r="A2292" s="1">
        <v>42309</v>
      </c>
      <c r="B2292" t="s">
        <v>15</v>
      </c>
      <c r="C2292" t="s">
        <v>38</v>
      </c>
      <c r="D2292">
        <v>424546.99999999994</v>
      </c>
      <c r="E2292">
        <v>1959286.2</v>
      </c>
      <c r="F2292">
        <f t="shared" si="237"/>
        <v>4.6150042280360015</v>
      </c>
      <c r="G2292">
        <f t="shared" ref="G2292:G2355" si="240">F2292*45.36</f>
        <v>209.33659178371303</v>
      </c>
      <c r="H2292">
        <v>230.39238095238096</v>
      </c>
      <c r="I2292" t="s">
        <v>58</v>
      </c>
      <c r="J2292">
        <f t="shared" si="238"/>
        <v>8.4671951838434758</v>
      </c>
      <c r="K2292">
        <f t="shared" si="239"/>
        <v>22429.724863205804</v>
      </c>
    </row>
    <row r="2293" spans="1:12" x14ac:dyDescent="0.35">
      <c r="A2293" s="1">
        <v>42339</v>
      </c>
      <c r="B2293" t="s">
        <v>15</v>
      </c>
      <c r="C2293" t="s">
        <v>38</v>
      </c>
      <c r="D2293">
        <v>376214</v>
      </c>
      <c r="E2293">
        <v>2192937</v>
      </c>
      <c r="F2293">
        <f t="shared" si="237"/>
        <v>5.8289617079640843</v>
      </c>
      <c r="G2293">
        <f t="shared" si="240"/>
        <v>264.40170307325087</v>
      </c>
      <c r="H2293">
        <v>235.10714285714286</v>
      </c>
      <c r="I2293" t="s">
        <v>58</v>
      </c>
      <c r="J2293">
        <f t="shared" si="238"/>
        <v>8.6404683152202448</v>
      </c>
      <c r="K2293">
        <f t="shared" si="239"/>
        <v>22429.724863205804</v>
      </c>
    </row>
    <row r="2294" spans="1:12" x14ac:dyDescent="0.35">
      <c r="A2294" s="1">
        <v>42005</v>
      </c>
      <c r="B2294" t="s">
        <v>18</v>
      </c>
      <c r="C2294" t="s">
        <v>38</v>
      </c>
      <c r="D2294">
        <v>712044.00000000023</v>
      </c>
      <c r="E2294">
        <v>1302439.9999999998</v>
      </c>
      <c r="F2294">
        <f t="shared" si="237"/>
        <v>1.8291566251523772</v>
      </c>
      <c r="G2294">
        <f t="shared" si="240"/>
        <v>82.970544516911829</v>
      </c>
      <c r="H2294">
        <v>6857.1185714285721</v>
      </c>
      <c r="I2294" t="s">
        <v>40</v>
      </c>
      <c r="J2294">
        <f>(H2294/1000)/0.40815</f>
        <v>16.800486515811766</v>
      </c>
      <c r="K2294">
        <f>$L$2294+$L$2295</f>
        <v>16317.747458116108</v>
      </c>
      <c r="L2294">
        <v>9777.9158122861627</v>
      </c>
    </row>
    <row r="2295" spans="1:12" x14ac:dyDescent="0.35">
      <c r="A2295" s="1">
        <v>42036</v>
      </c>
      <c r="B2295" t="s">
        <v>18</v>
      </c>
      <c r="C2295" t="s">
        <v>38</v>
      </c>
      <c r="D2295">
        <v>724014.00000000012</v>
      </c>
      <c r="E2295">
        <v>1330214</v>
      </c>
      <c r="F2295">
        <f t="shared" si="237"/>
        <v>1.8372766272475392</v>
      </c>
      <c r="G2295">
        <f t="shared" si="240"/>
        <v>83.338867811948376</v>
      </c>
      <c r="H2295">
        <v>6065.2783333333327</v>
      </c>
      <c r="I2295" t="s">
        <v>40</v>
      </c>
      <c r="J2295">
        <f t="shared" ref="J2295:J2305" si="241">(H2295/1000)/0.40815</f>
        <v>14.86041488015027</v>
      </c>
      <c r="K2295">
        <f t="shared" ref="K2295:K2305" si="242">$L$2294+$L$2295</f>
        <v>16317.747458116108</v>
      </c>
      <c r="L2295">
        <v>6539.831645829945</v>
      </c>
    </row>
    <row r="2296" spans="1:12" x14ac:dyDescent="0.35">
      <c r="A2296" s="1">
        <v>42064</v>
      </c>
      <c r="B2296" t="s">
        <v>18</v>
      </c>
      <c r="C2296" t="s">
        <v>38</v>
      </c>
      <c r="D2296">
        <v>712000.99999999988</v>
      </c>
      <c r="E2296">
        <v>1354255</v>
      </c>
      <c r="F2296">
        <f t="shared" si="237"/>
        <v>1.9020408679201297</v>
      </c>
      <c r="G2296">
        <f t="shared" si="240"/>
        <v>86.276573768857077</v>
      </c>
      <c r="H2296">
        <v>6151.5412500000002</v>
      </c>
      <c r="I2296" t="s">
        <v>40</v>
      </c>
      <c r="J2296">
        <f t="shared" si="241"/>
        <v>15.071765894891584</v>
      </c>
      <c r="K2296">
        <f t="shared" si="242"/>
        <v>16317.747458116108</v>
      </c>
    </row>
    <row r="2297" spans="1:12" x14ac:dyDescent="0.35">
      <c r="A2297" s="1">
        <v>42095</v>
      </c>
      <c r="B2297" t="s">
        <v>18</v>
      </c>
      <c r="C2297" t="s">
        <v>38</v>
      </c>
      <c r="D2297">
        <v>742401</v>
      </c>
      <c r="E2297">
        <v>2799157.9999999995</v>
      </c>
      <c r="F2297">
        <f t="shared" si="237"/>
        <v>3.7704124859745605</v>
      </c>
      <c r="G2297">
        <f t="shared" si="240"/>
        <v>171.02591036380605</v>
      </c>
      <c r="H2297">
        <v>6015.0957142857142</v>
      </c>
      <c r="I2297" t="s">
        <v>40</v>
      </c>
      <c r="J2297">
        <f t="shared" si="241"/>
        <v>14.737463467562694</v>
      </c>
      <c r="K2297">
        <f t="shared" si="242"/>
        <v>16317.747458116108</v>
      </c>
    </row>
    <row r="2298" spans="1:12" x14ac:dyDescent="0.35">
      <c r="A2298" s="1">
        <v>42125</v>
      </c>
      <c r="B2298" t="s">
        <v>18</v>
      </c>
      <c r="C2298" t="s">
        <v>38</v>
      </c>
      <c r="D2298">
        <v>712544</v>
      </c>
      <c r="E2298">
        <v>2020689</v>
      </c>
      <c r="F2298">
        <f t="shared" si="237"/>
        <v>2.8358796088381912</v>
      </c>
      <c r="G2298">
        <f t="shared" si="240"/>
        <v>128.63549905690036</v>
      </c>
      <c r="H2298">
        <v>5449.9375</v>
      </c>
      <c r="I2298" t="s">
        <v>40</v>
      </c>
      <c r="J2298">
        <f t="shared" si="241"/>
        <v>13.352780840377312</v>
      </c>
      <c r="K2298">
        <f t="shared" si="242"/>
        <v>16317.747458116108</v>
      </c>
    </row>
    <row r="2299" spans="1:12" x14ac:dyDescent="0.35">
      <c r="A2299" s="1">
        <v>42156</v>
      </c>
      <c r="B2299" t="s">
        <v>18</v>
      </c>
      <c r="C2299" t="s">
        <v>38</v>
      </c>
      <c r="D2299">
        <v>726521.00000000012</v>
      </c>
      <c r="E2299">
        <v>1754469</v>
      </c>
      <c r="F2299">
        <f t="shared" si="237"/>
        <v>2.4148909666754297</v>
      </c>
      <c r="G2299">
        <f t="shared" si="240"/>
        <v>109.53945424839749</v>
      </c>
      <c r="H2299">
        <v>6450.9656249999998</v>
      </c>
      <c r="I2299" t="s">
        <v>40</v>
      </c>
      <c r="J2299">
        <f t="shared" si="241"/>
        <v>15.805379456082322</v>
      </c>
      <c r="K2299">
        <f t="shared" si="242"/>
        <v>16317.747458116108</v>
      </c>
    </row>
    <row r="2300" spans="1:12" x14ac:dyDescent="0.35">
      <c r="A2300" s="1">
        <v>42186</v>
      </c>
      <c r="B2300" t="s">
        <v>18</v>
      </c>
      <c r="C2300" t="s">
        <v>38</v>
      </c>
      <c r="D2300">
        <v>762021</v>
      </c>
      <c r="E2300">
        <v>1768734</v>
      </c>
      <c r="F2300">
        <f t="shared" si="237"/>
        <v>2.3211092607684041</v>
      </c>
      <c r="G2300">
        <f t="shared" si="240"/>
        <v>105.28551606845481</v>
      </c>
      <c r="H2300">
        <v>7165.666666666667</v>
      </c>
      <c r="I2300" t="s">
        <v>40</v>
      </c>
      <c r="J2300">
        <f t="shared" si="241"/>
        <v>17.556453918085669</v>
      </c>
      <c r="K2300">
        <f t="shared" si="242"/>
        <v>16317.747458116108</v>
      </c>
    </row>
    <row r="2301" spans="1:12" x14ac:dyDescent="0.35">
      <c r="A2301" s="1">
        <v>42217</v>
      </c>
      <c r="B2301" t="s">
        <v>18</v>
      </c>
      <c r="C2301" t="s">
        <v>38</v>
      </c>
      <c r="D2301">
        <v>762767</v>
      </c>
      <c r="E2301">
        <v>1839699</v>
      </c>
      <c r="F2301">
        <f t="shared" si="237"/>
        <v>2.4118754482037108</v>
      </c>
      <c r="G2301">
        <f t="shared" si="240"/>
        <v>109.40267033052032</v>
      </c>
      <c r="H2301">
        <v>7607.8335714285713</v>
      </c>
      <c r="I2301" t="s">
        <v>40</v>
      </c>
      <c r="J2301">
        <f t="shared" si="241"/>
        <v>18.639798043436411</v>
      </c>
      <c r="K2301">
        <f t="shared" si="242"/>
        <v>16317.747458116108</v>
      </c>
    </row>
    <row r="2302" spans="1:12" x14ac:dyDescent="0.35">
      <c r="A2302" s="1">
        <v>42248</v>
      </c>
      <c r="B2302" t="s">
        <v>18</v>
      </c>
      <c r="C2302" t="s">
        <v>38</v>
      </c>
      <c r="D2302">
        <v>687987</v>
      </c>
      <c r="E2302">
        <v>1282923</v>
      </c>
      <c r="F2302">
        <f t="shared" si="237"/>
        <v>1.8647488978716167</v>
      </c>
      <c r="G2302">
        <f t="shared" si="240"/>
        <v>84.585010007456532</v>
      </c>
      <c r="H2302">
        <v>7389.7428571428563</v>
      </c>
      <c r="I2302" t="s">
        <v>40</v>
      </c>
      <c r="J2302">
        <f t="shared" si="241"/>
        <v>18.105458427398887</v>
      </c>
      <c r="K2302">
        <f t="shared" si="242"/>
        <v>16317.747458116108</v>
      </c>
    </row>
    <row r="2303" spans="1:12" x14ac:dyDescent="0.35">
      <c r="A2303" s="1">
        <v>42278</v>
      </c>
      <c r="B2303" t="s">
        <v>18</v>
      </c>
      <c r="C2303" t="s">
        <v>38</v>
      </c>
      <c r="D2303">
        <v>709985</v>
      </c>
      <c r="E2303">
        <v>1188126</v>
      </c>
      <c r="F2303">
        <f t="shared" si="237"/>
        <v>1.6734522560335783</v>
      </c>
      <c r="G2303">
        <f t="shared" si="240"/>
        <v>75.907794333683114</v>
      </c>
      <c r="H2303">
        <v>9828.6546428571437</v>
      </c>
      <c r="I2303" t="s">
        <v>40</v>
      </c>
      <c r="J2303">
        <f t="shared" si="241"/>
        <v>24.080986507061482</v>
      </c>
      <c r="K2303">
        <f t="shared" si="242"/>
        <v>16317.747458116108</v>
      </c>
    </row>
    <row r="2304" spans="1:12" x14ac:dyDescent="0.35">
      <c r="A2304" s="1">
        <v>42309</v>
      </c>
      <c r="B2304" t="s">
        <v>18</v>
      </c>
      <c r="C2304" t="s">
        <v>38</v>
      </c>
      <c r="D2304">
        <v>733456.99999999988</v>
      </c>
      <c r="E2304">
        <v>1126926</v>
      </c>
      <c r="F2304">
        <f t="shared" si="237"/>
        <v>1.5364581700086033</v>
      </c>
      <c r="G2304">
        <f t="shared" si="240"/>
        <v>69.693742591590251</v>
      </c>
      <c r="H2304">
        <v>9084.8095238095248</v>
      </c>
      <c r="I2304" t="s">
        <v>40</v>
      </c>
      <c r="J2304">
        <f t="shared" si="241"/>
        <v>22.258506734802218</v>
      </c>
      <c r="K2304">
        <f t="shared" si="242"/>
        <v>16317.747458116108</v>
      </c>
    </row>
    <row r="2305" spans="1:11" x14ac:dyDescent="0.35">
      <c r="A2305" s="1">
        <v>42339</v>
      </c>
      <c r="B2305" t="s">
        <v>18</v>
      </c>
      <c r="C2305" t="s">
        <v>38</v>
      </c>
      <c r="D2305">
        <v>734021</v>
      </c>
      <c r="E2305">
        <v>1178070.8304169541</v>
      </c>
      <c r="F2305">
        <f t="shared" si="237"/>
        <v>1.6049552130210909</v>
      </c>
      <c r="G2305">
        <f t="shared" si="240"/>
        <v>72.800768462636682</v>
      </c>
      <c r="H2305">
        <v>8988.3342857142852</v>
      </c>
      <c r="I2305" t="s">
        <v>40</v>
      </c>
      <c r="J2305">
        <f t="shared" si="241"/>
        <v>22.022134719378379</v>
      </c>
      <c r="K2305">
        <f t="shared" si="242"/>
        <v>16317.747458116108</v>
      </c>
    </row>
    <row r="2306" spans="1:11" x14ac:dyDescent="0.35">
      <c r="A2306" s="1">
        <v>42370</v>
      </c>
      <c r="B2306" t="s">
        <v>2</v>
      </c>
      <c r="C2306" t="s">
        <v>38</v>
      </c>
      <c r="D2306">
        <v>12682</v>
      </c>
      <c r="E2306">
        <v>38358</v>
      </c>
      <c r="F2306">
        <f t="shared" si="237"/>
        <v>3.0246017978236872</v>
      </c>
      <c r="G2306">
        <f t="shared" si="240"/>
        <v>137.19593754928246</v>
      </c>
      <c r="H2306">
        <v>1976.0685643564357</v>
      </c>
      <c r="I2306" t="s">
        <v>59</v>
      </c>
      <c r="J2306">
        <f>H2306/110</f>
        <v>17.964259675967597</v>
      </c>
      <c r="K2306">
        <v>5924.2547825284319</v>
      </c>
    </row>
    <row r="2307" spans="1:11" x14ac:dyDescent="0.35">
      <c r="A2307" s="1">
        <v>42401</v>
      </c>
      <c r="B2307" t="s">
        <v>2</v>
      </c>
      <c r="C2307" t="s">
        <v>38</v>
      </c>
      <c r="D2307">
        <v>1441</v>
      </c>
      <c r="E2307">
        <v>5109</v>
      </c>
      <c r="F2307">
        <f t="shared" si="237"/>
        <v>3.5454545454545454</v>
      </c>
      <c r="G2307">
        <f t="shared" si="240"/>
        <v>160.82181818181817</v>
      </c>
      <c r="H2307">
        <v>1806.0900371287128</v>
      </c>
      <c r="I2307" t="s">
        <v>59</v>
      </c>
      <c r="J2307">
        <f t="shared" ref="J2307:J2318" si="243">H2307/110</f>
        <v>16.419000337533753</v>
      </c>
      <c r="K2307">
        <v>5924.2547825284319</v>
      </c>
    </row>
    <row r="2308" spans="1:11" x14ac:dyDescent="0.35">
      <c r="A2308" s="1">
        <v>42430</v>
      </c>
      <c r="B2308" t="s">
        <v>2</v>
      </c>
      <c r="C2308" t="s">
        <v>38</v>
      </c>
      <c r="D2308">
        <v>79516</v>
      </c>
      <c r="E2308">
        <v>418254</v>
      </c>
      <c r="F2308">
        <f t="shared" si="237"/>
        <v>5.259997987826349</v>
      </c>
      <c r="G2308">
        <f t="shared" si="240"/>
        <v>238.5935087278032</v>
      </c>
      <c r="H2308">
        <v>1849.060390539054</v>
      </c>
      <c r="I2308" t="s">
        <v>59</v>
      </c>
      <c r="J2308">
        <f t="shared" si="243"/>
        <v>16.809639913991401</v>
      </c>
      <c r="K2308">
        <v>5924.2547825284319</v>
      </c>
    </row>
    <row r="2309" spans="1:11" x14ac:dyDescent="0.35">
      <c r="A2309" s="1">
        <v>42461</v>
      </c>
      <c r="B2309" t="s">
        <v>2</v>
      </c>
      <c r="C2309" t="s">
        <v>38</v>
      </c>
      <c r="D2309">
        <v>477863</v>
      </c>
      <c r="E2309">
        <v>2548568</v>
      </c>
      <c r="F2309">
        <f t="shared" si="237"/>
        <v>5.3332607881338374</v>
      </c>
      <c r="G2309">
        <f t="shared" si="240"/>
        <v>241.91670934975087</v>
      </c>
      <c r="H2309">
        <v>1896.860904840484</v>
      </c>
      <c r="I2309" t="s">
        <v>59</v>
      </c>
      <c r="J2309">
        <f t="shared" si="243"/>
        <v>17.244190044004398</v>
      </c>
      <c r="K2309">
        <v>5924.2547825284319</v>
      </c>
    </row>
    <row r="2310" spans="1:11" x14ac:dyDescent="0.35">
      <c r="A2310" s="1">
        <v>42491</v>
      </c>
      <c r="B2310" t="s">
        <v>2</v>
      </c>
      <c r="C2310" t="s">
        <v>38</v>
      </c>
      <c r="D2310">
        <v>417077</v>
      </c>
      <c r="E2310">
        <v>2208602</v>
      </c>
      <c r="F2310">
        <f t="shared" si="237"/>
        <v>5.2954298606732086</v>
      </c>
      <c r="G2310">
        <f t="shared" si="240"/>
        <v>240.20069848013674</v>
      </c>
      <c r="H2310">
        <v>1985.6647216721672</v>
      </c>
      <c r="I2310" t="s">
        <v>59</v>
      </c>
      <c r="J2310">
        <f t="shared" si="243"/>
        <v>18.051497469746973</v>
      </c>
      <c r="K2310">
        <v>5924.2547825284319</v>
      </c>
    </row>
    <row r="2311" spans="1:11" x14ac:dyDescent="0.35">
      <c r="A2311" s="1">
        <v>42522</v>
      </c>
      <c r="B2311" t="s">
        <v>2</v>
      </c>
      <c r="C2311" t="s">
        <v>38</v>
      </c>
      <c r="D2311">
        <v>151521</v>
      </c>
      <c r="E2311">
        <v>817892.99999999988</v>
      </c>
      <c r="F2311">
        <f t="shared" si="237"/>
        <v>5.3978854416219528</v>
      </c>
      <c r="G2311">
        <f t="shared" si="240"/>
        <v>244.84808363197178</v>
      </c>
      <c r="H2311">
        <v>1993.9133127979467</v>
      </c>
      <c r="I2311" t="s">
        <v>59</v>
      </c>
      <c r="J2311">
        <f t="shared" si="243"/>
        <v>18.126484661799516</v>
      </c>
      <c r="K2311">
        <v>5924.2547825284319</v>
      </c>
    </row>
    <row r="2312" spans="1:11" x14ac:dyDescent="0.35">
      <c r="A2312" s="1">
        <v>42552</v>
      </c>
      <c r="B2312" t="s">
        <v>2</v>
      </c>
      <c r="C2312" t="s">
        <v>38</v>
      </c>
      <c r="D2312">
        <v>77897</v>
      </c>
      <c r="E2312">
        <v>327707</v>
      </c>
      <c r="F2312">
        <f t="shared" si="237"/>
        <v>4.2069270960370746</v>
      </c>
      <c r="G2312">
        <f t="shared" si="240"/>
        <v>190.82621307624171</v>
      </c>
      <c r="H2312">
        <v>2030.5749335350201</v>
      </c>
      <c r="I2312" t="s">
        <v>59</v>
      </c>
      <c r="J2312">
        <f t="shared" si="243"/>
        <v>18.459772123045639</v>
      </c>
      <c r="K2312">
        <v>5924.2547825284319</v>
      </c>
    </row>
    <row r="2313" spans="1:11" x14ac:dyDescent="0.35">
      <c r="A2313" s="1">
        <v>42583</v>
      </c>
      <c r="B2313" t="s">
        <v>2</v>
      </c>
      <c r="C2313" t="s">
        <v>38</v>
      </c>
      <c r="D2313">
        <v>138612</v>
      </c>
      <c r="E2313">
        <v>560173</v>
      </c>
      <c r="F2313">
        <f t="shared" si="237"/>
        <v>4.0413023403457133</v>
      </c>
      <c r="G2313">
        <f t="shared" si="240"/>
        <v>183.31347415808156</v>
      </c>
      <c r="H2313">
        <v>1996.7080308030802</v>
      </c>
      <c r="I2313" t="s">
        <v>59</v>
      </c>
      <c r="J2313">
        <f t="shared" si="243"/>
        <v>18.15189118911891</v>
      </c>
      <c r="K2313">
        <v>5924.2547825284319</v>
      </c>
    </row>
    <row r="2314" spans="1:11" x14ac:dyDescent="0.35">
      <c r="A2314" s="1">
        <v>42614</v>
      </c>
      <c r="B2314" t="s">
        <v>2</v>
      </c>
      <c r="C2314" t="s">
        <v>38</v>
      </c>
      <c r="D2314">
        <v>256107</v>
      </c>
      <c r="E2314">
        <v>1220288.9999999998</v>
      </c>
      <c r="F2314">
        <f t="shared" si="237"/>
        <v>4.7647623844721139</v>
      </c>
      <c r="G2314">
        <f t="shared" si="240"/>
        <v>216.12962175965509</v>
      </c>
      <c r="H2314">
        <v>1974.1167125045838</v>
      </c>
      <c r="I2314" t="s">
        <v>59</v>
      </c>
      <c r="J2314">
        <f t="shared" si="243"/>
        <v>17.946515568223489</v>
      </c>
      <c r="K2314">
        <v>5924.2547825284319</v>
      </c>
    </row>
    <row r="2315" spans="1:11" x14ac:dyDescent="0.35">
      <c r="A2315" s="1">
        <v>42644</v>
      </c>
      <c r="B2315" t="s">
        <v>2</v>
      </c>
      <c r="C2315" t="s">
        <v>38</v>
      </c>
      <c r="D2315">
        <v>444033</v>
      </c>
      <c r="E2315">
        <v>2024017</v>
      </c>
      <c r="F2315">
        <f t="shared" si="237"/>
        <v>4.5582580573966354</v>
      </c>
      <c r="G2315">
        <f t="shared" si="240"/>
        <v>206.76258548351137</v>
      </c>
      <c r="H2315">
        <v>1998.3973459845984</v>
      </c>
      <c r="I2315" t="s">
        <v>59</v>
      </c>
      <c r="J2315">
        <f t="shared" si="243"/>
        <v>18.167248599859985</v>
      </c>
      <c r="K2315">
        <v>5924.2547825284319</v>
      </c>
    </row>
    <row r="2316" spans="1:11" x14ac:dyDescent="0.35">
      <c r="A2316" s="1">
        <v>42675</v>
      </c>
      <c r="B2316" t="s">
        <v>2</v>
      </c>
      <c r="C2316" t="s">
        <v>38</v>
      </c>
      <c r="D2316">
        <v>471296</v>
      </c>
      <c r="E2316">
        <v>1803576</v>
      </c>
      <c r="F2316">
        <f t="shared" si="237"/>
        <v>3.8268434274850627</v>
      </c>
      <c r="G2316">
        <f t="shared" si="240"/>
        <v>173.58561787072244</v>
      </c>
      <c r="H2316">
        <v>1984.6409008250823</v>
      </c>
      <c r="I2316" t="s">
        <v>59</v>
      </c>
      <c r="J2316">
        <f t="shared" si="243"/>
        <v>18.04219000750075</v>
      </c>
      <c r="K2316">
        <v>5924.2547825284319</v>
      </c>
    </row>
    <row r="2317" spans="1:11" x14ac:dyDescent="0.35">
      <c r="A2317" s="1">
        <v>42705</v>
      </c>
      <c r="B2317" t="s">
        <v>2</v>
      </c>
      <c r="C2317" t="s">
        <v>38</v>
      </c>
      <c r="D2317">
        <v>82517</v>
      </c>
      <c r="E2317">
        <v>304217</v>
      </c>
      <c r="F2317">
        <f t="shared" si="237"/>
        <v>3.6867191003066035</v>
      </c>
      <c r="G2317">
        <f t="shared" si="240"/>
        <v>167.22957838990754</v>
      </c>
      <c r="H2317">
        <v>1950.7196032269894</v>
      </c>
      <c r="I2317" t="s">
        <v>59</v>
      </c>
      <c r="J2317">
        <f>H2317/110</f>
        <v>17.733814574790813</v>
      </c>
      <c r="K2317">
        <v>5924.2547825284319</v>
      </c>
    </row>
    <row r="2318" spans="1:11" x14ac:dyDescent="0.35">
      <c r="A2318" s="1">
        <v>42370</v>
      </c>
      <c r="B2318" t="s">
        <v>5</v>
      </c>
      <c r="C2318" t="s">
        <v>38</v>
      </c>
      <c r="D2318">
        <v>29471</v>
      </c>
      <c r="E2318">
        <v>53654</v>
      </c>
      <c r="F2318">
        <f t="shared" si="237"/>
        <v>1.8205693732822097</v>
      </c>
      <c r="G2318">
        <f t="shared" si="240"/>
        <v>82.581026772081032</v>
      </c>
      <c r="H2318">
        <v>827.13578100000007</v>
      </c>
      <c r="I2318" t="s">
        <v>38</v>
      </c>
      <c r="J2318">
        <f>H2318/45.36</f>
        <v>18.234915806878309</v>
      </c>
      <c r="K2318">
        <v>2463.2928983519996</v>
      </c>
    </row>
    <row r="2319" spans="1:11" x14ac:dyDescent="0.35">
      <c r="A2319" s="1">
        <v>42401</v>
      </c>
      <c r="B2319" t="s">
        <v>5</v>
      </c>
      <c r="C2319" t="s">
        <v>38</v>
      </c>
      <c r="D2319">
        <v>30169.999999999996</v>
      </c>
      <c r="E2319">
        <v>72991</v>
      </c>
      <c r="F2319">
        <f t="shared" si="237"/>
        <v>2.4193238316208157</v>
      </c>
      <c r="G2319">
        <f t="shared" si="240"/>
        <v>109.7405290023202</v>
      </c>
      <c r="H2319">
        <v>824.70314427083326</v>
      </c>
      <c r="I2319" t="s">
        <v>38</v>
      </c>
      <c r="J2319">
        <f t="shared" ref="J2319:J2382" si="244">H2319/45.36</f>
        <v>18.181286249356994</v>
      </c>
      <c r="K2319">
        <v>2463.2928983519996</v>
      </c>
    </row>
    <row r="2320" spans="1:11" x14ac:dyDescent="0.35">
      <c r="A2320" s="1">
        <v>42430</v>
      </c>
      <c r="B2320" t="s">
        <v>5</v>
      </c>
      <c r="C2320" t="s">
        <v>38</v>
      </c>
      <c r="D2320">
        <v>24512.000000000004</v>
      </c>
      <c r="E2320">
        <v>60143.999999999993</v>
      </c>
      <c r="F2320">
        <f t="shared" si="237"/>
        <v>2.4536553524804172</v>
      </c>
      <c r="G2320">
        <f t="shared" si="240"/>
        <v>111.29780678851172</v>
      </c>
      <c r="H2320">
        <v>823.97656250000011</v>
      </c>
      <c r="I2320" t="s">
        <v>38</v>
      </c>
      <c r="J2320">
        <f t="shared" si="244"/>
        <v>18.165268132716051</v>
      </c>
      <c r="K2320">
        <v>2463.2928983519996</v>
      </c>
    </row>
    <row r="2321" spans="1:11" x14ac:dyDescent="0.35">
      <c r="A2321" s="1">
        <v>42461</v>
      </c>
      <c r="B2321" t="s">
        <v>5</v>
      </c>
      <c r="C2321" t="s">
        <v>38</v>
      </c>
      <c r="D2321">
        <v>26987</v>
      </c>
      <c r="E2321">
        <v>65878</v>
      </c>
      <c r="F2321">
        <f t="shared" si="237"/>
        <v>2.4411012709823248</v>
      </c>
      <c r="G2321">
        <f t="shared" si="240"/>
        <v>110.72835365175825</v>
      </c>
      <c r="H2321">
        <v>844.6796875</v>
      </c>
      <c r="I2321" t="s">
        <v>38</v>
      </c>
      <c r="J2321">
        <f t="shared" si="244"/>
        <v>18.621686232363317</v>
      </c>
      <c r="K2321">
        <v>2463.2928983519996</v>
      </c>
    </row>
    <row r="2322" spans="1:11" x14ac:dyDescent="0.35">
      <c r="A2322" s="1">
        <v>42491</v>
      </c>
      <c r="B2322" t="s">
        <v>5</v>
      </c>
      <c r="C2322" t="s">
        <v>38</v>
      </c>
      <c r="D2322">
        <v>20733</v>
      </c>
      <c r="E2322">
        <v>75913</v>
      </c>
      <c r="F2322">
        <f t="shared" si="237"/>
        <v>3.6614575797038538</v>
      </c>
      <c r="G2322">
        <f t="shared" si="240"/>
        <v>166.08371581536682</v>
      </c>
      <c r="H2322">
        <v>845.83868055555558</v>
      </c>
      <c r="I2322" t="s">
        <v>38</v>
      </c>
      <c r="J2322">
        <f t="shared" si="244"/>
        <v>18.64723722565158</v>
      </c>
      <c r="K2322">
        <v>2463.2928983519996</v>
      </c>
    </row>
    <row r="2323" spans="1:11" x14ac:dyDescent="0.35">
      <c r="A2323" s="1">
        <v>42522</v>
      </c>
      <c r="B2323" t="s">
        <v>5</v>
      </c>
      <c r="C2323" t="s">
        <v>38</v>
      </c>
      <c r="D2323">
        <v>32458</v>
      </c>
      <c r="E2323">
        <v>86546.999999999985</v>
      </c>
      <c r="F2323">
        <f t="shared" si="237"/>
        <v>2.6664304639842253</v>
      </c>
      <c r="G2323">
        <f t="shared" si="240"/>
        <v>120.94928584632446</v>
      </c>
      <c r="H2323">
        <v>803.65354166666668</v>
      </c>
      <c r="I2323" t="s">
        <v>38</v>
      </c>
      <c r="J2323">
        <f t="shared" si="244"/>
        <v>17.717229754556143</v>
      </c>
      <c r="K2323">
        <v>2463.2928983519996</v>
      </c>
    </row>
    <row r="2324" spans="1:11" x14ac:dyDescent="0.35">
      <c r="A2324" s="1">
        <v>42552</v>
      </c>
      <c r="B2324" t="s">
        <v>5</v>
      </c>
      <c r="C2324" t="s">
        <v>38</v>
      </c>
      <c r="D2324">
        <v>34911</v>
      </c>
      <c r="E2324">
        <v>72736</v>
      </c>
      <c r="F2324">
        <f t="shared" si="237"/>
        <v>2.0834693936008706</v>
      </c>
      <c r="G2324">
        <f t="shared" si="240"/>
        <v>94.506171693735482</v>
      </c>
      <c r="H2324">
        <v>784.12760416666663</v>
      </c>
      <c r="I2324" t="s">
        <v>38</v>
      </c>
      <c r="J2324">
        <f t="shared" si="244"/>
        <v>17.286763760288064</v>
      </c>
      <c r="K2324">
        <v>2463.2928983519996</v>
      </c>
    </row>
    <row r="2325" spans="1:11" x14ac:dyDescent="0.35">
      <c r="A2325" s="1">
        <v>42583</v>
      </c>
      <c r="B2325" t="s">
        <v>5</v>
      </c>
      <c r="C2325" t="s">
        <v>38</v>
      </c>
      <c r="D2325">
        <v>36545.000000000007</v>
      </c>
      <c r="E2325">
        <v>72491</v>
      </c>
      <c r="F2325">
        <f t="shared" si="237"/>
        <v>1.9836092488712542</v>
      </c>
      <c r="G2325">
        <f t="shared" si="240"/>
        <v>89.976515528800093</v>
      </c>
      <c r="H2325">
        <v>775.2364583333333</v>
      </c>
      <c r="I2325" t="s">
        <v>38</v>
      </c>
      <c r="J2325">
        <f t="shared" si="244"/>
        <v>17.090750845091122</v>
      </c>
      <c r="K2325">
        <v>2463.2928983519996</v>
      </c>
    </row>
    <row r="2326" spans="1:11" x14ac:dyDescent="0.35">
      <c r="A2326" s="1">
        <v>42614</v>
      </c>
      <c r="B2326" t="s">
        <v>5</v>
      </c>
      <c r="C2326" t="s">
        <v>38</v>
      </c>
      <c r="D2326">
        <v>49897</v>
      </c>
      <c r="E2326">
        <v>126980</v>
      </c>
      <c r="F2326">
        <f t="shared" si="237"/>
        <v>2.5448423752931038</v>
      </c>
      <c r="G2326">
        <f t="shared" si="240"/>
        <v>115.43405014329518</v>
      </c>
      <c r="H2326">
        <v>693.92812500000014</v>
      </c>
      <c r="I2326" t="s">
        <v>38</v>
      </c>
      <c r="J2326">
        <f t="shared" si="244"/>
        <v>15.298239087301591</v>
      </c>
      <c r="K2326">
        <v>2463.2928983519996</v>
      </c>
    </row>
    <row r="2327" spans="1:11" x14ac:dyDescent="0.35">
      <c r="A2327" s="1">
        <v>42644</v>
      </c>
      <c r="B2327" t="s">
        <v>5</v>
      </c>
      <c r="C2327" t="s">
        <v>38</v>
      </c>
      <c r="D2327">
        <v>31245</v>
      </c>
      <c r="E2327">
        <v>79852</v>
      </c>
      <c r="F2327">
        <f t="shared" si="237"/>
        <v>2.5556729076652265</v>
      </c>
      <c r="G2327">
        <f t="shared" si="240"/>
        <v>115.92532309169466</v>
      </c>
      <c r="H2327">
        <v>696.44400173611109</v>
      </c>
      <c r="I2327" t="s">
        <v>38</v>
      </c>
      <c r="J2327">
        <f t="shared" si="244"/>
        <v>15.353703741977759</v>
      </c>
      <c r="K2327">
        <v>2463.2928983519996</v>
      </c>
    </row>
    <row r="2328" spans="1:11" x14ac:dyDescent="0.35">
      <c r="A2328" s="1">
        <v>42675</v>
      </c>
      <c r="B2328" t="s">
        <v>5</v>
      </c>
      <c r="C2328" t="s">
        <v>38</v>
      </c>
      <c r="D2328">
        <v>34125</v>
      </c>
      <c r="E2328">
        <v>55897</v>
      </c>
      <c r="F2328">
        <f t="shared" si="237"/>
        <v>1.638007326007326</v>
      </c>
      <c r="G2328">
        <f t="shared" si="240"/>
        <v>74.300012307692313</v>
      </c>
      <c r="H2328">
        <v>697.85354166666673</v>
      </c>
      <c r="I2328" t="s">
        <v>38</v>
      </c>
      <c r="J2328">
        <f t="shared" si="244"/>
        <v>15.384778255437979</v>
      </c>
      <c r="K2328">
        <v>2463.2928983519996</v>
      </c>
    </row>
    <row r="2329" spans="1:11" x14ac:dyDescent="0.35">
      <c r="A2329" s="1">
        <v>42705</v>
      </c>
      <c r="B2329" t="s">
        <v>5</v>
      </c>
      <c r="C2329" t="s">
        <v>38</v>
      </c>
      <c r="D2329">
        <v>51204</v>
      </c>
      <c r="E2329">
        <v>95477.999999999985</v>
      </c>
      <c r="F2329">
        <f t="shared" si="237"/>
        <v>1.8646590110147643</v>
      </c>
      <c r="G2329">
        <f t="shared" si="240"/>
        <v>84.580932739629702</v>
      </c>
      <c r="H2329">
        <v>724.23375234374998</v>
      </c>
      <c r="I2329" t="s">
        <v>38</v>
      </c>
      <c r="J2329">
        <f t="shared" si="244"/>
        <v>15.966352564897486</v>
      </c>
      <c r="K2329">
        <v>2463.2928983519996</v>
      </c>
    </row>
    <row r="2330" spans="1:11" x14ac:dyDescent="0.35">
      <c r="A2330" s="1">
        <v>42370</v>
      </c>
      <c r="B2330" t="s">
        <v>7</v>
      </c>
      <c r="C2330" t="s">
        <v>38</v>
      </c>
      <c r="D2330">
        <v>4921</v>
      </c>
      <c r="E2330">
        <v>65486.999999999993</v>
      </c>
      <c r="F2330">
        <f t="shared" si="237"/>
        <v>13.307661044503149</v>
      </c>
      <c r="G2330">
        <f t="shared" si="240"/>
        <v>603.63550497866288</v>
      </c>
      <c r="H2330">
        <v>464.34645833333326</v>
      </c>
      <c r="I2330" t="s">
        <v>38</v>
      </c>
      <c r="J2330">
        <f t="shared" si="244"/>
        <v>10.236914866255143</v>
      </c>
      <c r="K2330">
        <v>4713.6874381607513</v>
      </c>
    </row>
    <row r="2331" spans="1:11" x14ac:dyDescent="0.35">
      <c r="A2331" s="1">
        <v>42401</v>
      </c>
      <c r="B2331" t="s">
        <v>7</v>
      </c>
      <c r="C2331" t="s">
        <v>38</v>
      </c>
      <c r="D2331">
        <v>9014</v>
      </c>
      <c r="E2331">
        <v>87101</v>
      </c>
      <c r="F2331">
        <f t="shared" si="237"/>
        <v>9.6628577767916575</v>
      </c>
      <c r="G2331">
        <f t="shared" si="240"/>
        <v>438.30722875526959</v>
      </c>
      <c r="H2331">
        <v>403.3458333333333</v>
      </c>
      <c r="I2331" t="s">
        <v>38</v>
      </c>
      <c r="J2331">
        <f t="shared" si="244"/>
        <v>8.8921039094650194</v>
      </c>
      <c r="K2331">
        <v>4713.6874381607513</v>
      </c>
    </row>
    <row r="2332" spans="1:11" x14ac:dyDescent="0.35">
      <c r="A2332" s="1">
        <v>42430</v>
      </c>
      <c r="B2332" t="s">
        <v>7</v>
      </c>
      <c r="C2332" t="s">
        <v>38</v>
      </c>
      <c r="D2332">
        <v>9488</v>
      </c>
      <c r="E2332">
        <v>113115</v>
      </c>
      <c r="F2332">
        <f t="shared" si="237"/>
        <v>11.921901349072513</v>
      </c>
      <c r="G2332">
        <f t="shared" si="240"/>
        <v>540.77744519392922</v>
      </c>
      <c r="H2332">
        <v>337.84282291666671</v>
      </c>
      <c r="I2332" t="s">
        <v>38</v>
      </c>
      <c r="J2332">
        <f t="shared" si="244"/>
        <v>7.4480340149176962</v>
      </c>
      <c r="K2332">
        <v>4713.6874381607513</v>
      </c>
    </row>
    <row r="2333" spans="1:11" x14ac:dyDescent="0.35">
      <c r="A2333" s="1">
        <v>42461</v>
      </c>
      <c r="B2333" t="s">
        <v>7</v>
      </c>
      <c r="C2333" t="s">
        <v>38</v>
      </c>
      <c r="D2333">
        <v>10864</v>
      </c>
      <c r="E2333">
        <v>126578</v>
      </c>
      <c r="F2333">
        <f t="shared" si="237"/>
        <v>11.651141384388808</v>
      </c>
      <c r="G2333">
        <f t="shared" si="240"/>
        <v>528.49577319587627</v>
      </c>
      <c r="H2333">
        <v>370.9708333333333</v>
      </c>
      <c r="I2333" t="s">
        <v>38</v>
      </c>
      <c r="J2333">
        <f t="shared" si="244"/>
        <v>8.1783693415637853</v>
      </c>
      <c r="K2333">
        <v>4713.6874381607513</v>
      </c>
    </row>
    <row r="2334" spans="1:11" x14ac:dyDescent="0.35">
      <c r="A2334" s="1">
        <v>42491</v>
      </c>
      <c r="B2334" t="s">
        <v>7</v>
      </c>
      <c r="C2334" t="s">
        <v>38</v>
      </c>
      <c r="D2334">
        <v>9248</v>
      </c>
      <c r="E2334">
        <v>104132</v>
      </c>
      <c r="F2334">
        <f t="shared" si="237"/>
        <v>11.259948096885813</v>
      </c>
      <c r="G2334">
        <f t="shared" si="240"/>
        <v>510.75124567474046</v>
      </c>
      <c r="H2334">
        <v>357.72916666666669</v>
      </c>
      <c r="I2334" t="s">
        <v>38</v>
      </c>
      <c r="J2334">
        <f t="shared" si="244"/>
        <v>7.8864454732510296</v>
      </c>
      <c r="K2334">
        <v>4713.6874381607513</v>
      </c>
    </row>
    <row r="2335" spans="1:11" x14ac:dyDescent="0.35">
      <c r="A2335" s="1">
        <v>42522</v>
      </c>
      <c r="B2335" t="s">
        <v>7</v>
      </c>
      <c r="C2335" t="s">
        <v>38</v>
      </c>
      <c r="D2335">
        <v>6805</v>
      </c>
      <c r="E2335">
        <v>78363</v>
      </c>
      <c r="F2335">
        <f t="shared" si="237"/>
        <v>11.515503306392359</v>
      </c>
      <c r="G2335">
        <f t="shared" si="240"/>
        <v>522.34322997795744</v>
      </c>
      <c r="H2335">
        <v>344.36029687500002</v>
      </c>
      <c r="I2335" t="s">
        <v>38</v>
      </c>
      <c r="J2335">
        <f t="shared" si="244"/>
        <v>7.591717303240741</v>
      </c>
      <c r="K2335">
        <v>4713.6874381607513</v>
      </c>
    </row>
    <row r="2336" spans="1:11" x14ac:dyDescent="0.35">
      <c r="A2336" s="1">
        <v>42552</v>
      </c>
      <c r="B2336" t="s">
        <v>7</v>
      </c>
      <c r="C2336" t="s">
        <v>38</v>
      </c>
      <c r="D2336">
        <v>7543.9999999999991</v>
      </c>
      <c r="E2336">
        <v>91446</v>
      </c>
      <c r="F2336">
        <f t="shared" si="237"/>
        <v>12.121686108165431</v>
      </c>
      <c r="G2336">
        <f t="shared" si="240"/>
        <v>549.8396818663839</v>
      </c>
      <c r="H2336">
        <v>377.91979166666664</v>
      </c>
      <c r="I2336" t="s">
        <v>38</v>
      </c>
      <c r="J2336">
        <f t="shared" si="244"/>
        <v>8.3315650720164598</v>
      </c>
      <c r="K2336">
        <v>4713.6874381607513</v>
      </c>
    </row>
    <row r="2337" spans="1:11" x14ac:dyDescent="0.35">
      <c r="A2337" s="1">
        <v>42583</v>
      </c>
      <c r="B2337" t="s">
        <v>7</v>
      </c>
      <c r="C2337" t="s">
        <v>38</v>
      </c>
      <c r="D2337">
        <v>5838</v>
      </c>
      <c r="E2337">
        <v>73013</v>
      </c>
      <c r="F2337">
        <f t="shared" si="237"/>
        <v>12.506509078451524</v>
      </c>
      <c r="G2337">
        <f t="shared" si="240"/>
        <v>567.29525179856114</v>
      </c>
      <c r="H2337">
        <v>429.87036458333336</v>
      </c>
      <c r="I2337" t="s">
        <v>38</v>
      </c>
      <c r="J2337">
        <f t="shared" si="244"/>
        <v>9.4768598894032934</v>
      </c>
      <c r="K2337">
        <v>4713.6874381607513</v>
      </c>
    </row>
    <row r="2338" spans="1:11" x14ac:dyDescent="0.35">
      <c r="A2338" s="1">
        <v>42614</v>
      </c>
      <c r="B2338" t="s">
        <v>7</v>
      </c>
      <c r="C2338" t="s">
        <v>38</v>
      </c>
      <c r="D2338">
        <v>8122</v>
      </c>
      <c r="E2338">
        <v>87167</v>
      </c>
      <c r="F2338">
        <f t="shared" si="237"/>
        <v>10.73220881556267</v>
      </c>
      <c r="G2338">
        <f t="shared" si="240"/>
        <v>486.81299187392267</v>
      </c>
      <c r="H2338">
        <v>449.16848958333333</v>
      </c>
      <c r="I2338" t="s">
        <v>38</v>
      </c>
      <c r="J2338">
        <f t="shared" si="244"/>
        <v>9.902303562242798</v>
      </c>
      <c r="K2338">
        <v>4713.6874381607513</v>
      </c>
    </row>
    <row r="2339" spans="1:11" x14ac:dyDescent="0.35">
      <c r="A2339" s="1">
        <v>42644</v>
      </c>
      <c r="B2339" t="s">
        <v>7</v>
      </c>
      <c r="C2339" t="s">
        <v>38</v>
      </c>
      <c r="D2339">
        <v>6201</v>
      </c>
      <c r="E2339">
        <v>72698</v>
      </c>
      <c r="F2339">
        <f t="shared" si="237"/>
        <v>11.723592968875987</v>
      </c>
      <c r="G2339">
        <f t="shared" si="240"/>
        <v>531.78217706821476</v>
      </c>
      <c r="H2339">
        <v>444.11171875000002</v>
      </c>
      <c r="I2339" t="s">
        <v>38</v>
      </c>
      <c r="J2339">
        <f t="shared" si="244"/>
        <v>9.7908227237654319</v>
      </c>
      <c r="K2339">
        <v>4713.6874381607513</v>
      </c>
    </row>
    <row r="2340" spans="1:11" x14ac:dyDescent="0.35">
      <c r="A2340" s="1">
        <v>42675</v>
      </c>
      <c r="B2340" t="s">
        <v>7</v>
      </c>
      <c r="C2340" t="s">
        <v>38</v>
      </c>
      <c r="D2340">
        <v>12045</v>
      </c>
      <c r="E2340">
        <v>89542</v>
      </c>
      <c r="F2340">
        <f t="shared" si="237"/>
        <v>7.4339559983395596</v>
      </c>
      <c r="G2340">
        <f t="shared" si="240"/>
        <v>337.20424408468244</v>
      </c>
      <c r="H2340">
        <v>423.26059027777774</v>
      </c>
      <c r="I2340" t="s">
        <v>38</v>
      </c>
      <c r="J2340">
        <f t="shared" si="244"/>
        <v>9.3311417609739369</v>
      </c>
      <c r="K2340">
        <v>4713.6874381607504</v>
      </c>
    </row>
    <row r="2341" spans="1:11" x14ac:dyDescent="0.35">
      <c r="A2341" s="1">
        <v>42705</v>
      </c>
      <c r="B2341" t="s">
        <v>7</v>
      </c>
      <c r="C2341" t="s">
        <v>38</v>
      </c>
      <c r="D2341">
        <v>7862</v>
      </c>
      <c r="E2341">
        <v>83241</v>
      </c>
      <c r="F2341">
        <f t="shared" si="237"/>
        <v>10.587763927753752</v>
      </c>
      <c r="G2341">
        <f t="shared" si="240"/>
        <v>480.26097176291017</v>
      </c>
      <c r="H2341">
        <v>431.68246527777774</v>
      </c>
      <c r="I2341" t="s">
        <v>38</v>
      </c>
      <c r="J2341">
        <f t="shared" si="244"/>
        <v>9.5168091992455413</v>
      </c>
      <c r="K2341">
        <v>4713.6874381607504</v>
      </c>
    </row>
    <row r="2342" spans="1:11" x14ac:dyDescent="0.35">
      <c r="A2342" s="1">
        <v>42370</v>
      </c>
      <c r="B2342" t="s">
        <v>8</v>
      </c>
      <c r="C2342" t="s">
        <v>38</v>
      </c>
      <c r="D2342">
        <v>7184</v>
      </c>
      <c r="E2342">
        <v>68524</v>
      </c>
      <c r="F2342">
        <f t="shared" si="237"/>
        <v>9.5384187082405347</v>
      </c>
      <c r="G2342">
        <f t="shared" si="240"/>
        <v>432.66267260579065</v>
      </c>
      <c r="H2342">
        <v>1542.2795138888889</v>
      </c>
      <c r="I2342" t="s">
        <v>38</v>
      </c>
      <c r="J2342">
        <f t="shared" si="244"/>
        <v>34.000871117479917</v>
      </c>
      <c r="K2342">
        <v>8550.1576563690342</v>
      </c>
    </row>
    <row r="2343" spans="1:11" x14ac:dyDescent="0.35">
      <c r="A2343" s="1">
        <v>42401</v>
      </c>
      <c r="B2343" t="s">
        <v>8</v>
      </c>
      <c r="C2343" t="s">
        <v>38</v>
      </c>
      <c r="D2343">
        <v>9514</v>
      </c>
      <c r="E2343">
        <v>84587</v>
      </c>
      <c r="F2343">
        <f t="shared" ref="F2343:F2401" si="245">E2343/D2343</f>
        <v>8.8907925162917802</v>
      </c>
      <c r="G2343">
        <f t="shared" si="240"/>
        <v>403.28634853899513</v>
      </c>
      <c r="H2343">
        <v>1492.4010416666667</v>
      </c>
      <c r="I2343" t="s">
        <v>38</v>
      </c>
      <c r="J2343">
        <f t="shared" si="244"/>
        <v>32.901257532333922</v>
      </c>
      <c r="K2343">
        <v>8550.1576563690342</v>
      </c>
    </row>
    <row r="2344" spans="1:11" x14ac:dyDescent="0.35">
      <c r="A2344" s="1">
        <v>42430</v>
      </c>
      <c r="B2344" t="s">
        <v>8</v>
      </c>
      <c r="C2344" t="s">
        <v>38</v>
      </c>
      <c r="D2344">
        <v>6884</v>
      </c>
      <c r="E2344">
        <v>75243</v>
      </c>
      <c r="F2344">
        <f t="shared" si="245"/>
        <v>10.930127832655433</v>
      </c>
      <c r="G2344">
        <f t="shared" si="240"/>
        <v>495.79059848925044</v>
      </c>
      <c r="H2344">
        <v>1363.953125</v>
      </c>
      <c r="I2344" t="s">
        <v>38</v>
      </c>
      <c r="J2344">
        <f t="shared" si="244"/>
        <v>30.069513337742503</v>
      </c>
      <c r="K2344">
        <v>8550.1576563690342</v>
      </c>
    </row>
    <row r="2345" spans="1:11" x14ac:dyDescent="0.35">
      <c r="A2345" s="1">
        <v>42461</v>
      </c>
      <c r="B2345" t="s">
        <v>8</v>
      </c>
      <c r="C2345" t="s">
        <v>38</v>
      </c>
      <c r="D2345">
        <v>9214</v>
      </c>
      <c r="E2345">
        <v>89201</v>
      </c>
      <c r="F2345">
        <f t="shared" si="245"/>
        <v>9.6810288691122199</v>
      </c>
      <c r="G2345">
        <f t="shared" si="240"/>
        <v>439.13146950293032</v>
      </c>
      <c r="H2345">
        <v>1411.8489583333335</v>
      </c>
      <c r="I2345" t="s">
        <v>38</v>
      </c>
      <c r="J2345">
        <f t="shared" si="244"/>
        <v>31.125417952674901</v>
      </c>
      <c r="K2345">
        <v>8550.1576563690342</v>
      </c>
    </row>
    <row r="2346" spans="1:11" x14ac:dyDescent="0.35">
      <c r="A2346" s="1">
        <v>42491</v>
      </c>
      <c r="B2346" t="s">
        <v>8</v>
      </c>
      <c r="C2346" t="s">
        <v>38</v>
      </c>
      <c r="D2346">
        <v>4390</v>
      </c>
      <c r="E2346">
        <v>43654</v>
      </c>
      <c r="F2346">
        <f t="shared" si="245"/>
        <v>9.943963553530752</v>
      </c>
      <c r="G2346">
        <f t="shared" si="240"/>
        <v>451.0581867881549</v>
      </c>
      <c r="H2346">
        <v>1488.8750000000002</v>
      </c>
      <c r="I2346" t="s">
        <v>38</v>
      </c>
      <c r="J2346">
        <f t="shared" si="244"/>
        <v>32.823522927689602</v>
      </c>
      <c r="K2346">
        <v>8550.1576563690342</v>
      </c>
    </row>
    <row r="2347" spans="1:11" x14ac:dyDescent="0.35">
      <c r="A2347" s="1">
        <v>42522</v>
      </c>
      <c r="B2347" t="s">
        <v>8</v>
      </c>
      <c r="C2347" t="s">
        <v>38</v>
      </c>
      <c r="D2347">
        <v>4521</v>
      </c>
      <c r="E2347">
        <v>33214</v>
      </c>
      <c r="F2347">
        <f t="shared" si="245"/>
        <v>7.3466047334660471</v>
      </c>
      <c r="G2347">
        <f t="shared" si="240"/>
        <v>333.24199071001988</v>
      </c>
      <c r="H2347">
        <v>1415.8236111111112</v>
      </c>
      <c r="I2347" t="s">
        <v>38</v>
      </c>
      <c r="J2347">
        <f t="shared" si="244"/>
        <v>31.213042572996279</v>
      </c>
      <c r="K2347">
        <v>8550.1576563690342</v>
      </c>
    </row>
    <row r="2348" spans="1:11" x14ac:dyDescent="0.35">
      <c r="A2348" s="1">
        <v>42552</v>
      </c>
      <c r="B2348" t="s">
        <v>8</v>
      </c>
      <c r="C2348" t="s">
        <v>38</v>
      </c>
      <c r="D2348">
        <v>6189</v>
      </c>
      <c r="E2348">
        <v>60936</v>
      </c>
      <c r="F2348">
        <f t="shared" si="245"/>
        <v>9.8458555501696559</v>
      </c>
      <c r="G2348">
        <f t="shared" si="240"/>
        <v>446.60800775569561</v>
      </c>
      <c r="H2348">
        <v>1706.672619047619</v>
      </c>
      <c r="I2348" t="s">
        <v>38</v>
      </c>
      <c r="J2348">
        <f t="shared" si="244"/>
        <v>37.625057739145042</v>
      </c>
      <c r="K2348">
        <v>8550.1576563690342</v>
      </c>
    </row>
    <row r="2349" spans="1:11" x14ac:dyDescent="0.35">
      <c r="A2349" s="1">
        <v>42583</v>
      </c>
      <c r="B2349" t="s">
        <v>8</v>
      </c>
      <c r="C2349" t="s">
        <v>38</v>
      </c>
      <c r="D2349">
        <v>4014</v>
      </c>
      <c r="E2349">
        <v>30159</v>
      </c>
      <c r="F2349">
        <f t="shared" si="245"/>
        <v>7.5134529147982061</v>
      </c>
      <c r="G2349">
        <f t="shared" si="240"/>
        <v>340.81022421524665</v>
      </c>
      <c r="H2349">
        <v>1579.8541666666667</v>
      </c>
      <c r="I2349" t="s">
        <v>38</v>
      </c>
      <c r="J2349">
        <f t="shared" si="244"/>
        <v>34.829236478542036</v>
      </c>
      <c r="K2349">
        <v>8550.1576563690342</v>
      </c>
    </row>
    <row r="2350" spans="1:11" x14ac:dyDescent="0.35">
      <c r="A2350" s="1">
        <v>42614</v>
      </c>
      <c r="B2350" t="s">
        <v>8</v>
      </c>
      <c r="C2350" t="s">
        <v>38</v>
      </c>
      <c r="D2350">
        <v>3510</v>
      </c>
      <c r="E2350">
        <v>30124</v>
      </c>
      <c r="F2350">
        <f t="shared" si="245"/>
        <v>8.5823361823361815</v>
      </c>
      <c r="G2350">
        <f t="shared" si="240"/>
        <v>389.29476923076919</v>
      </c>
      <c r="H2350">
        <v>1753.8690476190477</v>
      </c>
      <c r="I2350" t="s">
        <v>38</v>
      </c>
      <c r="J2350">
        <f t="shared" si="244"/>
        <v>38.665543377844969</v>
      </c>
      <c r="K2350">
        <v>8550.1576563690342</v>
      </c>
    </row>
    <row r="2351" spans="1:11" x14ac:dyDescent="0.35">
      <c r="A2351" s="1">
        <v>42644</v>
      </c>
      <c r="B2351" t="s">
        <v>8</v>
      </c>
      <c r="C2351" t="s">
        <v>38</v>
      </c>
      <c r="D2351">
        <v>3668</v>
      </c>
      <c r="E2351">
        <v>38959</v>
      </c>
      <c r="F2351">
        <f t="shared" si="245"/>
        <v>10.621319520174483</v>
      </c>
      <c r="G2351">
        <f t="shared" si="240"/>
        <v>481.78305343511454</v>
      </c>
      <c r="H2351">
        <v>1645.2232142857142</v>
      </c>
      <c r="I2351" t="s">
        <v>38</v>
      </c>
      <c r="J2351">
        <f t="shared" si="244"/>
        <v>36.270353048626859</v>
      </c>
      <c r="K2351">
        <v>8550.1576563690342</v>
      </c>
    </row>
    <row r="2352" spans="1:11" x14ac:dyDescent="0.35">
      <c r="A2352" s="1">
        <v>42675</v>
      </c>
      <c r="B2352" t="s">
        <v>8</v>
      </c>
      <c r="C2352" t="s">
        <v>38</v>
      </c>
      <c r="D2352">
        <v>5891.0000000000009</v>
      </c>
      <c r="E2352">
        <v>50144</v>
      </c>
      <c r="F2352">
        <f t="shared" si="245"/>
        <v>8.5119674079103707</v>
      </c>
      <c r="G2352">
        <f t="shared" si="240"/>
        <v>386.10284162281442</v>
      </c>
      <c r="H2352">
        <v>1780.0029761904764</v>
      </c>
      <c r="I2352" t="s">
        <v>38</v>
      </c>
      <c r="J2352">
        <f t="shared" si="244"/>
        <v>39.241688187620731</v>
      </c>
      <c r="K2352">
        <v>8550.1576563690342</v>
      </c>
    </row>
    <row r="2353" spans="1:11" x14ac:dyDescent="0.35">
      <c r="A2353" s="1">
        <v>42705</v>
      </c>
      <c r="B2353" t="s">
        <v>8</v>
      </c>
      <c r="C2353" t="s">
        <v>38</v>
      </c>
      <c r="D2353">
        <v>7014</v>
      </c>
      <c r="E2353">
        <v>60450.999999999993</v>
      </c>
      <c r="F2353">
        <f t="shared" si="245"/>
        <v>8.6186199030510391</v>
      </c>
      <c r="G2353">
        <f t="shared" si="240"/>
        <v>390.94059880239513</v>
      </c>
      <c r="H2353">
        <v>1681.0684523809525</v>
      </c>
      <c r="I2353" t="s">
        <v>38</v>
      </c>
      <c r="J2353">
        <f t="shared" si="244"/>
        <v>37.06059198370707</v>
      </c>
      <c r="K2353">
        <v>8550.1576563690305</v>
      </c>
    </row>
    <row r="2354" spans="1:11" x14ac:dyDescent="0.35">
      <c r="A2354" s="1">
        <v>42370</v>
      </c>
      <c r="B2354" t="s">
        <v>9</v>
      </c>
      <c r="C2354" t="s">
        <v>38</v>
      </c>
      <c r="D2354">
        <v>4171</v>
      </c>
      <c r="E2354">
        <v>133214</v>
      </c>
      <c r="F2354">
        <f t="shared" si="245"/>
        <v>31.938144329896907</v>
      </c>
      <c r="G2354">
        <f t="shared" si="240"/>
        <v>1448.7142268041237</v>
      </c>
      <c r="H2354">
        <v>1062.5</v>
      </c>
      <c r="I2354" t="s">
        <v>38</v>
      </c>
      <c r="J2354">
        <f t="shared" si="244"/>
        <v>23.423721340388006</v>
      </c>
      <c r="K2354">
        <v>23192.17</v>
      </c>
    </row>
    <row r="2355" spans="1:11" x14ac:dyDescent="0.35">
      <c r="A2355" s="1">
        <v>42401</v>
      </c>
      <c r="B2355" t="s">
        <v>9</v>
      </c>
      <c r="C2355" t="s">
        <v>38</v>
      </c>
      <c r="D2355">
        <v>6214</v>
      </c>
      <c r="E2355">
        <v>220211</v>
      </c>
      <c r="F2355">
        <f t="shared" si="245"/>
        <v>35.437882201480527</v>
      </c>
      <c r="G2355">
        <f t="shared" si="240"/>
        <v>1607.4623366591566</v>
      </c>
      <c r="H2355">
        <v>1041.75</v>
      </c>
      <c r="I2355" t="s">
        <v>38</v>
      </c>
      <c r="J2355">
        <f t="shared" si="244"/>
        <v>22.966269841269842</v>
      </c>
      <c r="K2355">
        <v>23192.17</v>
      </c>
    </row>
    <row r="2356" spans="1:11" x14ac:dyDescent="0.35">
      <c r="A2356" s="1">
        <v>42430</v>
      </c>
      <c r="B2356" t="s">
        <v>9</v>
      </c>
      <c r="C2356" t="s">
        <v>38</v>
      </c>
      <c r="D2356">
        <v>4381</v>
      </c>
      <c r="E2356">
        <v>164815</v>
      </c>
      <c r="F2356">
        <f t="shared" si="245"/>
        <v>37.620406299931524</v>
      </c>
      <c r="G2356">
        <f t="shared" ref="G2356:G2419" si="246">F2356*45.36</f>
        <v>1706.4616297648938</v>
      </c>
      <c r="H2356">
        <v>917.57500000000005</v>
      </c>
      <c r="I2356" t="s">
        <v>38</v>
      </c>
      <c r="J2356">
        <f t="shared" si="244"/>
        <v>20.228725749559086</v>
      </c>
      <c r="K2356">
        <v>23192.17</v>
      </c>
    </row>
    <row r="2357" spans="1:11" x14ac:dyDescent="0.35">
      <c r="A2357" s="1">
        <v>42461</v>
      </c>
      <c r="B2357" t="s">
        <v>9</v>
      </c>
      <c r="C2357" t="s">
        <v>38</v>
      </c>
      <c r="D2357">
        <v>3201</v>
      </c>
      <c r="E2357">
        <v>119452</v>
      </c>
      <c r="F2357">
        <f t="shared" si="245"/>
        <v>37.317088409871914</v>
      </c>
      <c r="G2357">
        <f t="shared" si="246"/>
        <v>1692.7031302717901</v>
      </c>
      <c r="H2357">
        <v>790.59444444444455</v>
      </c>
      <c r="I2357" t="s">
        <v>38</v>
      </c>
      <c r="J2357">
        <f t="shared" si="244"/>
        <v>17.429330785812269</v>
      </c>
      <c r="K2357">
        <v>23192.17</v>
      </c>
    </row>
    <row r="2358" spans="1:11" x14ac:dyDescent="0.35">
      <c r="A2358" s="1">
        <v>42491</v>
      </c>
      <c r="B2358" t="s">
        <v>9</v>
      </c>
      <c r="C2358" t="s">
        <v>38</v>
      </c>
      <c r="D2358">
        <v>4402</v>
      </c>
      <c r="E2358">
        <v>176021</v>
      </c>
      <c r="F2358">
        <f t="shared" si="245"/>
        <v>39.986597001363016</v>
      </c>
      <c r="G2358">
        <f t="shared" si="246"/>
        <v>1813.7920399818263</v>
      </c>
      <c r="H2358">
        <v>727.8125</v>
      </c>
      <c r="I2358" t="s">
        <v>38</v>
      </c>
      <c r="J2358">
        <f t="shared" si="244"/>
        <v>16.045249118165785</v>
      </c>
      <c r="K2358">
        <v>23192.17</v>
      </c>
    </row>
    <row r="2359" spans="1:11" x14ac:dyDescent="0.35">
      <c r="A2359" s="1">
        <v>42522</v>
      </c>
      <c r="B2359" t="s">
        <v>9</v>
      </c>
      <c r="C2359" t="s">
        <v>38</v>
      </c>
      <c r="D2359">
        <v>4210</v>
      </c>
      <c r="E2359">
        <v>157220</v>
      </c>
      <c r="F2359">
        <f t="shared" si="245"/>
        <v>37.344418052256529</v>
      </c>
      <c r="G2359">
        <f t="shared" si="246"/>
        <v>1693.9428028503562</v>
      </c>
      <c r="H2359">
        <v>818.75</v>
      </c>
      <c r="I2359" t="s">
        <v>38</v>
      </c>
      <c r="J2359">
        <f t="shared" si="244"/>
        <v>18.05004409171076</v>
      </c>
      <c r="K2359">
        <v>23192.17</v>
      </c>
    </row>
    <row r="2360" spans="1:11" x14ac:dyDescent="0.35">
      <c r="A2360" s="1">
        <v>42552</v>
      </c>
      <c r="B2360" t="s">
        <v>9</v>
      </c>
      <c r="C2360" t="s">
        <v>38</v>
      </c>
      <c r="D2360">
        <v>2801</v>
      </c>
      <c r="E2360">
        <v>107698</v>
      </c>
      <c r="F2360">
        <f t="shared" si="245"/>
        <v>38.449839343091753</v>
      </c>
      <c r="G2360">
        <f t="shared" si="246"/>
        <v>1744.084712602642</v>
      </c>
      <c r="H2360">
        <v>914.58333333333326</v>
      </c>
      <c r="I2360" t="s">
        <v>38</v>
      </c>
      <c r="J2360">
        <f t="shared" si="244"/>
        <v>20.162771898883008</v>
      </c>
      <c r="K2360">
        <v>23192.17</v>
      </c>
    </row>
    <row r="2361" spans="1:11" x14ac:dyDescent="0.35">
      <c r="A2361" s="1">
        <v>42583</v>
      </c>
      <c r="B2361" t="s">
        <v>9</v>
      </c>
      <c r="C2361" t="s">
        <v>38</v>
      </c>
      <c r="D2361">
        <v>2698</v>
      </c>
      <c r="E2361">
        <v>104210</v>
      </c>
      <c r="F2361">
        <f t="shared" si="245"/>
        <v>38.624907338769461</v>
      </c>
      <c r="G2361">
        <f t="shared" si="246"/>
        <v>1752.0257968865826</v>
      </c>
      <c r="H2361">
        <v>987.5</v>
      </c>
      <c r="I2361" t="s">
        <v>38</v>
      </c>
      <c r="J2361">
        <f t="shared" si="244"/>
        <v>21.770282186948855</v>
      </c>
      <c r="K2361">
        <v>23192.17</v>
      </c>
    </row>
    <row r="2362" spans="1:11" x14ac:dyDescent="0.35">
      <c r="A2362" s="1">
        <v>42614</v>
      </c>
      <c r="B2362" t="s">
        <v>9</v>
      </c>
      <c r="C2362" t="s">
        <v>38</v>
      </c>
      <c r="D2362">
        <v>5011.9999999999991</v>
      </c>
      <c r="E2362">
        <v>198698.00000000003</v>
      </c>
      <c r="F2362">
        <f t="shared" si="245"/>
        <v>39.644453312051091</v>
      </c>
      <c r="G2362">
        <f t="shared" si="246"/>
        <v>1798.2724022346374</v>
      </c>
      <c r="H2362">
        <v>972.77777777777783</v>
      </c>
      <c r="I2362" t="s">
        <v>38</v>
      </c>
      <c r="J2362">
        <f t="shared" si="244"/>
        <v>21.445718204977467</v>
      </c>
      <c r="K2362">
        <v>23192.17</v>
      </c>
    </row>
    <row r="2363" spans="1:11" x14ac:dyDescent="0.35">
      <c r="A2363" s="1">
        <v>42644</v>
      </c>
      <c r="B2363" t="s">
        <v>9</v>
      </c>
      <c r="C2363" t="s">
        <v>38</v>
      </c>
      <c r="D2363">
        <v>3759.9999999999995</v>
      </c>
      <c r="E2363">
        <v>149414</v>
      </c>
      <c r="F2363">
        <f t="shared" si="245"/>
        <v>39.737765957446811</v>
      </c>
      <c r="G2363">
        <f t="shared" si="246"/>
        <v>1802.5050638297873</v>
      </c>
      <c r="H2363">
        <v>902.08333333333326</v>
      </c>
      <c r="I2363" t="s">
        <v>38</v>
      </c>
      <c r="J2363">
        <f t="shared" si="244"/>
        <v>19.887198706643151</v>
      </c>
      <c r="K2363">
        <v>23192.17</v>
      </c>
    </row>
    <row r="2364" spans="1:11" x14ac:dyDescent="0.35">
      <c r="A2364" s="1">
        <v>42675</v>
      </c>
      <c r="B2364" t="s">
        <v>9</v>
      </c>
      <c r="C2364" t="s">
        <v>38</v>
      </c>
      <c r="D2364">
        <v>5012</v>
      </c>
      <c r="E2364">
        <v>172450</v>
      </c>
      <c r="F2364">
        <f t="shared" si="245"/>
        <v>34.407422186751795</v>
      </c>
      <c r="G2364">
        <f t="shared" si="246"/>
        <v>1560.7206703910615</v>
      </c>
      <c r="H2364">
        <v>825</v>
      </c>
      <c r="I2364" t="s">
        <v>38</v>
      </c>
      <c r="J2364">
        <f t="shared" si="244"/>
        <v>18.187830687830687</v>
      </c>
      <c r="K2364">
        <v>23192.17</v>
      </c>
    </row>
    <row r="2365" spans="1:11" x14ac:dyDescent="0.35">
      <c r="A2365" s="1">
        <v>42705</v>
      </c>
      <c r="B2365" t="s">
        <v>9</v>
      </c>
      <c r="C2365" t="s">
        <v>38</v>
      </c>
      <c r="D2365">
        <v>4210</v>
      </c>
      <c r="E2365">
        <v>151254</v>
      </c>
      <c r="F2365">
        <f t="shared" si="245"/>
        <v>35.927315914489313</v>
      </c>
      <c r="G2365">
        <f t="shared" si="246"/>
        <v>1629.6630498812351</v>
      </c>
      <c r="H2365">
        <v>971.875</v>
      </c>
      <c r="I2365" t="s">
        <v>38</v>
      </c>
      <c r="J2365">
        <f t="shared" si="244"/>
        <v>21.425815696649032</v>
      </c>
      <c r="K2365">
        <v>23192.17</v>
      </c>
    </row>
    <row r="2366" spans="1:11" x14ac:dyDescent="0.35">
      <c r="A2366" s="1">
        <v>42370</v>
      </c>
      <c r="B2366" t="s">
        <v>10</v>
      </c>
      <c r="C2366" t="s">
        <v>38</v>
      </c>
      <c r="D2366">
        <v>4986.9999999999991</v>
      </c>
      <c r="E2366">
        <v>71213.999999999985</v>
      </c>
      <c r="F2366">
        <f t="shared" si="245"/>
        <v>14.27992781231201</v>
      </c>
      <c r="G2366">
        <f t="shared" si="246"/>
        <v>647.73752556647275</v>
      </c>
      <c r="H2366">
        <v>2589.734375</v>
      </c>
      <c r="I2366" t="s">
        <v>38</v>
      </c>
      <c r="J2366">
        <f t="shared" si="244"/>
        <v>57.092909501763671</v>
      </c>
      <c r="K2366">
        <v>8705.1562241279989</v>
      </c>
    </row>
    <row r="2367" spans="1:11" x14ac:dyDescent="0.35">
      <c r="A2367" s="1">
        <v>42401</v>
      </c>
      <c r="B2367" t="s">
        <v>10</v>
      </c>
      <c r="C2367" t="s">
        <v>38</v>
      </c>
      <c r="D2367">
        <v>7547</v>
      </c>
      <c r="E2367">
        <v>69879</v>
      </c>
      <c r="F2367">
        <f t="shared" si="245"/>
        <v>9.2591758314562078</v>
      </c>
      <c r="G2367">
        <f t="shared" si="246"/>
        <v>419.99621571485358</v>
      </c>
      <c r="H2367">
        <v>2629.1041666666665</v>
      </c>
      <c r="I2367" t="s">
        <v>38</v>
      </c>
      <c r="J2367">
        <f t="shared" si="244"/>
        <v>57.960850235155789</v>
      </c>
      <c r="K2367">
        <v>8705.1562241279989</v>
      </c>
    </row>
    <row r="2368" spans="1:11" x14ac:dyDescent="0.35">
      <c r="A2368" s="1">
        <v>42430</v>
      </c>
      <c r="B2368" t="s">
        <v>10</v>
      </c>
      <c r="C2368" t="s">
        <v>38</v>
      </c>
      <c r="D2368">
        <v>5985.0000000000009</v>
      </c>
      <c r="E2368">
        <v>52144</v>
      </c>
      <c r="F2368">
        <f t="shared" si="245"/>
        <v>8.712447786131996</v>
      </c>
      <c r="G2368">
        <f t="shared" si="246"/>
        <v>395.19663157894735</v>
      </c>
      <c r="H2368">
        <v>2429.692708333333</v>
      </c>
      <c r="I2368" t="s">
        <v>38</v>
      </c>
      <c r="J2368">
        <f t="shared" si="244"/>
        <v>53.564654063786001</v>
      </c>
      <c r="K2368">
        <v>8705.1562241279989</v>
      </c>
    </row>
    <row r="2369" spans="1:11" x14ac:dyDescent="0.35">
      <c r="A2369" s="1">
        <v>42461</v>
      </c>
      <c r="B2369" t="s">
        <v>10</v>
      </c>
      <c r="C2369" t="s">
        <v>38</v>
      </c>
      <c r="D2369">
        <v>6544</v>
      </c>
      <c r="E2369">
        <v>62014</v>
      </c>
      <c r="F2369">
        <f t="shared" si="245"/>
        <v>9.4764669926650367</v>
      </c>
      <c r="G2369">
        <f t="shared" si="246"/>
        <v>429.85254278728604</v>
      </c>
      <c r="H2369">
        <v>2482.1875</v>
      </c>
      <c r="I2369" t="s">
        <v>38</v>
      </c>
      <c r="J2369">
        <f t="shared" si="244"/>
        <v>54.721946649029981</v>
      </c>
      <c r="K2369">
        <v>8705.1562241279989</v>
      </c>
    </row>
    <row r="2370" spans="1:11" x14ac:dyDescent="0.35">
      <c r="A2370" s="1">
        <v>42491</v>
      </c>
      <c r="B2370" t="s">
        <v>10</v>
      </c>
      <c r="C2370" t="s">
        <v>38</v>
      </c>
      <c r="D2370">
        <v>6201.0000000000009</v>
      </c>
      <c r="E2370">
        <v>39521</v>
      </c>
      <c r="F2370">
        <f t="shared" si="245"/>
        <v>6.3733268827608445</v>
      </c>
      <c r="G2370">
        <f t="shared" si="246"/>
        <v>289.09410740203191</v>
      </c>
      <c r="H2370">
        <v>2210.5260416666665</v>
      </c>
      <c r="I2370" t="s">
        <v>38</v>
      </c>
      <c r="J2370">
        <f t="shared" si="244"/>
        <v>48.732937426513814</v>
      </c>
      <c r="K2370">
        <v>8705.1562241279989</v>
      </c>
    </row>
    <row r="2371" spans="1:11" x14ac:dyDescent="0.35">
      <c r="A2371" s="1">
        <v>42522</v>
      </c>
      <c r="B2371" t="s">
        <v>10</v>
      </c>
      <c r="C2371" t="s">
        <v>38</v>
      </c>
      <c r="D2371">
        <v>6454.9999999999991</v>
      </c>
      <c r="E2371">
        <v>61090.000000000015</v>
      </c>
      <c r="F2371">
        <f t="shared" si="245"/>
        <v>9.4639814097598798</v>
      </c>
      <c r="G2371">
        <f t="shared" si="246"/>
        <v>429.28619674670813</v>
      </c>
      <c r="H2371">
        <v>2149.0500000000002</v>
      </c>
      <c r="I2371" t="s">
        <v>38</v>
      </c>
      <c r="J2371">
        <f t="shared" si="244"/>
        <v>47.377645502645507</v>
      </c>
      <c r="K2371">
        <v>8705.1562241279989</v>
      </c>
    </row>
    <row r="2372" spans="1:11" x14ac:dyDescent="0.35">
      <c r="A2372" s="1">
        <v>42552</v>
      </c>
      <c r="B2372" t="s">
        <v>10</v>
      </c>
      <c r="C2372" t="s">
        <v>38</v>
      </c>
      <c r="D2372">
        <v>5201</v>
      </c>
      <c r="E2372">
        <v>50124</v>
      </c>
      <c r="F2372">
        <f t="shared" si="245"/>
        <v>9.637377427417805</v>
      </c>
      <c r="G2372">
        <f t="shared" si="246"/>
        <v>437.15144010767165</v>
      </c>
      <c r="H2372">
        <v>2202.59375</v>
      </c>
      <c r="I2372" t="s">
        <v>38</v>
      </c>
      <c r="J2372">
        <f t="shared" si="244"/>
        <v>48.558063271604937</v>
      </c>
      <c r="K2372">
        <v>8705.1562241279989</v>
      </c>
    </row>
    <row r="2373" spans="1:11" x14ac:dyDescent="0.35">
      <c r="A2373" s="1">
        <v>42583</v>
      </c>
      <c r="B2373" t="s">
        <v>10</v>
      </c>
      <c r="C2373" t="s">
        <v>38</v>
      </c>
      <c r="D2373">
        <v>4401</v>
      </c>
      <c r="E2373">
        <v>47545</v>
      </c>
      <c r="F2373">
        <f t="shared" si="245"/>
        <v>10.803226539422859</v>
      </c>
      <c r="G2373">
        <f t="shared" si="246"/>
        <v>490.0343558282209</v>
      </c>
      <c r="H2373">
        <v>2091.5062499999999</v>
      </c>
      <c r="I2373" t="s">
        <v>38</v>
      </c>
      <c r="J2373">
        <f t="shared" si="244"/>
        <v>46.10904431216931</v>
      </c>
      <c r="K2373">
        <v>8705.1562241279989</v>
      </c>
    </row>
    <row r="2374" spans="1:11" x14ac:dyDescent="0.35">
      <c r="A2374" s="1">
        <v>42614</v>
      </c>
      <c r="B2374" t="s">
        <v>10</v>
      </c>
      <c r="C2374" t="s">
        <v>38</v>
      </c>
      <c r="D2374">
        <v>4259</v>
      </c>
      <c r="E2374">
        <v>39594</v>
      </c>
      <c r="F2374">
        <f t="shared" si="245"/>
        <v>9.29654848555999</v>
      </c>
      <c r="G2374">
        <f t="shared" si="246"/>
        <v>421.69143930500115</v>
      </c>
      <c r="H2374">
        <v>2265.234375</v>
      </c>
      <c r="I2374" t="s">
        <v>38</v>
      </c>
      <c r="J2374">
        <f t="shared" si="244"/>
        <v>49.93902943121693</v>
      </c>
      <c r="K2374">
        <v>8705.1562241279989</v>
      </c>
    </row>
    <row r="2375" spans="1:11" x14ac:dyDescent="0.35">
      <c r="A2375" s="1">
        <v>42644</v>
      </c>
      <c r="B2375" t="s">
        <v>10</v>
      </c>
      <c r="C2375" t="s">
        <v>38</v>
      </c>
      <c r="D2375">
        <v>5561.9999999999991</v>
      </c>
      <c r="E2375">
        <v>57612</v>
      </c>
      <c r="F2375">
        <f t="shared" si="245"/>
        <v>10.358144552319311</v>
      </c>
      <c r="G2375">
        <f t="shared" si="246"/>
        <v>469.84543689320395</v>
      </c>
      <c r="H2375">
        <v>2078.3723958333335</v>
      </c>
      <c r="I2375" t="s">
        <v>38</v>
      </c>
      <c r="J2375">
        <f t="shared" si="244"/>
        <v>45.819497262639629</v>
      </c>
      <c r="K2375">
        <v>8705.1562241279989</v>
      </c>
    </row>
    <row r="2376" spans="1:11" x14ac:dyDescent="0.35">
      <c r="A2376" s="1">
        <v>42675</v>
      </c>
      <c r="B2376" t="s">
        <v>10</v>
      </c>
      <c r="C2376" t="s">
        <v>38</v>
      </c>
      <c r="D2376">
        <v>6540.9999999999991</v>
      </c>
      <c r="E2376">
        <v>47512</v>
      </c>
      <c r="F2376">
        <f t="shared" si="245"/>
        <v>7.2637211435560323</v>
      </c>
      <c r="G2376">
        <f t="shared" si="246"/>
        <v>329.48239107170161</v>
      </c>
      <c r="H2376">
        <v>2213.6692708333335</v>
      </c>
      <c r="I2376" t="s">
        <v>38</v>
      </c>
      <c r="J2376">
        <f t="shared" si="244"/>
        <v>48.8022326021458</v>
      </c>
      <c r="K2376">
        <v>8705.1562241279989</v>
      </c>
    </row>
    <row r="2377" spans="1:11" x14ac:dyDescent="0.35">
      <c r="A2377" s="1">
        <v>42705</v>
      </c>
      <c r="B2377" t="s">
        <v>10</v>
      </c>
      <c r="C2377" t="s">
        <v>38</v>
      </c>
      <c r="D2377">
        <v>8214.0000000000018</v>
      </c>
      <c r="E2377">
        <v>82147</v>
      </c>
      <c r="F2377">
        <f t="shared" si="245"/>
        <v>10.000852203554905</v>
      </c>
      <c r="G2377">
        <f t="shared" si="246"/>
        <v>453.63865595325046</v>
      </c>
      <c r="H2377">
        <v>2135.2690972222222</v>
      </c>
      <c r="I2377" t="s">
        <v>38</v>
      </c>
      <c r="J2377">
        <f t="shared" si="244"/>
        <v>47.07383371301195</v>
      </c>
      <c r="K2377">
        <v>8705.1562241280008</v>
      </c>
    </row>
    <row r="2378" spans="1:11" x14ac:dyDescent="0.35">
      <c r="A2378" s="1">
        <v>42370</v>
      </c>
      <c r="B2378" t="s">
        <v>11</v>
      </c>
      <c r="C2378" t="s">
        <v>38</v>
      </c>
      <c r="D2378">
        <v>26547</v>
      </c>
      <c r="E2378">
        <v>279877.00000000006</v>
      </c>
      <c r="F2378">
        <f t="shared" si="245"/>
        <v>10.542697856631637</v>
      </c>
      <c r="G2378">
        <f t="shared" si="246"/>
        <v>478.21677477681106</v>
      </c>
      <c r="H2378">
        <v>921.13020833333326</v>
      </c>
      <c r="I2378" t="s">
        <v>38</v>
      </c>
      <c r="J2378">
        <f t="shared" si="244"/>
        <v>20.307103358318635</v>
      </c>
      <c r="K2378">
        <v>4784.7627198809241</v>
      </c>
    </row>
    <row r="2379" spans="1:11" x14ac:dyDescent="0.35">
      <c r="A2379" s="1">
        <v>42401</v>
      </c>
      <c r="B2379" t="s">
        <v>11</v>
      </c>
      <c r="C2379" t="s">
        <v>38</v>
      </c>
      <c r="D2379">
        <v>41014</v>
      </c>
      <c r="E2379">
        <v>445896.99999999994</v>
      </c>
      <c r="F2379">
        <f t="shared" si="245"/>
        <v>10.871824255132392</v>
      </c>
      <c r="G2379">
        <f t="shared" si="246"/>
        <v>493.14594821280531</v>
      </c>
      <c r="H2379">
        <v>936.11270833333333</v>
      </c>
      <c r="I2379" t="s">
        <v>38</v>
      </c>
      <c r="J2379">
        <f t="shared" si="244"/>
        <v>20.637405386537331</v>
      </c>
      <c r="K2379">
        <v>4784.7627198809241</v>
      </c>
    </row>
    <row r="2380" spans="1:11" x14ac:dyDescent="0.35">
      <c r="A2380" s="1">
        <v>42430</v>
      </c>
      <c r="B2380" t="s">
        <v>11</v>
      </c>
      <c r="C2380" t="s">
        <v>38</v>
      </c>
      <c r="D2380">
        <v>27214</v>
      </c>
      <c r="E2380">
        <v>259847</v>
      </c>
      <c r="F2380">
        <f t="shared" si="245"/>
        <v>9.5482839714852652</v>
      </c>
      <c r="G2380">
        <f t="shared" si="246"/>
        <v>433.11016094657163</v>
      </c>
      <c r="H2380">
        <v>1043.6145833333333</v>
      </c>
      <c r="I2380" t="s">
        <v>38</v>
      </c>
      <c r="J2380">
        <f t="shared" si="244"/>
        <v>23.007376175778951</v>
      </c>
      <c r="K2380">
        <v>4784.7627198809241</v>
      </c>
    </row>
    <row r="2381" spans="1:11" x14ac:dyDescent="0.35">
      <c r="A2381" s="1">
        <v>42461</v>
      </c>
      <c r="B2381" t="s">
        <v>11</v>
      </c>
      <c r="C2381" t="s">
        <v>38</v>
      </c>
      <c r="D2381">
        <v>27012</v>
      </c>
      <c r="E2381">
        <v>260989</v>
      </c>
      <c r="F2381">
        <f t="shared" si="245"/>
        <v>9.6619650525692293</v>
      </c>
      <c r="G2381">
        <f t="shared" si="246"/>
        <v>438.26673478454023</v>
      </c>
      <c r="H2381">
        <v>956.31770833333326</v>
      </c>
      <c r="I2381" t="s">
        <v>38</v>
      </c>
      <c r="J2381">
        <f t="shared" si="244"/>
        <v>21.082841894473837</v>
      </c>
      <c r="K2381">
        <v>4784.7627198809241</v>
      </c>
    </row>
    <row r="2382" spans="1:11" x14ac:dyDescent="0.35">
      <c r="A2382" s="1">
        <v>42491</v>
      </c>
      <c r="B2382" t="s">
        <v>11</v>
      </c>
      <c r="C2382" t="s">
        <v>38</v>
      </c>
      <c r="D2382">
        <v>31024.999999999993</v>
      </c>
      <c r="E2382">
        <v>291222</v>
      </c>
      <c r="F2382">
        <f t="shared" si="245"/>
        <v>9.3866881547139425</v>
      </c>
      <c r="G2382">
        <f t="shared" si="246"/>
        <v>425.78017469782441</v>
      </c>
      <c r="H2382">
        <v>935.96701388888891</v>
      </c>
      <c r="I2382" t="s">
        <v>38</v>
      </c>
      <c r="J2382">
        <f t="shared" si="244"/>
        <v>20.63419342788556</v>
      </c>
      <c r="K2382">
        <v>4784.7627198809241</v>
      </c>
    </row>
    <row r="2383" spans="1:11" x14ac:dyDescent="0.35">
      <c r="A2383" s="1">
        <v>42522</v>
      </c>
      <c r="B2383" t="s">
        <v>11</v>
      </c>
      <c r="C2383" t="s">
        <v>38</v>
      </c>
      <c r="D2383">
        <v>26877.000000000004</v>
      </c>
      <c r="E2383">
        <v>254791.99999999997</v>
      </c>
      <c r="F2383">
        <f t="shared" si="245"/>
        <v>9.4799270751944018</v>
      </c>
      <c r="G2383">
        <f t="shared" si="246"/>
        <v>430.00949213081805</v>
      </c>
      <c r="H2383">
        <v>947.71874999999989</v>
      </c>
      <c r="I2383" t="s">
        <v>38</v>
      </c>
      <c r="J2383">
        <f t="shared" ref="J2383:J2401" si="247">H2383/45.36</f>
        <v>20.8932705026455</v>
      </c>
      <c r="K2383">
        <v>4784.7627198809241</v>
      </c>
    </row>
    <row r="2384" spans="1:11" x14ac:dyDescent="0.35">
      <c r="A2384" s="1">
        <v>42552</v>
      </c>
      <c r="B2384" t="s">
        <v>11</v>
      </c>
      <c r="C2384" t="s">
        <v>38</v>
      </c>
      <c r="D2384">
        <v>24578</v>
      </c>
      <c r="E2384">
        <v>245651</v>
      </c>
      <c r="F2384">
        <f t="shared" si="245"/>
        <v>9.9947514036943605</v>
      </c>
      <c r="G2384">
        <f t="shared" si="246"/>
        <v>453.36192367157616</v>
      </c>
      <c r="H2384">
        <v>858.65277777777771</v>
      </c>
      <c r="I2384" t="s">
        <v>38</v>
      </c>
      <c r="J2384">
        <f t="shared" si="247"/>
        <v>18.929734959827552</v>
      </c>
      <c r="K2384">
        <v>4784.7627198809241</v>
      </c>
    </row>
    <row r="2385" spans="1:11" x14ac:dyDescent="0.35">
      <c r="A2385" s="1">
        <v>42583</v>
      </c>
      <c r="B2385" t="s">
        <v>11</v>
      </c>
      <c r="C2385" t="s">
        <v>38</v>
      </c>
      <c r="D2385">
        <v>26540.999999999996</v>
      </c>
      <c r="E2385">
        <v>278047</v>
      </c>
      <c r="F2385">
        <f t="shared" si="245"/>
        <v>10.476131268603295</v>
      </c>
      <c r="G2385">
        <f t="shared" si="246"/>
        <v>475.19731434384545</v>
      </c>
      <c r="H2385">
        <v>772.70203124999989</v>
      </c>
      <c r="I2385" t="s">
        <v>38</v>
      </c>
      <c r="J2385">
        <f t="shared" si="247"/>
        <v>17.034877232142854</v>
      </c>
      <c r="K2385">
        <v>4784.7627198809241</v>
      </c>
    </row>
    <row r="2386" spans="1:11" x14ac:dyDescent="0.35">
      <c r="A2386" s="1">
        <v>42614</v>
      </c>
      <c r="B2386" t="s">
        <v>11</v>
      </c>
      <c r="C2386" t="s">
        <v>38</v>
      </c>
      <c r="D2386">
        <v>29986.999999999996</v>
      </c>
      <c r="E2386">
        <v>329503</v>
      </c>
      <c r="F2386">
        <f t="shared" si="245"/>
        <v>10.98819488444993</v>
      </c>
      <c r="G2386">
        <f t="shared" si="246"/>
        <v>498.42451995864883</v>
      </c>
      <c r="H2386">
        <v>528.62417708333328</v>
      </c>
      <c r="I2386" t="s">
        <v>38</v>
      </c>
      <c r="J2386">
        <f t="shared" si="247"/>
        <v>11.65397215792181</v>
      </c>
      <c r="K2386">
        <v>4784.7627198809241</v>
      </c>
    </row>
    <row r="2387" spans="1:11" x14ac:dyDescent="0.35">
      <c r="A2387" s="1">
        <v>42644</v>
      </c>
      <c r="B2387" t="s">
        <v>11</v>
      </c>
      <c r="C2387" t="s">
        <v>38</v>
      </c>
      <c r="D2387">
        <v>32214.999999999996</v>
      </c>
      <c r="E2387">
        <v>298375</v>
      </c>
      <c r="F2387">
        <f t="shared" si="245"/>
        <v>9.2619897563246951</v>
      </c>
      <c r="G2387">
        <f t="shared" si="246"/>
        <v>420.12385534688815</v>
      </c>
      <c r="H2387">
        <v>451.416</v>
      </c>
      <c r="I2387" t="s">
        <v>38</v>
      </c>
      <c r="J2387">
        <f t="shared" si="247"/>
        <v>9.9518518518518526</v>
      </c>
      <c r="K2387">
        <v>4784.7627198809241</v>
      </c>
    </row>
    <row r="2388" spans="1:11" x14ac:dyDescent="0.35">
      <c r="A2388" s="1">
        <v>42675</v>
      </c>
      <c r="B2388" t="s">
        <v>11</v>
      </c>
      <c r="C2388" t="s">
        <v>38</v>
      </c>
      <c r="D2388">
        <v>45920</v>
      </c>
      <c r="E2388">
        <v>415241</v>
      </c>
      <c r="F2388">
        <f t="shared" si="245"/>
        <v>9.0427047038327526</v>
      </c>
      <c r="G2388">
        <f t="shared" si="246"/>
        <v>410.17708536585366</v>
      </c>
      <c r="H2388">
        <v>391.61796527777778</v>
      </c>
      <c r="I2388" t="s">
        <v>38</v>
      </c>
      <c r="J2388">
        <f t="shared" si="247"/>
        <v>8.6335530264060356</v>
      </c>
      <c r="K2388">
        <v>4784.7627198809241</v>
      </c>
    </row>
    <row r="2389" spans="1:11" x14ac:dyDescent="0.35">
      <c r="A2389" s="1">
        <v>42705</v>
      </c>
      <c r="B2389" t="s">
        <v>11</v>
      </c>
      <c r="C2389" t="s">
        <v>38</v>
      </c>
      <c r="D2389">
        <v>28412</v>
      </c>
      <c r="E2389">
        <v>333213.99999999994</v>
      </c>
      <c r="F2389">
        <f t="shared" si="245"/>
        <v>11.727931859777557</v>
      </c>
      <c r="G2389">
        <f t="shared" si="246"/>
        <v>531.97898915950998</v>
      </c>
      <c r="H2389">
        <v>447.42031250000002</v>
      </c>
      <c r="I2389" t="s">
        <v>38</v>
      </c>
      <c r="J2389">
        <f t="shared" si="247"/>
        <v>9.863763503086421</v>
      </c>
      <c r="K2389">
        <v>4784.7627198809241</v>
      </c>
    </row>
    <row r="2390" spans="1:11" x14ac:dyDescent="0.35">
      <c r="A2390" s="1">
        <v>42370</v>
      </c>
      <c r="B2390" t="s">
        <v>12</v>
      </c>
      <c r="C2390" t="s">
        <v>38</v>
      </c>
      <c r="D2390">
        <v>12807</v>
      </c>
      <c r="E2390">
        <v>79322</v>
      </c>
      <c r="F2390">
        <f t="shared" si="245"/>
        <v>6.19364410088233</v>
      </c>
      <c r="G2390">
        <f t="shared" si="246"/>
        <v>280.94369641602248</v>
      </c>
      <c r="H2390">
        <v>819.64285714285711</v>
      </c>
      <c r="I2390" t="s">
        <v>38</v>
      </c>
      <c r="J2390">
        <f t="shared" si="247"/>
        <v>18.069727891156461</v>
      </c>
      <c r="K2390">
        <v>1888.4301162085219</v>
      </c>
    </row>
    <row r="2391" spans="1:11" x14ac:dyDescent="0.35">
      <c r="A2391" s="1">
        <v>42401</v>
      </c>
      <c r="B2391" t="s">
        <v>12</v>
      </c>
      <c r="C2391" t="s">
        <v>38</v>
      </c>
      <c r="D2391">
        <v>8987</v>
      </c>
      <c r="E2391">
        <v>54899</v>
      </c>
      <c r="F2391">
        <f t="shared" si="245"/>
        <v>6.1087125848447759</v>
      </c>
      <c r="G2391">
        <f t="shared" si="246"/>
        <v>277.09120284855902</v>
      </c>
      <c r="H2391">
        <v>678.3365624999999</v>
      </c>
      <c r="I2391" t="s">
        <v>38</v>
      </c>
      <c r="J2391">
        <f t="shared" si="247"/>
        <v>14.954509755291003</v>
      </c>
      <c r="K2391">
        <v>1888.4301162085219</v>
      </c>
    </row>
    <row r="2392" spans="1:11" x14ac:dyDescent="0.35">
      <c r="A2392" s="1">
        <v>42430</v>
      </c>
      <c r="B2392" t="s">
        <v>12</v>
      </c>
      <c r="C2392" t="s">
        <v>38</v>
      </c>
      <c r="D2392">
        <v>14595</v>
      </c>
      <c r="E2392">
        <v>81271</v>
      </c>
      <c r="F2392">
        <f t="shared" si="245"/>
        <v>5.5684138403562864</v>
      </c>
      <c r="G2392">
        <f t="shared" si="246"/>
        <v>252.58325179856115</v>
      </c>
      <c r="H2392">
        <v>698.65791666666655</v>
      </c>
      <c r="I2392" t="s">
        <v>38</v>
      </c>
      <c r="J2392">
        <f t="shared" si="247"/>
        <v>15.40251139035861</v>
      </c>
      <c r="K2392">
        <v>1888.4301162085219</v>
      </c>
    </row>
    <row r="2393" spans="1:11" x14ac:dyDescent="0.35">
      <c r="A2393" s="1">
        <v>42461</v>
      </c>
      <c r="B2393" t="s">
        <v>12</v>
      </c>
      <c r="C2393" t="s">
        <v>38</v>
      </c>
      <c r="D2393">
        <v>7541.0000000000009</v>
      </c>
      <c r="E2393">
        <v>52413.999999999993</v>
      </c>
      <c r="F2393">
        <f t="shared" si="245"/>
        <v>6.9505370640498594</v>
      </c>
      <c r="G2393">
        <f t="shared" si="246"/>
        <v>315.27636122530163</v>
      </c>
      <c r="H2393">
        <v>739.8671875</v>
      </c>
      <c r="I2393" t="s">
        <v>38</v>
      </c>
      <c r="J2393">
        <f t="shared" si="247"/>
        <v>16.311005015432098</v>
      </c>
      <c r="K2393">
        <v>1888.4301162085219</v>
      </c>
    </row>
    <row r="2394" spans="1:11" x14ac:dyDescent="0.35">
      <c r="A2394" s="1">
        <v>42491</v>
      </c>
      <c r="B2394" t="s">
        <v>12</v>
      </c>
      <c r="C2394" t="s">
        <v>38</v>
      </c>
      <c r="D2394">
        <v>6988.9999999999991</v>
      </c>
      <c r="E2394">
        <v>46988.000000000007</v>
      </c>
      <c r="F2394">
        <f t="shared" si="245"/>
        <v>6.7231363571326392</v>
      </c>
      <c r="G2394">
        <f t="shared" si="246"/>
        <v>304.96146515953649</v>
      </c>
      <c r="H2394">
        <v>824.05952380952385</v>
      </c>
      <c r="I2394" t="s">
        <v>38</v>
      </c>
      <c r="J2394">
        <f t="shared" si="247"/>
        <v>18.16709708574788</v>
      </c>
      <c r="K2394">
        <v>1888.4301162085219</v>
      </c>
    </row>
    <row r="2395" spans="1:11" x14ac:dyDescent="0.35">
      <c r="A2395" s="1">
        <v>42522</v>
      </c>
      <c r="B2395" t="s">
        <v>12</v>
      </c>
      <c r="C2395" t="s">
        <v>38</v>
      </c>
      <c r="D2395">
        <v>11567.999999999998</v>
      </c>
      <c r="E2395">
        <v>70124</v>
      </c>
      <c r="F2395">
        <f t="shared" si="245"/>
        <v>6.0618948824343022</v>
      </c>
      <c r="G2395">
        <f t="shared" si="246"/>
        <v>274.96755186721992</v>
      </c>
      <c r="H2395">
        <v>882.84226190476181</v>
      </c>
      <c r="I2395" t="s">
        <v>38</v>
      </c>
      <c r="J2395">
        <f t="shared" si="247"/>
        <v>19.463012828588223</v>
      </c>
      <c r="K2395">
        <v>1888.4301162085219</v>
      </c>
    </row>
    <row r="2396" spans="1:11" x14ac:dyDescent="0.35">
      <c r="A2396" s="1">
        <v>42552</v>
      </c>
      <c r="B2396" t="s">
        <v>12</v>
      </c>
      <c r="C2396" t="s">
        <v>38</v>
      </c>
      <c r="D2396">
        <v>9021</v>
      </c>
      <c r="E2396">
        <v>47530</v>
      </c>
      <c r="F2396">
        <f t="shared" si="245"/>
        <v>5.268817204301075</v>
      </c>
      <c r="G2396">
        <f t="shared" si="246"/>
        <v>238.99354838709675</v>
      </c>
      <c r="H2396">
        <v>801.6736111111112</v>
      </c>
      <c r="I2396" t="s">
        <v>38</v>
      </c>
      <c r="J2396">
        <f t="shared" si="247"/>
        <v>17.673580491867533</v>
      </c>
      <c r="K2396">
        <v>1888.4301162085219</v>
      </c>
    </row>
    <row r="2397" spans="1:11" x14ac:dyDescent="0.35">
      <c r="A2397" s="1">
        <v>42583</v>
      </c>
      <c r="B2397" t="s">
        <v>12</v>
      </c>
      <c r="C2397" t="s">
        <v>38</v>
      </c>
      <c r="D2397">
        <v>8875</v>
      </c>
      <c r="E2397">
        <v>72862</v>
      </c>
      <c r="F2397">
        <f t="shared" si="245"/>
        <v>8.2098028169014086</v>
      </c>
      <c r="G2397">
        <f t="shared" si="246"/>
        <v>372.39665577464791</v>
      </c>
      <c r="H2397">
        <v>724.7734375</v>
      </c>
      <c r="I2397" t="s">
        <v>38</v>
      </c>
      <c r="J2397">
        <f t="shared" si="247"/>
        <v>15.97825038580247</v>
      </c>
      <c r="K2397">
        <v>1888.4301162085219</v>
      </c>
    </row>
    <row r="2398" spans="1:11" x14ac:dyDescent="0.35">
      <c r="A2398" s="1">
        <v>42614</v>
      </c>
      <c r="B2398" t="s">
        <v>12</v>
      </c>
      <c r="C2398" t="s">
        <v>38</v>
      </c>
      <c r="D2398">
        <v>10015</v>
      </c>
      <c r="E2398">
        <v>60124</v>
      </c>
      <c r="F2398">
        <f t="shared" si="245"/>
        <v>6.0033949076385422</v>
      </c>
      <c r="G2398">
        <f t="shared" si="246"/>
        <v>272.3139930104843</v>
      </c>
      <c r="H2398">
        <v>757.05902777777783</v>
      </c>
      <c r="I2398" t="s">
        <v>38</v>
      </c>
      <c r="J2398">
        <f t="shared" si="247"/>
        <v>16.6900138398981</v>
      </c>
      <c r="K2398">
        <v>1888.4301162085219</v>
      </c>
    </row>
    <row r="2399" spans="1:11" x14ac:dyDescent="0.35">
      <c r="A2399" s="1">
        <v>42644</v>
      </c>
      <c r="B2399" t="s">
        <v>12</v>
      </c>
      <c r="C2399" t="s">
        <v>38</v>
      </c>
      <c r="D2399">
        <v>9814</v>
      </c>
      <c r="E2399">
        <v>59995</v>
      </c>
      <c r="F2399">
        <f t="shared" si="245"/>
        <v>6.1132056246178932</v>
      </c>
      <c r="G2399">
        <f t="shared" si="246"/>
        <v>277.29500713266765</v>
      </c>
      <c r="H2399">
        <v>834.80729166666663</v>
      </c>
      <c r="I2399" t="s">
        <v>38</v>
      </c>
      <c r="J2399">
        <f t="shared" si="247"/>
        <v>18.404040821575542</v>
      </c>
      <c r="K2399">
        <v>1888.4301162085219</v>
      </c>
    </row>
    <row r="2400" spans="1:11" x14ac:dyDescent="0.35">
      <c r="A2400" s="1">
        <v>42675</v>
      </c>
      <c r="B2400" t="s">
        <v>12</v>
      </c>
      <c r="C2400" t="s">
        <v>38</v>
      </c>
      <c r="D2400">
        <v>11204</v>
      </c>
      <c r="E2400">
        <v>72411</v>
      </c>
      <c r="F2400">
        <f t="shared" si="245"/>
        <v>6.4629596572652623</v>
      </c>
      <c r="G2400">
        <f t="shared" si="246"/>
        <v>293.1598500535523</v>
      </c>
      <c r="H2400">
        <v>967.76996527777783</v>
      </c>
      <c r="I2400" t="s">
        <v>38</v>
      </c>
      <c r="J2400">
        <f t="shared" si="247"/>
        <v>21.335316694836372</v>
      </c>
      <c r="K2400">
        <v>1888.4301162085219</v>
      </c>
    </row>
    <row r="2401" spans="1:11" x14ac:dyDescent="0.35">
      <c r="A2401" s="1">
        <v>42705</v>
      </c>
      <c r="B2401" t="s">
        <v>12</v>
      </c>
      <c r="C2401" t="s">
        <v>38</v>
      </c>
      <c r="D2401">
        <v>13012</v>
      </c>
      <c r="E2401">
        <v>91024</v>
      </c>
      <c r="F2401">
        <f>E2401/D2401</f>
        <v>6.9953888718106363</v>
      </c>
      <c r="G2401">
        <f t="shared" si="246"/>
        <v>317.31083922533048</v>
      </c>
      <c r="H2401">
        <v>1008</v>
      </c>
      <c r="I2401" t="s">
        <v>38</v>
      </c>
      <c r="J2401">
        <f>H2401/45.36</f>
        <v>22.222222222222221</v>
      </c>
      <c r="K2401">
        <v>1888.4301162085219</v>
      </c>
    </row>
    <row r="2402" spans="1:11" x14ac:dyDescent="0.35">
      <c r="A2402" s="1">
        <v>42370</v>
      </c>
      <c r="B2402" t="s">
        <v>13</v>
      </c>
      <c r="C2402" t="s">
        <v>38</v>
      </c>
      <c r="D2402">
        <v>7331</v>
      </c>
      <c r="E2402">
        <v>62594</v>
      </c>
      <c r="F2402">
        <f t="shared" ref="F2402:F2465" si="248">E2402/D2402</f>
        <v>8.5382621743281959</v>
      </c>
      <c r="G2402">
        <f t="shared" si="246"/>
        <v>387.29557222752697</v>
      </c>
      <c r="H2402">
        <v>594.59879047619063</v>
      </c>
      <c r="I2402" t="s">
        <v>38</v>
      </c>
      <c r="J2402">
        <f>H2402/(100*0.4535)</f>
        <v>13.111329448207069</v>
      </c>
      <c r="K2402">
        <v>8287.2882751579964</v>
      </c>
    </row>
    <row r="2403" spans="1:11" x14ac:dyDescent="0.35">
      <c r="A2403" s="1">
        <v>42401</v>
      </c>
      <c r="B2403" t="s">
        <v>13</v>
      </c>
      <c r="C2403" t="s">
        <v>38</v>
      </c>
      <c r="D2403">
        <v>5300.0000000000009</v>
      </c>
      <c r="E2403">
        <v>46566</v>
      </c>
      <c r="F2403">
        <f t="shared" si="248"/>
        <v>8.7860377358490549</v>
      </c>
      <c r="G2403">
        <f t="shared" si="246"/>
        <v>398.53467169811313</v>
      </c>
      <c r="H2403">
        <v>485.17885714285717</v>
      </c>
      <c r="I2403" t="s">
        <v>38</v>
      </c>
      <c r="J2403">
        <f t="shared" ref="J2403:J2413" si="249">H2403/(100*0.4535)</f>
        <v>10.698541502598834</v>
      </c>
      <c r="K2403">
        <v>8287.2882751579964</v>
      </c>
    </row>
    <row r="2404" spans="1:11" x14ac:dyDescent="0.35">
      <c r="A2404" s="1">
        <v>42430</v>
      </c>
      <c r="B2404" t="s">
        <v>13</v>
      </c>
      <c r="C2404" t="s">
        <v>38</v>
      </c>
      <c r="D2404">
        <v>6014</v>
      </c>
      <c r="E2404">
        <v>58010</v>
      </c>
      <c r="F2404">
        <f t="shared" si="248"/>
        <v>9.6458264050548728</v>
      </c>
      <c r="G2404">
        <f t="shared" si="246"/>
        <v>437.534685733289</v>
      </c>
      <c r="H2404">
        <v>547.63840000000005</v>
      </c>
      <c r="I2404" t="s">
        <v>38</v>
      </c>
      <c r="J2404">
        <f t="shared" si="249"/>
        <v>12.075819184123485</v>
      </c>
      <c r="K2404">
        <v>8287.2882751579964</v>
      </c>
    </row>
    <row r="2405" spans="1:11" x14ac:dyDescent="0.35">
      <c r="A2405" s="1">
        <v>42461</v>
      </c>
      <c r="B2405" t="s">
        <v>13</v>
      </c>
      <c r="C2405" t="s">
        <v>38</v>
      </c>
      <c r="D2405">
        <v>4998</v>
      </c>
      <c r="E2405">
        <v>48998</v>
      </c>
      <c r="F2405">
        <f t="shared" si="248"/>
        <v>9.8035214085634248</v>
      </c>
      <c r="G2405">
        <f t="shared" si="246"/>
        <v>444.68773109243693</v>
      </c>
      <c r="H2405">
        <v>563.51996666666662</v>
      </c>
      <c r="I2405" t="s">
        <v>38</v>
      </c>
      <c r="J2405">
        <f t="shared" si="249"/>
        <v>12.426019110621093</v>
      </c>
      <c r="K2405">
        <v>8287.2882751579964</v>
      </c>
    </row>
    <row r="2406" spans="1:11" x14ac:dyDescent="0.35">
      <c r="A2406" s="1">
        <v>42491</v>
      </c>
      <c r="B2406" t="s">
        <v>13</v>
      </c>
      <c r="C2406" t="s">
        <v>38</v>
      </c>
      <c r="D2406">
        <v>3987</v>
      </c>
      <c r="E2406">
        <v>45209</v>
      </c>
      <c r="F2406">
        <f t="shared" si="248"/>
        <v>11.33910208176574</v>
      </c>
      <c r="G2406">
        <f t="shared" si="246"/>
        <v>514.34167042889396</v>
      </c>
      <c r="H2406">
        <v>623.53214285714284</v>
      </c>
      <c r="I2406" t="s">
        <v>38</v>
      </c>
      <c r="J2406">
        <f t="shared" si="249"/>
        <v>13.749330603244605</v>
      </c>
      <c r="K2406">
        <v>8287.2882751579964</v>
      </c>
    </row>
    <row r="2407" spans="1:11" x14ac:dyDescent="0.35">
      <c r="A2407" s="1">
        <v>42522</v>
      </c>
      <c r="B2407" t="s">
        <v>13</v>
      </c>
      <c r="C2407" t="s">
        <v>38</v>
      </c>
      <c r="D2407">
        <v>7952.0000000000009</v>
      </c>
      <c r="E2407">
        <v>53760</v>
      </c>
      <c r="F2407">
        <f t="shared" si="248"/>
        <v>6.7605633802816891</v>
      </c>
      <c r="G2407">
        <f t="shared" si="246"/>
        <v>306.65915492957743</v>
      </c>
      <c r="H2407">
        <v>592.45000000000005</v>
      </c>
      <c r="I2407" t="s">
        <v>38</v>
      </c>
      <c r="J2407">
        <f t="shared" si="249"/>
        <v>13.063947078280044</v>
      </c>
      <c r="K2407">
        <v>8287.2882751579964</v>
      </c>
    </row>
    <row r="2408" spans="1:11" x14ac:dyDescent="0.35">
      <c r="A2408" s="1">
        <v>42552</v>
      </c>
      <c r="B2408" t="s">
        <v>13</v>
      </c>
      <c r="C2408" t="s">
        <v>38</v>
      </c>
      <c r="D2408">
        <v>4102</v>
      </c>
      <c r="E2408">
        <v>39874</v>
      </c>
      <c r="F2408">
        <f t="shared" si="248"/>
        <v>9.7206240858117994</v>
      </c>
      <c r="G2408">
        <f t="shared" si="246"/>
        <v>440.92750853242319</v>
      </c>
      <c r="H2408">
        <v>577.8988095238094</v>
      </c>
      <c r="I2408" t="s">
        <v>38</v>
      </c>
      <c r="J2408">
        <f t="shared" si="249"/>
        <v>12.743082900194253</v>
      </c>
      <c r="K2408">
        <v>8287.2882751579964</v>
      </c>
    </row>
    <row r="2409" spans="1:11" x14ac:dyDescent="0.35">
      <c r="A2409" s="1">
        <v>42583</v>
      </c>
      <c r="B2409" t="s">
        <v>13</v>
      </c>
      <c r="C2409" t="s">
        <v>38</v>
      </c>
      <c r="D2409">
        <v>4421</v>
      </c>
      <c r="E2409">
        <v>43520</v>
      </c>
      <c r="F2409">
        <f t="shared" si="248"/>
        <v>9.8439267134132553</v>
      </c>
      <c r="G2409">
        <f t="shared" si="246"/>
        <v>446.52051572042524</v>
      </c>
      <c r="H2409">
        <v>636.53261904761905</v>
      </c>
      <c r="I2409" t="s">
        <v>38</v>
      </c>
      <c r="J2409">
        <f t="shared" si="249"/>
        <v>14.03600042001365</v>
      </c>
      <c r="K2409">
        <v>8287.2882751579964</v>
      </c>
    </row>
    <row r="2410" spans="1:11" x14ac:dyDescent="0.35">
      <c r="A2410" s="1">
        <v>42614</v>
      </c>
      <c r="B2410" t="s">
        <v>13</v>
      </c>
      <c r="C2410" t="s">
        <v>38</v>
      </c>
      <c r="D2410">
        <v>3850</v>
      </c>
      <c r="E2410">
        <v>35204</v>
      </c>
      <c r="F2410">
        <f t="shared" si="248"/>
        <v>9.143896103896104</v>
      </c>
      <c r="G2410">
        <f t="shared" si="246"/>
        <v>414.76712727272729</v>
      </c>
      <c r="H2410">
        <v>665.96488095238101</v>
      </c>
      <c r="I2410" t="s">
        <v>38</v>
      </c>
      <c r="J2410">
        <f t="shared" si="249"/>
        <v>14.685002887593848</v>
      </c>
      <c r="K2410">
        <v>8287.2882751579964</v>
      </c>
    </row>
    <row r="2411" spans="1:11" x14ac:dyDescent="0.35">
      <c r="A2411" s="1">
        <v>42644</v>
      </c>
      <c r="B2411" t="s">
        <v>13</v>
      </c>
      <c r="C2411" t="s">
        <v>38</v>
      </c>
      <c r="D2411">
        <v>3032</v>
      </c>
      <c r="E2411">
        <v>30586</v>
      </c>
      <c r="F2411">
        <f t="shared" si="248"/>
        <v>10.0877308707124</v>
      </c>
      <c r="G2411">
        <f t="shared" si="246"/>
        <v>457.57947229551451</v>
      </c>
      <c r="H2411">
        <v>734.92619047619041</v>
      </c>
      <c r="I2411" t="s">
        <v>38</v>
      </c>
      <c r="J2411">
        <f t="shared" si="249"/>
        <v>16.205649183598464</v>
      </c>
      <c r="K2411">
        <v>8287.2882751579964</v>
      </c>
    </row>
    <row r="2412" spans="1:11" x14ac:dyDescent="0.35">
      <c r="A2412" s="1">
        <v>42675</v>
      </c>
      <c r="B2412" t="s">
        <v>13</v>
      </c>
      <c r="C2412" t="s">
        <v>38</v>
      </c>
      <c r="D2412">
        <v>4598.0000000000009</v>
      </c>
      <c r="E2412">
        <v>25874</v>
      </c>
      <c r="F2412">
        <f t="shared" si="248"/>
        <v>5.6272292301000419</v>
      </c>
      <c r="G2412">
        <f t="shared" si="246"/>
        <v>255.25111787733789</v>
      </c>
      <c r="H2412">
        <v>1000.3928571428571</v>
      </c>
      <c r="I2412" t="s">
        <v>38</v>
      </c>
      <c r="J2412">
        <f t="shared" si="249"/>
        <v>22.05937942983147</v>
      </c>
      <c r="K2412">
        <v>8287.2882751579964</v>
      </c>
    </row>
    <row r="2413" spans="1:11" x14ac:dyDescent="0.35">
      <c r="A2413" s="1">
        <v>42705</v>
      </c>
      <c r="B2413" t="s">
        <v>13</v>
      </c>
      <c r="C2413" t="s">
        <v>38</v>
      </c>
      <c r="D2413">
        <v>7021</v>
      </c>
      <c r="E2413">
        <v>43560.999999999993</v>
      </c>
      <c r="F2413">
        <f t="shared" si="248"/>
        <v>6.204386839481554</v>
      </c>
      <c r="G2413">
        <f t="shared" si="246"/>
        <v>281.4309870388833</v>
      </c>
      <c r="H2413">
        <v>962.03174603174591</v>
      </c>
      <c r="I2413" t="s">
        <v>38</v>
      </c>
      <c r="J2413">
        <f t="shared" si="249"/>
        <v>21.213489438406747</v>
      </c>
      <c r="K2413">
        <v>8287.2882751579964</v>
      </c>
    </row>
    <row r="2414" spans="1:11" x14ac:dyDescent="0.35">
      <c r="A2414" s="1">
        <v>42370</v>
      </c>
      <c r="B2414" t="s">
        <v>14</v>
      </c>
      <c r="C2414" t="s">
        <v>38</v>
      </c>
      <c r="D2414">
        <v>67844.000000000015</v>
      </c>
      <c r="E2414">
        <v>1182491.9999999998</v>
      </c>
      <c r="F2414">
        <f t="shared" si="248"/>
        <v>17.429573727964147</v>
      </c>
      <c r="G2414">
        <f t="shared" si="246"/>
        <v>790.60546430045372</v>
      </c>
      <c r="H2414">
        <v>8433.0892857142862</v>
      </c>
      <c r="I2414" t="s">
        <v>40</v>
      </c>
      <c r="J2414">
        <f>(H2414/1000)/0.56234</f>
        <v>14.996424379760088</v>
      </c>
      <c r="K2414">
        <v>7046.249910796776</v>
      </c>
    </row>
    <row r="2415" spans="1:11" x14ac:dyDescent="0.35">
      <c r="A2415" s="1">
        <v>42401</v>
      </c>
      <c r="B2415" t="s">
        <v>14</v>
      </c>
      <c r="C2415" t="s">
        <v>38</v>
      </c>
      <c r="D2415">
        <v>95474</v>
      </c>
      <c r="E2415">
        <v>1964927.9999999995</v>
      </c>
      <c r="F2415">
        <f t="shared" si="248"/>
        <v>20.580765443995219</v>
      </c>
      <c r="G2415">
        <f t="shared" si="246"/>
        <v>933.54352053962316</v>
      </c>
      <c r="H2415">
        <v>9325.75</v>
      </c>
      <c r="I2415" t="s">
        <v>40</v>
      </c>
      <c r="J2415">
        <f t="shared" ref="J2415:J2426" si="250">(H2415/1000)/0.56234</f>
        <v>16.583828288935521</v>
      </c>
      <c r="K2415">
        <v>7046.249910796776</v>
      </c>
    </row>
    <row r="2416" spans="1:11" x14ac:dyDescent="0.35">
      <c r="A2416" s="1">
        <v>42430</v>
      </c>
      <c r="B2416" t="s">
        <v>14</v>
      </c>
      <c r="C2416" t="s">
        <v>38</v>
      </c>
      <c r="D2416">
        <v>68547</v>
      </c>
      <c r="E2416">
        <v>947448</v>
      </c>
      <c r="F2416">
        <f t="shared" si="248"/>
        <v>13.821874042627686</v>
      </c>
      <c r="G2416">
        <f t="shared" si="246"/>
        <v>626.96020657359179</v>
      </c>
      <c r="H2416">
        <v>9802.1944444444453</v>
      </c>
      <c r="I2416" t="s">
        <v>40</v>
      </c>
      <c r="J2416">
        <f t="shared" si="250"/>
        <v>17.431081631120758</v>
      </c>
      <c r="K2416">
        <v>7046.249910796776</v>
      </c>
    </row>
    <row r="2417" spans="1:11" x14ac:dyDescent="0.35">
      <c r="A2417" s="1">
        <v>42461</v>
      </c>
      <c r="B2417" t="s">
        <v>14</v>
      </c>
      <c r="C2417" t="s">
        <v>38</v>
      </c>
      <c r="D2417">
        <v>15698</v>
      </c>
      <c r="E2417">
        <v>218568</v>
      </c>
      <c r="F2417">
        <f t="shared" si="248"/>
        <v>13.923302331507198</v>
      </c>
      <c r="G2417">
        <f t="shared" si="246"/>
        <v>631.56099375716656</v>
      </c>
      <c r="H2417">
        <v>6409.2875000000004</v>
      </c>
      <c r="I2417" t="s">
        <v>40</v>
      </c>
      <c r="J2417">
        <f t="shared" si="250"/>
        <v>11.397530853220474</v>
      </c>
      <c r="K2417">
        <v>7046.249910796776</v>
      </c>
    </row>
    <row r="2418" spans="1:11" x14ac:dyDescent="0.35">
      <c r="A2418" s="1">
        <v>42491</v>
      </c>
      <c r="B2418" t="s">
        <v>14</v>
      </c>
      <c r="C2418" t="s">
        <v>38</v>
      </c>
      <c r="D2418">
        <v>12225</v>
      </c>
      <c r="E2418">
        <v>346860</v>
      </c>
      <c r="F2418">
        <f t="shared" si="248"/>
        <v>28.373006134969327</v>
      </c>
      <c r="G2418">
        <f t="shared" si="246"/>
        <v>1286.9995582822087</v>
      </c>
      <c r="H2418">
        <v>5812.5</v>
      </c>
      <c r="I2418" t="s">
        <v>40</v>
      </c>
      <c r="J2418">
        <f t="shared" si="250"/>
        <v>10.33627342888644</v>
      </c>
      <c r="K2418">
        <v>7046.249910796776</v>
      </c>
    </row>
    <row r="2419" spans="1:11" x14ac:dyDescent="0.35">
      <c r="A2419" s="1">
        <v>42522</v>
      </c>
      <c r="B2419" t="s">
        <v>14</v>
      </c>
      <c r="C2419" t="s">
        <v>38</v>
      </c>
      <c r="D2419">
        <v>39524</v>
      </c>
      <c r="E2419">
        <v>1006812.0000000002</v>
      </c>
      <c r="F2419">
        <f t="shared" si="248"/>
        <v>25.47343386296934</v>
      </c>
      <c r="G2419">
        <f t="shared" si="246"/>
        <v>1155.4749600242892</v>
      </c>
      <c r="H2419">
        <v>7875</v>
      </c>
      <c r="I2419" t="s">
        <v>40</v>
      </c>
      <c r="J2419">
        <f t="shared" si="250"/>
        <v>14.003983355265499</v>
      </c>
      <c r="K2419">
        <v>7046.249910796776</v>
      </c>
    </row>
    <row r="2420" spans="1:11" x14ac:dyDescent="0.35">
      <c r="A2420" s="1">
        <v>42552</v>
      </c>
      <c r="B2420" t="s">
        <v>14</v>
      </c>
      <c r="C2420" t="s">
        <v>38</v>
      </c>
      <c r="D2420">
        <v>27800.999999999996</v>
      </c>
      <c r="E2420">
        <v>972288</v>
      </c>
      <c r="F2420">
        <f t="shared" si="248"/>
        <v>34.973130462932993</v>
      </c>
      <c r="G2420">
        <f t="shared" ref="G2420:G2483" si="251">F2420*45.36</f>
        <v>1586.3811977986404</v>
      </c>
      <c r="H2420">
        <v>3738.0791203703707</v>
      </c>
      <c r="I2420" t="s">
        <v>40</v>
      </c>
      <c r="J2420">
        <f t="shared" si="250"/>
        <v>6.6473647977564658</v>
      </c>
      <c r="K2420">
        <v>7046.249910796776</v>
      </c>
    </row>
    <row r="2421" spans="1:11" x14ac:dyDescent="0.35">
      <c r="A2421" s="1">
        <v>42583</v>
      </c>
      <c r="B2421" t="s">
        <v>14</v>
      </c>
      <c r="C2421" t="s">
        <v>38</v>
      </c>
      <c r="D2421">
        <v>50139.999999999993</v>
      </c>
      <c r="E2421">
        <v>1334448.0000000002</v>
      </c>
      <c r="F2421">
        <f t="shared" si="248"/>
        <v>26.61443956920623</v>
      </c>
      <c r="G2421">
        <f t="shared" si="251"/>
        <v>1207.2309788591945</v>
      </c>
      <c r="H2421">
        <v>3426.424479166667</v>
      </c>
      <c r="I2421" t="s">
        <v>40</v>
      </c>
      <c r="J2421">
        <f t="shared" si="250"/>
        <v>6.0931544602316521</v>
      </c>
      <c r="K2421">
        <v>7046.249910796776</v>
      </c>
    </row>
    <row r="2422" spans="1:11" x14ac:dyDescent="0.35">
      <c r="A2422" s="1">
        <v>42614</v>
      </c>
      <c r="B2422" t="s">
        <v>14</v>
      </c>
      <c r="C2422" t="s">
        <v>38</v>
      </c>
      <c r="D2422">
        <v>67541</v>
      </c>
      <c r="E2422">
        <v>1511868</v>
      </c>
      <c r="F2422">
        <f t="shared" si="248"/>
        <v>22.384447964939813</v>
      </c>
      <c r="G2422">
        <f t="shared" si="251"/>
        <v>1015.35855968967</v>
      </c>
      <c r="H2422">
        <v>2135.9020833333329</v>
      </c>
      <c r="I2422" t="s">
        <v>40</v>
      </c>
      <c r="J2422">
        <f t="shared" si="250"/>
        <v>3.7982396474256377</v>
      </c>
      <c r="K2422">
        <v>7046.249910796776</v>
      </c>
    </row>
    <row r="2423" spans="1:11" x14ac:dyDescent="0.35">
      <c r="A2423" s="1">
        <v>42644</v>
      </c>
      <c r="B2423" t="s">
        <v>14</v>
      </c>
      <c r="C2423" t="s">
        <v>38</v>
      </c>
      <c r="D2423">
        <v>75243.999999999985</v>
      </c>
      <c r="E2423">
        <v>1705896</v>
      </c>
      <c r="F2423">
        <f t="shared" si="248"/>
        <v>22.671521981819154</v>
      </c>
      <c r="G2423">
        <f t="shared" si="251"/>
        <v>1028.3802370953167</v>
      </c>
      <c r="H2423">
        <v>6891.4439999999995</v>
      </c>
      <c r="I2423" t="s">
        <v>40</v>
      </c>
      <c r="J2423">
        <f t="shared" si="250"/>
        <v>12.25494185012626</v>
      </c>
      <c r="K2423">
        <v>7046.249910796776</v>
      </c>
    </row>
    <row r="2424" spans="1:11" x14ac:dyDescent="0.35">
      <c r="A2424" s="1">
        <v>42675</v>
      </c>
      <c r="B2424" t="s">
        <v>14</v>
      </c>
      <c r="C2424" t="s">
        <v>38</v>
      </c>
      <c r="D2424">
        <v>59521</v>
      </c>
      <c r="E2424">
        <v>878292</v>
      </c>
      <c r="F2424">
        <f t="shared" si="248"/>
        <v>14.756002083298332</v>
      </c>
      <c r="G2424">
        <f t="shared" si="251"/>
        <v>669.33225449841234</v>
      </c>
      <c r="H2424">
        <v>6760.0115740740748</v>
      </c>
      <c r="I2424" t="s">
        <v>40</v>
      </c>
      <c r="J2424">
        <f t="shared" si="250"/>
        <v>12.021217722506092</v>
      </c>
      <c r="K2424">
        <v>7046.249910796776</v>
      </c>
    </row>
    <row r="2425" spans="1:11" x14ac:dyDescent="0.35">
      <c r="A2425" s="1">
        <v>42705</v>
      </c>
      <c r="B2425" t="s">
        <v>14</v>
      </c>
      <c r="C2425" t="s">
        <v>38</v>
      </c>
      <c r="D2425">
        <v>58421</v>
      </c>
      <c r="E2425">
        <v>1187448</v>
      </c>
      <c r="F2425">
        <f t="shared" si="248"/>
        <v>20.32570479793225</v>
      </c>
      <c r="G2425">
        <f t="shared" si="251"/>
        <v>921.97396963420681</v>
      </c>
      <c r="H2425">
        <v>6879.2743055555566</v>
      </c>
      <c r="I2425" t="s">
        <v>40</v>
      </c>
      <c r="J2425">
        <f t="shared" si="250"/>
        <v>12.233300682070556</v>
      </c>
      <c r="K2425">
        <v>7046.249910796776</v>
      </c>
    </row>
    <row r="2426" spans="1:11" x14ac:dyDescent="0.35">
      <c r="A2426" s="1">
        <v>42370</v>
      </c>
      <c r="B2426" t="s">
        <v>15</v>
      </c>
      <c r="C2426" t="s">
        <v>38</v>
      </c>
      <c r="D2426">
        <v>415244</v>
      </c>
      <c r="E2426">
        <v>1959286.7999999998</v>
      </c>
      <c r="F2426">
        <f t="shared" si="248"/>
        <v>4.7183988209341976</v>
      </c>
      <c r="G2426">
        <f t="shared" si="251"/>
        <v>214.02657051757521</v>
      </c>
      <c r="H2426">
        <v>214.28125</v>
      </c>
      <c r="I2426" t="s">
        <v>58</v>
      </c>
      <c r="J2426">
        <f>H2426/27.21</f>
        <v>7.8750918779860344</v>
      </c>
      <c r="K2426">
        <f>12116.1587243715+19517.7815843715</f>
        <v>31633.940308743</v>
      </c>
    </row>
    <row r="2427" spans="1:11" x14ac:dyDescent="0.35">
      <c r="A2427" s="1">
        <v>42401</v>
      </c>
      <c r="B2427" t="s">
        <v>15</v>
      </c>
      <c r="C2427" t="s">
        <v>38</v>
      </c>
      <c r="D2427">
        <v>438547</v>
      </c>
      <c r="E2427">
        <v>2023859.9999999993</v>
      </c>
      <c r="F2427">
        <f t="shared" si="248"/>
        <v>4.6149215477474463</v>
      </c>
      <c r="G2427">
        <f t="shared" si="251"/>
        <v>209.33284140582415</v>
      </c>
      <c r="H2427">
        <v>208.40937500000001</v>
      </c>
      <c r="I2427" t="s">
        <v>58</v>
      </c>
      <c r="J2427">
        <f t="shared" ref="J2427:J2437" si="252">H2427/27.21</f>
        <v>7.6592934582873946</v>
      </c>
      <c r="K2427">
        <f t="shared" ref="K2427:K2437" si="253">12116.1587243715+19517.7815843715</f>
        <v>31633.940308743</v>
      </c>
    </row>
    <row r="2428" spans="1:11" x14ac:dyDescent="0.35">
      <c r="A2428" s="1">
        <v>42430</v>
      </c>
      <c r="B2428" t="s">
        <v>15</v>
      </c>
      <c r="C2428" t="s">
        <v>38</v>
      </c>
      <c r="D2428">
        <v>468959</v>
      </c>
      <c r="E2428">
        <v>2187128.4</v>
      </c>
      <c r="F2428">
        <f t="shared" si="248"/>
        <v>4.6637944894969499</v>
      </c>
      <c r="G2428">
        <f t="shared" si="251"/>
        <v>211.54971804358163</v>
      </c>
      <c r="H2428">
        <v>226.03645833333331</v>
      </c>
      <c r="I2428" t="s">
        <v>58</v>
      </c>
      <c r="J2428">
        <f t="shared" si="252"/>
        <v>8.3071098248193049</v>
      </c>
      <c r="K2428">
        <f t="shared" si="253"/>
        <v>31633.940308743</v>
      </c>
    </row>
    <row r="2429" spans="1:11" x14ac:dyDescent="0.35">
      <c r="A2429" s="1">
        <v>42461</v>
      </c>
      <c r="B2429" t="s">
        <v>15</v>
      </c>
      <c r="C2429" t="s">
        <v>38</v>
      </c>
      <c r="D2429">
        <v>452476.99999999983</v>
      </c>
      <c r="E2429">
        <v>2195387.4</v>
      </c>
      <c r="F2429">
        <f t="shared" si="248"/>
        <v>4.8519314793901147</v>
      </c>
      <c r="G2429">
        <f t="shared" si="251"/>
        <v>220.0836119051356</v>
      </c>
      <c r="H2429">
        <v>221.47916666666666</v>
      </c>
      <c r="I2429" t="s">
        <v>58</v>
      </c>
      <c r="J2429">
        <f t="shared" si="252"/>
        <v>8.1396239127771643</v>
      </c>
      <c r="K2429">
        <f t="shared" si="253"/>
        <v>31633.940308743</v>
      </c>
    </row>
    <row r="2430" spans="1:11" x14ac:dyDescent="0.35">
      <c r="A2430" s="1">
        <v>42491</v>
      </c>
      <c r="B2430" t="s">
        <v>15</v>
      </c>
      <c r="C2430" t="s">
        <v>38</v>
      </c>
      <c r="D2430">
        <v>465899</v>
      </c>
      <c r="E2430">
        <v>2141924.9999999995</v>
      </c>
      <c r="F2430">
        <f t="shared" si="248"/>
        <v>4.5974020120240642</v>
      </c>
      <c r="G2430">
        <f t="shared" si="251"/>
        <v>208.53815526541155</v>
      </c>
      <c r="H2430">
        <v>174.93229166666669</v>
      </c>
      <c r="I2430" t="s">
        <v>58</v>
      </c>
      <c r="J2430">
        <f t="shared" si="252"/>
        <v>6.4289706602964598</v>
      </c>
      <c r="K2430">
        <f t="shared" si="253"/>
        <v>31633.940308743</v>
      </c>
    </row>
    <row r="2431" spans="1:11" x14ac:dyDescent="0.35">
      <c r="A2431" s="1">
        <v>42522</v>
      </c>
      <c r="B2431" t="s">
        <v>15</v>
      </c>
      <c r="C2431" t="s">
        <v>38</v>
      </c>
      <c r="D2431">
        <v>444102.00000000006</v>
      </c>
      <c r="E2431">
        <v>2279872.8000000003</v>
      </c>
      <c r="F2431">
        <f t="shared" si="248"/>
        <v>5.1336692921896319</v>
      </c>
      <c r="G2431">
        <f t="shared" si="251"/>
        <v>232.86323909372169</v>
      </c>
      <c r="H2431">
        <v>168.11739583333332</v>
      </c>
      <c r="I2431" t="s">
        <v>58</v>
      </c>
      <c r="J2431">
        <f t="shared" si="252"/>
        <v>6.178515098615704</v>
      </c>
      <c r="K2431">
        <f t="shared" si="253"/>
        <v>31633.940308743</v>
      </c>
    </row>
    <row r="2432" spans="1:11" x14ac:dyDescent="0.35">
      <c r="A2432" s="1">
        <v>42552</v>
      </c>
      <c r="B2432" t="s">
        <v>15</v>
      </c>
      <c r="C2432" t="s">
        <v>38</v>
      </c>
      <c r="D2432">
        <v>435213.99999999994</v>
      </c>
      <c r="E2432">
        <v>2291933.3999999994</v>
      </c>
      <c r="F2432">
        <f t="shared" si="248"/>
        <v>5.2662216748542088</v>
      </c>
      <c r="G2432">
        <f t="shared" si="251"/>
        <v>238.8758151713869</v>
      </c>
      <c r="H2432">
        <v>160.01718749999998</v>
      </c>
      <c r="I2432" t="s">
        <v>58</v>
      </c>
      <c r="J2432">
        <f t="shared" si="252"/>
        <v>5.880822767364938</v>
      </c>
      <c r="K2432">
        <f t="shared" si="253"/>
        <v>31633.940308743</v>
      </c>
    </row>
    <row r="2433" spans="1:11" x14ac:dyDescent="0.35">
      <c r="A2433" s="1">
        <v>42583</v>
      </c>
      <c r="B2433" t="s">
        <v>15</v>
      </c>
      <c r="C2433" t="s">
        <v>38</v>
      </c>
      <c r="D2433">
        <v>421021.00000000006</v>
      </c>
      <c r="E2433">
        <v>2213867.3999999994</v>
      </c>
      <c r="F2433">
        <f t="shared" si="248"/>
        <v>5.2583301070492903</v>
      </c>
      <c r="G2433">
        <f t="shared" si="251"/>
        <v>238.5178536557558</v>
      </c>
      <c r="H2433">
        <v>155.31697916666667</v>
      </c>
      <c r="I2433" t="s">
        <v>58</v>
      </c>
      <c r="J2433">
        <f t="shared" si="252"/>
        <v>5.7080844971211562</v>
      </c>
      <c r="K2433">
        <f t="shared" si="253"/>
        <v>31633.940308743</v>
      </c>
    </row>
    <row r="2434" spans="1:11" x14ac:dyDescent="0.35">
      <c r="A2434" s="1">
        <v>42614</v>
      </c>
      <c r="B2434" t="s">
        <v>15</v>
      </c>
      <c r="C2434" t="s">
        <v>38</v>
      </c>
      <c r="D2434">
        <v>425987.00000000006</v>
      </c>
      <c r="E2434">
        <v>2081939.3999999997</v>
      </c>
      <c r="F2434">
        <f t="shared" si="248"/>
        <v>4.8873308340395347</v>
      </c>
      <c r="G2434">
        <f t="shared" si="251"/>
        <v>221.6893266320333</v>
      </c>
      <c r="H2434">
        <v>140.41416666666669</v>
      </c>
      <c r="I2434" t="s">
        <v>58</v>
      </c>
      <c r="J2434">
        <f t="shared" si="252"/>
        <v>5.1603883376209732</v>
      </c>
      <c r="K2434">
        <f t="shared" si="253"/>
        <v>31633.940308743</v>
      </c>
    </row>
    <row r="2435" spans="1:11" x14ac:dyDescent="0.35">
      <c r="A2435" s="1">
        <v>42644</v>
      </c>
      <c r="B2435" t="s">
        <v>15</v>
      </c>
      <c r="C2435" t="s">
        <v>38</v>
      </c>
      <c r="D2435">
        <v>425878.99999999994</v>
      </c>
      <c r="E2435">
        <v>2336106.5999999996</v>
      </c>
      <c r="F2435">
        <f t="shared" si="248"/>
        <v>5.4853763627697072</v>
      </c>
      <c r="G2435">
        <f t="shared" si="251"/>
        <v>248.81667181523392</v>
      </c>
      <c r="H2435">
        <v>135.69427083333335</v>
      </c>
      <c r="I2435" t="s">
        <v>58</v>
      </c>
      <c r="J2435">
        <f t="shared" si="252"/>
        <v>4.9869265282371682</v>
      </c>
      <c r="K2435">
        <f t="shared" si="253"/>
        <v>31633.940308743</v>
      </c>
    </row>
    <row r="2436" spans="1:11" x14ac:dyDescent="0.35">
      <c r="A2436" s="1">
        <v>42675</v>
      </c>
      <c r="B2436" t="s">
        <v>15</v>
      </c>
      <c r="C2436" t="s">
        <v>38</v>
      </c>
      <c r="D2436">
        <v>352654.00000000012</v>
      </c>
      <c r="E2436">
        <v>1452626.4</v>
      </c>
      <c r="F2436">
        <f t="shared" si="248"/>
        <v>4.1191263958440834</v>
      </c>
      <c r="G2436">
        <f t="shared" si="251"/>
        <v>186.84357331548762</v>
      </c>
      <c r="H2436">
        <v>124.20156250000001</v>
      </c>
      <c r="I2436" t="s">
        <v>58</v>
      </c>
      <c r="J2436">
        <f t="shared" si="252"/>
        <v>4.564555769937523</v>
      </c>
      <c r="K2436">
        <f t="shared" si="253"/>
        <v>31633.940308743</v>
      </c>
    </row>
    <row r="2437" spans="1:11" x14ac:dyDescent="0.35">
      <c r="A2437" s="1">
        <v>42705</v>
      </c>
      <c r="B2437" t="s">
        <v>15</v>
      </c>
      <c r="C2437" t="s">
        <v>38</v>
      </c>
      <c r="D2437">
        <v>374014</v>
      </c>
      <c r="E2437">
        <v>1972529.4</v>
      </c>
      <c r="F2437">
        <f t="shared" si="248"/>
        <v>5.2739453603341051</v>
      </c>
      <c r="G2437">
        <f t="shared" si="251"/>
        <v>239.226161544755</v>
      </c>
      <c r="H2437">
        <v>145.18906250000001</v>
      </c>
      <c r="I2437" t="s">
        <v>58</v>
      </c>
      <c r="J2437">
        <f t="shared" si="252"/>
        <v>5.3358714626975381</v>
      </c>
      <c r="K2437">
        <f t="shared" si="253"/>
        <v>31633.940308743</v>
      </c>
    </row>
    <row r="2438" spans="1:11" x14ac:dyDescent="0.35">
      <c r="A2438" s="1">
        <v>42370</v>
      </c>
      <c r="B2438" t="s">
        <v>18</v>
      </c>
      <c r="C2438" t="s">
        <v>38</v>
      </c>
      <c r="D2438">
        <v>701443.99999999988</v>
      </c>
      <c r="E2438">
        <v>1278126</v>
      </c>
      <c r="F2438">
        <f t="shared" si="248"/>
        <v>1.8221354805230356</v>
      </c>
      <c r="G2438">
        <f t="shared" si="251"/>
        <v>82.65206539652489</v>
      </c>
      <c r="H2438">
        <v>8355.09375</v>
      </c>
      <c r="I2438" t="s">
        <v>40</v>
      </c>
      <c r="J2438">
        <f>(H2438/1000)/0.40815</f>
        <v>20.470644983461963</v>
      </c>
      <c r="K2438">
        <f>8933.95548770259+11054.8659563453</f>
        <v>19988.821444047891</v>
      </c>
    </row>
    <row r="2439" spans="1:11" x14ac:dyDescent="0.35">
      <c r="A2439" s="1">
        <v>42401</v>
      </c>
      <c r="B2439" t="s">
        <v>18</v>
      </c>
      <c r="C2439" t="s">
        <v>38</v>
      </c>
      <c r="D2439">
        <v>741021</v>
      </c>
      <c r="E2439">
        <v>1339668</v>
      </c>
      <c r="F2439">
        <f t="shared" si="248"/>
        <v>1.807867793220435</v>
      </c>
      <c r="G2439">
        <f t="shared" si="251"/>
        <v>82.004883100478935</v>
      </c>
      <c r="H2439">
        <v>7422.885416666667</v>
      </c>
      <c r="I2439" t="s">
        <v>40</v>
      </c>
      <c r="J2439">
        <f t="shared" ref="J2439:J2449" si="254">(H2439/1000)/0.40815</f>
        <v>18.186660337294295</v>
      </c>
      <c r="K2439">
        <f t="shared" ref="K2439:K2449" si="255">8933.95548770259+11054.8659563453</f>
        <v>19988.821444047891</v>
      </c>
    </row>
    <row r="2440" spans="1:11" x14ac:dyDescent="0.35">
      <c r="A2440" s="1">
        <v>42430</v>
      </c>
      <c r="B2440" t="s">
        <v>18</v>
      </c>
      <c r="C2440" t="s">
        <v>38</v>
      </c>
      <c r="D2440">
        <v>725625</v>
      </c>
      <c r="E2440">
        <v>1528893.0000000002</v>
      </c>
      <c r="F2440">
        <f t="shared" si="248"/>
        <v>2.1070015503875972</v>
      </c>
      <c r="G2440">
        <f t="shared" si="251"/>
        <v>95.573590325581407</v>
      </c>
      <c r="H2440">
        <v>6985.057083333334</v>
      </c>
      <c r="I2440" t="s">
        <v>40</v>
      </c>
      <c r="J2440">
        <f t="shared" si="254"/>
        <v>17.113946057413536</v>
      </c>
      <c r="K2440">
        <f t="shared" si="255"/>
        <v>19988.821444047891</v>
      </c>
    </row>
    <row r="2441" spans="1:11" x14ac:dyDescent="0.35">
      <c r="A2441" s="1">
        <v>42461</v>
      </c>
      <c r="B2441" t="s">
        <v>18</v>
      </c>
      <c r="C2441" t="s">
        <v>38</v>
      </c>
      <c r="D2441">
        <v>752144</v>
      </c>
      <c r="E2441">
        <v>2989322.9999999995</v>
      </c>
      <c r="F2441">
        <f t="shared" si="248"/>
        <v>3.9744025080303764</v>
      </c>
      <c r="G2441">
        <f t="shared" si="251"/>
        <v>180.27889776425786</v>
      </c>
      <c r="H2441">
        <v>6252.6796875</v>
      </c>
      <c r="I2441" t="s">
        <v>40</v>
      </c>
      <c r="J2441">
        <f t="shared" si="254"/>
        <v>15.319563120176404</v>
      </c>
      <c r="K2441">
        <f t="shared" si="255"/>
        <v>19988.821444047891</v>
      </c>
    </row>
    <row r="2442" spans="1:11" x14ac:dyDescent="0.35">
      <c r="A2442" s="1">
        <v>42491</v>
      </c>
      <c r="B2442" t="s">
        <v>18</v>
      </c>
      <c r="C2442" t="s">
        <v>38</v>
      </c>
      <c r="D2442">
        <v>765899</v>
      </c>
      <c r="E2442">
        <v>2330541.0000000005</v>
      </c>
      <c r="F2442">
        <f t="shared" si="248"/>
        <v>3.042882938873142</v>
      </c>
      <c r="G2442">
        <f t="shared" si="251"/>
        <v>138.02517010728573</v>
      </c>
      <c r="H2442">
        <v>5976.5590277777774</v>
      </c>
      <c r="I2442" t="s">
        <v>40</v>
      </c>
      <c r="J2442">
        <f t="shared" si="254"/>
        <v>14.643045517034858</v>
      </c>
      <c r="K2442">
        <f t="shared" si="255"/>
        <v>19988.821444047891</v>
      </c>
    </row>
    <row r="2443" spans="1:11" x14ac:dyDescent="0.35">
      <c r="A2443" s="1">
        <v>42522</v>
      </c>
      <c r="B2443" t="s">
        <v>18</v>
      </c>
      <c r="C2443" t="s">
        <v>38</v>
      </c>
      <c r="D2443">
        <v>762989</v>
      </c>
      <c r="E2443">
        <v>1774890</v>
      </c>
      <c r="F2443">
        <f t="shared" si="248"/>
        <v>2.3262327504066245</v>
      </c>
      <c r="G2443">
        <f t="shared" si="251"/>
        <v>105.51791755844448</v>
      </c>
      <c r="H2443">
        <v>5444.5197916666666</v>
      </c>
      <c r="I2443" t="s">
        <v>40</v>
      </c>
      <c r="J2443">
        <f t="shared" si="254"/>
        <v>13.3395070235616</v>
      </c>
      <c r="K2443">
        <f t="shared" si="255"/>
        <v>19988.821444047891</v>
      </c>
    </row>
    <row r="2444" spans="1:11" x14ac:dyDescent="0.35">
      <c r="A2444" s="1">
        <v>42552</v>
      </c>
      <c r="B2444" t="s">
        <v>18</v>
      </c>
      <c r="C2444" t="s">
        <v>38</v>
      </c>
      <c r="D2444">
        <v>781039.99999999988</v>
      </c>
      <c r="E2444">
        <v>1917162</v>
      </c>
      <c r="F2444">
        <f t="shared" si="248"/>
        <v>2.454627163781625</v>
      </c>
      <c r="G2444">
        <f t="shared" si="251"/>
        <v>111.3418881491345</v>
      </c>
      <c r="H2444">
        <v>5603.317708333333</v>
      </c>
      <c r="I2444" t="s">
        <v>40</v>
      </c>
      <c r="J2444">
        <f t="shared" si="254"/>
        <v>13.728574564089998</v>
      </c>
      <c r="K2444">
        <f t="shared" si="255"/>
        <v>19988.821444047891</v>
      </c>
    </row>
    <row r="2445" spans="1:11" x14ac:dyDescent="0.35">
      <c r="A2445" s="1">
        <v>42583</v>
      </c>
      <c r="B2445" t="s">
        <v>18</v>
      </c>
      <c r="C2445" t="s">
        <v>38</v>
      </c>
      <c r="D2445">
        <v>772144.99999999988</v>
      </c>
      <c r="E2445">
        <v>2121192.0000000005</v>
      </c>
      <c r="F2445">
        <f t="shared" si="248"/>
        <v>2.747142052334731</v>
      </c>
      <c r="G2445">
        <f t="shared" si="251"/>
        <v>124.61036349390339</v>
      </c>
      <c r="H2445">
        <v>5455.2677083333338</v>
      </c>
      <c r="I2445" t="s">
        <v>40</v>
      </c>
      <c r="J2445">
        <f t="shared" si="254"/>
        <v>13.365840275225612</v>
      </c>
      <c r="K2445">
        <f t="shared" si="255"/>
        <v>19988.821444047891</v>
      </c>
    </row>
    <row r="2446" spans="1:11" x14ac:dyDescent="0.35">
      <c r="A2446" s="1">
        <v>42614</v>
      </c>
      <c r="B2446" t="s">
        <v>18</v>
      </c>
      <c r="C2446" t="s">
        <v>38</v>
      </c>
      <c r="D2446">
        <v>712989</v>
      </c>
      <c r="E2446">
        <v>1783557</v>
      </c>
      <c r="F2446">
        <f t="shared" si="248"/>
        <v>2.5015210613347469</v>
      </c>
      <c r="G2446">
        <f t="shared" si="251"/>
        <v>113.46899534214413</v>
      </c>
      <c r="H2446">
        <v>4925.734375</v>
      </c>
      <c r="I2446" t="s">
        <v>40</v>
      </c>
      <c r="J2446">
        <f t="shared" si="254"/>
        <v>12.068441443096901</v>
      </c>
      <c r="K2446">
        <f t="shared" si="255"/>
        <v>19988.821444047891</v>
      </c>
    </row>
    <row r="2447" spans="1:11" x14ac:dyDescent="0.35">
      <c r="A2447" s="1">
        <v>42644</v>
      </c>
      <c r="B2447" t="s">
        <v>18</v>
      </c>
      <c r="C2447" t="s">
        <v>38</v>
      </c>
      <c r="D2447">
        <v>758479</v>
      </c>
      <c r="E2447">
        <v>1431405</v>
      </c>
      <c r="F2447">
        <f t="shared" si="248"/>
        <v>1.8872045237903752</v>
      </c>
      <c r="G2447">
        <f t="shared" si="251"/>
        <v>85.603597199131414</v>
      </c>
      <c r="H2447">
        <v>4283.708333333333</v>
      </c>
      <c r="I2447" t="s">
        <v>40</v>
      </c>
      <c r="J2447">
        <f t="shared" si="254"/>
        <v>10.495426518028502</v>
      </c>
      <c r="K2447">
        <f t="shared" si="255"/>
        <v>19988.821444047891</v>
      </c>
    </row>
    <row r="2448" spans="1:11" x14ac:dyDescent="0.35">
      <c r="A2448" s="1">
        <v>42675</v>
      </c>
      <c r="B2448" t="s">
        <v>18</v>
      </c>
      <c r="C2448" t="s">
        <v>38</v>
      </c>
      <c r="D2448">
        <v>735201.00000000012</v>
      </c>
      <c r="E2448">
        <v>1211202</v>
      </c>
      <c r="F2448">
        <f t="shared" si="248"/>
        <v>1.6474433522261256</v>
      </c>
      <c r="G2448">
        <f t="shared" si="251"/>
        <v>74.728030456977052</v>
      </c>
      <c r="H2448">
        <v>3791.890625</v>
      </c>
      <c r="I2448" t="s">
        <v>40</v>
      </c>
      <c r="J2448">
        <f t="shared" si="254"/>
        <v>9.2904339703540373</v>
      </c>
      <c r="K2448">
        <f t="shared" si="255"/>
        <v>19988.821444047891</v>
      </c>
    </row>
    <row r="2449" spans="1:11" x14ac:dyDescent="0.35">
      <c r="A2449" s="1">
        <v>42705</v>
      </c>
      <c r="B2449" t="s">
        <v>18</v>
      </c>
      <c r="C2449" t="s">
        <v>38</v>
      </c>
      <c r="D2449">
        <v>733520.99999999988</v>
      </c>
      <c r="E2449">
        <v>1296369.2223317497</v>
      </c>
      <c r="F2449">
        <f t="shared" si="248"/>
        <v>1.7673239380082506</v>
      </c>
      <c r="G2449">
        <f t="shared" si="251"/>
        <v>80.16581382805424</v>
      </c>
      <c r="H2449">
        <v>4332.1753472222226</v>
      </c>
      <c r="I2449" t="s">
        <v>40</v>
      </c>
      <c r="J2449">
        <f t="shared" si="254"/>
        <v>10.61417456136769</v>
      </c>
      <c r="K2449">
        <f t="shared" si="255"/>
        <v>19988.821444047891</v>
      </c>
    </row>
    <row r="2450" spans="1:11" x14ac:dyDescent="0.35">
      <c r="A2450" s="1">
        <v>42736</v>
      </c>
      <c r="B2450" t="s">
        <v>2</v>
      </c>
      <c r="C2450" t="s">
        <v>38</v>
      </c>
      <c r="D2450">
        <v>17214</v>
      </c>
      <c r="E2450">
        <v>56455</v>
      </c>
      <c r="F2450">
        <f t="shared" si="248"/>
        <v>3.2795980016265829</v>
      </c>
      <c r="G2450">
        <f t="shared" si="251"/>
        <v>148.76256535378181</v>
      </c>
      <c r="H2450">
        <v>1947.4873985148515</v>
      </c>
      <c r="I2450" t="s">
        <v>59</v>
      </c>
      <c r="J2450">
        <f>H2450/110</f>
        <v>17.70443089558956</v>
      </c>
      <c r="K2450">
        <v>6064.2164945385503</v>
      </c>
    </row>
    <row r="2451" spans="1:11" x14ac:dyDescent="0.35">
      <c r="A2451" s="1">
        <v>42767</v>
      </c>
      <c r="B2451" t="s">
        <v>2</v>
      </c>
      <c r="C2451" t="s">
        <v>38</v>
      </c>
      <c r="D2451">
        <v>3705</v>
      </c>
      <c r="E2451">
        <v>11413</v>
      </c>
      <c r="F2451">
        <f t="shared" si="248"/>
        <v>3.0804318488529017</v>
      </c>
      <c r="G2451">
        <f t="shared" si="251"/>
        <v>139.72838866396762</v>
      </c>
      <c r="H2451">
        <v>1968.150319719472</v>
      </c>
      <c r="I2451" t="s">
        <v>59</v>
      </c>
      <c r="J2451">
        <f t="shared" ref="J2451:J2461" si="256">H2451/110</f>
        <v>17.89227563381338</v>
      </c>
      <c r="K2451">
        <v>6064.2164945385503</v>
      </c>
    </row>
    <row r="2452" spans="1:11" x14ac:dyDescent="0.35">
      <c r="A2452" s="1">
        <v>42795</v>
      </c>
      <c r="B2452" t="s">
        <v>2</v>
      </c>
      <c r="C2452" t="s">
        <v>38</v>
      </c>
      <c r="D2452">
        <v>79689</v>
      </c>
      <c r="E2452">
        <v>419101.99999999994</v>
      </c>
      <c r="F2452">
        <f t="shared" si="248"/>
        <v>5.2592202185998058</v>
      </c>
      <c r="G2452">
        <f t="shared" si="251"/>
        <v>238.5582291156872</v>
      </c>
      <c r="H2452">
        <v>1891.1935000000001</v>
      </c>
      <c r="I2452" t="s">
        <v>59</v>
      </c>
      <c r="J2452">
        <f t="shared" si="256"/>
        <v>17.192668181818181</v>
      </c>
      <c r="K2452">
        <v>6064.2164945385503</v>
      </c>
    </row>
    <row r="2453" spans="1:11" x14ac:dyDescent="0.35">
      <c r="A2453" s="1">
        <v>42826</v>
      </c>
      <c r="B2453" t="s">
        <v>2</v>
      </c>
      <c r="C2453" t="s">
        <v>38</v>
      </c>
      <c r="D2453">
        <v>487893.99999999994</v>
      </c>
      <c r="E2453">
        <v>2610245</v>
      </c>
      <c r="F2453">
        <f t="shared" si="248"/>
        <v>5.3500248004689546</v>
      </c>
      <c r="G2453">
        <f t="shared" si="251"/>
        <v>242.67712494927179</v>
      </c>
      <c r="H2453">
        <v>2023.9565</v>
      </c>
      <c r="I2453" t="s">
        <v>59</v>
      </c>
      <c r="J2453">
        <f t="shared" si="256"/>
        <v>18.399604545454544</v>
      </c>
      <c r="K2453">
        <v>6064.2164945385503</v>
      </c>
    </row>
    <row r="2454" spans="1:11" x14ac:dyDescent="0.35">
      <c r="A2454" s="1">
        <v>42856</v>
      </c>
      <c r="B2454" t="s">
        <v>2</v>
      </c>
      <c r="C2454" t="s">
        <v>38</v>
      </c>
      <c r="D2454">
        <v>426855</v>
      </c>
      <c r="E2454">
        <v>2342112</v>
      </c>
      <c r="F2454">
        <f t="shared" si="248"/>
        <v>5.4869030467020421</v>
      </c>
      <c r="G2454">
        <f t="shared" si="251"/>
        <v>248.88592219840461</v>
      </c>
      <c r="H2454">
        <v>1958.2285555555554</v>
      </c>
      <c r="I2454" t="s">
        <v>59</v>
      </c>
      <c r="J2454">
        <f t="shared" si="256"/>
        <v>17.802077777777775</v>
      </c>
      <c r="K2454">
        <v>6064.2164945385503</v>
      </c>
    </row>
    <row r="2455" spans="1:11" x14ac:dyDescent="0.35">
      <c r="A2455" s="1">
        <v>42887</v>
      </c>
      <c r="B2455" t="s">
        <v>2</v>
      </c>
      <c r="C2455" t="s">
        <v>38</v>
      </c>
      <c r="D2455">
        <v>185421</v>
      </c>
      <c r="E2455">
        <v>1011302</v>
      </c>
      <c r="F2455">
        <f t="shared" si="248"/>
        <v>5.4540855674384243</v>
      </c>
      <c r="G2455">
        <f t="shared" si="251"/>
        <v>247.39732133900694</v>
      </c>
      <c r="H2455">
        <v>2034.891872203887</v>
      </c>
      <c r="I2455" t="s">
        <v>59</v>
      </c>
      <c r="J2455">
        <f t="shared" si="256"/>
        <v>18.499017020035335</v>
      </c>
      <c r="K2455">
        <v>6064.2164945385503</v>
      </c>
    </row>
    <row r="2456" spans="1:11" x14ac:dyDescent="0.35">
      <c r="A2456" s="1">
        <v>42917</v>
      </c>
      <c r="B2456" t="s">
        <v>2</v>
      </c>
      <c r="C2456" t="s">
        <v>38</v>
      </c>
      <c r="D2456">
        <v>80213.999999999985</v>
      </c>
      <c r="E2456">
        <v>342158</v>
      </c>
      <c r="F2456">
        <f t="shared" si="248"/>
        <v>4.2655646146557968</v>
      </c>
      <c r="G2456">
        <f t="shared" si="251"/>
        <v>193.48601092078695</v>
      </c>
      <c r="H2456">
        <v>2011.6949715804913</v>
      </c>
      <c r="I2456" t="s">
        <v>59</v>
      </c>
      <c r="J2456">
        <f t="shared" si="256"/>
        <v>18.288136105277193</v>
      </c>
      <c r="K2456">
        <v>6064.2164945385503</v>
      </c>
    </row>
    <row r="2457" spans="1:11" x14ac:dyDescent="0.35">
      <c r="A2457" s="1">
        <v>42948</v>
      </c>
      <c r="B2457" t="s">
        <v>2</v>
      </c>
      <c r="C2457" t="s">
        <v>38</v>
      </c>
      <c r="D2457">
        <v>140756</v>
      </c>
      <c r="E2457">
        <v>568997</v>
      </c>
      <c r="F2457">
        <f t="shared" si="248"/>
        <v>4.0424351359799937</v>
      </c>
      <c r="G2457">
        <f t="shared" si="251"/>
        <v>183.3648577680525</v>
      </c>
      <c r="H2457">
        <v>2005.0981358635865</v>
      </c>
      <c r="I2457" t="s">
        <v>59</v>
      </c>
      <c r="J2457">
        <f t="shared" si="256"/>
        <v>18.228164871487149</v>
      </c>
      <c r="K2457">
        <v>6064.2164945385503</v>
      </c>
    </row>
    <row r="2458" spans="1:11" x14ac:dyDescent="0.35">
      <c r="A2458" s="1">
        <v>42979</v>
      </c>
      <c r="B2458" t="s">
        <v>2</v>
      </c>
      <c r="C2458" t="s">
        <v>38</v>
      </c>
      <c r="D2458">
        <v>262105.00000000003</v>
      </c>
      <c r="E2458">
        <v>1256616</v>
      </c>
      <c r="F2458">
        <f t="shared" si="248"/>
        <v>4.7943228858663511</v>
      </c>
      <c r="G2458">
        <f t="shared" si="251"/>
        <v>217.47048610289769</v>
      </c>
      <c r="H2458">
        <v>2028.6770222772277</v>
      </c>
      <c r="I2458" t="s">
        <v>59</v>
      </c>
      <c r="J2458">
        <f t="shared" si="256"/>
        <v>18.442518384338435</v>
      </c>
      <c r="K2458">
        <v>6064.2164945385503</v>
      </c>
    </row>
    <row r="2459" spans="1:11" x14ac:dyDescent="0.35">
      <c r="A2459" s="1">
        <v>43009</v>
      </c>
      <c r="B2459" t="s">
        <v>2</v>
      </c>
      <c r="C2459" t="s">
        <v>38</v>
      </c>
      <c r="D2459">
        <v>521043.99999999994</v>
      </c>
      <c r="E2459">
        <v>2159650</v>
      </c>
      <c r="F2459">
        <f t="shared" si="248"/>
        <v>4.1448514904691356</v>
      </c>
      <c r="G2459">
        <f t="shared" si="251"/>
        <v>188.01046360767998</v>
      </c>
      <c r="H2459">
        <v>2018.9220251191789</v>
      </c>
      <c r="I2459" t="s">
        <v>59</v>
      </c>
      <c r="J2459">
        <f t="shared" si="256"/>
        <v>18.353836591992536</v>
      </c>
      <c r="K2459">
        <v>6064.2164945385503</v>
      </c>
    </row>
    <row r="2460" spans="1:11" x14ac:dyDescent="0.35">
      <c r="A2460" s="1">
        <v>43040</v>
      </c>
      <c r="B2460" t="s">
        <v>2</v>
      </c>
      <c r="C2460" t="s">
        <v>38</v>
      </c>
      <c r="D2460">
        <v>465897.99999999994</v>
      </c>
      <c r="E2460">
        <v>1789989</v>
      </c>
      <c r="F2460">
        <f t="shared" si="248"/>
        <v>3.8420190685514859</v>
      </c>
      <c r="G2460">
        <f t="shared" si="251"/>
        <v>174.2739849494954</v>
      </c>
      <c r="H2460">
        <v>2051.4770599559956</v>
      </c>
      <c r="I2460" t="s">
        <v>59</v>
      </c>
      <c r="J2460">
        <f t="shared" si="256"/>
        <v>18.649791454145415</v>
      </c>
      <c r="K2460">
        <v>6064.2164945385503</v>
      </c>
    </row>
    <row r="2461" spans="1:11" x14ac:dyDescent="0.35">
      <c r="A2461" s="1">
        <v>43070</v>
      </c>
      <c r="B2461" t="s">
        <v>2</v>
      </c>
      <c r="C2461" t="s">
        <v>38</v>
      </c>
      <c r="D2461">
        <v>101989</v>
      </c>
      <c r="E2461">
        <v>401245</v>
      </c>
      <c r="F2461">
        <f t="shared" si="248"/>
        <v>3.9341987861436039</v>
      </c>
      <c r="G2461">
        <f t="shared" si="251"/>
        <v>178.45525693947386</v>
      </c>
      <c r="H2461">
        <v>2059.3952374404107</v>
      </c>
      <c r="I2461" t="s">
        <v>59</v>
      </c>
      <c r="J2461">
        <f t="shared" si="256"/>
        <v>18.721774885821915</v>
      </c>
      <c r="K2461">
        <v>6064.2164945385503</v>
      </c>
    </row>
    <row r="2462" spans="1:11" x14ac:dyDescent="0.35">
      <c r="A2462" s="1">
        <v>42736</v>
      </c>
      <c r="B2462" t="s">
        <v>5</v>
      </c>
      <c r="C2462" t="s">
        <v>38</v>
      </c>
      <c r="D2462">
        <v>28910</v>
      </c>
      <c r="E2462">
        <v>52415</v>
      </c>
      <c r="F2462">
        <f t="shared" si="248"/>
        <v>1.8130404704254584</v>
      </c>
      <c r="G2462">
        <f t="shared" si="251"/>
        <v>82.239515738498795</v>
      </c>
      <c r="H2462">
        <v>798.19184027777771</v>
      </c>
      <c r="I2462" t="s">
        <v>38</v>
      </c>
      <c r="J2462">
        <f>H2462/45.36</f>
        <v>17.596821875612385</v>
      </c>
      <c r="K2462">
        <v>2479.0864296155996</v>
      </c>
    </row>
    <row r="2463" spans="1:11" x14ac:dyDescent="0.35">
      <c r="A2463" s="1">
        <v>42767</v>
      </c>
      <c r="B2463" t="s">
        <v>5</v>
      </c>
      <c r="C2463" t="s">
        <v>38</v>
      </c>
      <c r="D2463">
        <v>30129</v>
      </c>
      <c r="E2463">
        <v>73892</v>
      </c>
      <c r="F2463">
        <f t="shared" si="248"/>
        <v>2.4525208271100931</v>
      </c>
      <c r="G2463">
        <f t="shared" si="251"/>
        <v>111.24634471771382</v>
      </c>
      <c r="H2463">
        <v>806.58593749999989</v>
      </c>
      <c r="I2463" t="s">
        <v>38</v>
      </c>
      <c r="J2463">
        <f t="shared" ref="J2463:J2526" si="257">H2463/45.36</f>
        <v>17.781876929012345</v>
      </c>
      <c r="K2463">
        <v>2479.0864296155996</v>
      </c>
    </row>
    <row r="2464" spans="1:11" x14ac:dyDescent="0.35">
      <c r="A2464" s="1">
        <v>42795</v>
      </c>
      <c r="B2464" t="s">
        <v>5</v>
      </c>
      <c r="C2464" t="s">
        <v>38</v>
      </c>
      <c r="D2464">
        <v>24620.000000000004</v>
      </c>
      <c r="E2464">
        <v>62909</v>
      </c>
      <c r="F2464">
        <f t="shared" si="248"/>
        <v>2.5551990251827776</v>
      </c>
      <c r="G2464">
        <f t="shared" si="251"/>
        <v>115.90382778229079</v>
      </c>
      <c r="H2464">
        <v>815.3</v>
      </c>
      <c r="I2464" t="s">
        <v>38</v>
      </c>
      <c r="J2464">
        <f t="shared" si="257"/>
        <v>17.973985890652557</v>
      </c>
      <c r="K2464">
        <v>2479.0864296155996</v>
      </c>
    </row>
    <row r="2465" spans="1:11" x14ac:dyDescent="0.35">
      <c r="A2465" s="1">
        <v>42826</v>
      </c>
      <c r="B2465" t="s">
        <v>5</v>
      </c>
      <c r="C2465" t="s">
        <v>38</v>
      </c>
      <c r="D2465">
        <v>26899</v>
      </c>
      <c r="E2465">
        <v>65974.000000000015</v>
      </c>
      <c r="F2465">
        <f t="shared" si="248"/>
        <v>2.4526562325737022</v>
      </c>
      <c r="G2465">
        <f t="shared" si="251"/>
        <v>111.25248670954313</v>
      </c>
      <c r="H2465">
        <v>882.13888888888891</v>
      </c>
      <c r="I2465" t="s">
        <v>38</v>
      </c>
      <c r="J2465">
        <f t="shared" si="257"/>
        <v>19.447506368802667</v>
      </c>
      <c r="K2465">
        <v>2479.0864296155996</v>
      </c>
    </row>
    <row r="2466" spans="1:11" x14ac:dyDescent="0.35">
      <c r="A2466" s="1">
        <v>42856</v>
      </c>
      <c r="B2466" t="s">
        <v>5</v>
      </c>
      <c r="C2466" t="s">
        <v>38</v>
      </c>
      <c r="D2466">
        <v>21229.000000000004</v>
      </c>
      <c r="E2466">
        <v>76767.999999999985</v>
      </c>
      <c r="F2466">
        <f t="shared" ref="F2466:F2529" si="258">E2466/D2466</f>
        <v>3.6161854067549095</v>
      </c>
      <c r="G2466">
        <f t="shared" si="251"/>
        <v>164.03017005040269</v>
      </c>
      <c r="H2466">
        <v>921.31666666666683</v>
      </c>
      <c r="I2466" t="s">
        <v>38</v>
      </c>
      <c r="J2466">
        <f t="shared" si="257"/>
        <v>20.311213991769552</v>
      </c>
      <c r="K2466">
        <v>2479.0864296155996</v>
      </c>
    </row>
    <row r="2467" spans="1:11" x14ac:dyDescent="0.35">
      <c r="A2467" s="1">
        <v>42887</v>
      </c>
      <c r="B2467" t="s">
        <v>5</v>
      </c>
      <c r="C2467" t="s">
        <v>38</v>
      </c>
      <c r="D2467">
        <v>33102</v>
      </c>
      <c r="E2467">
        <v>89487</v>
      </c>
      <c r="F2467">
        <f t="shared" si="258"/>
        <v>2.7033713974986404</v>
      </c>
      <c r="G2467">
        <f t="shared" si="251"/>
        <v>122.62492659053832</v>
      </c>
      <c r="H2467">
        <v>904.09226190476181</v>
      </c>
      <c r="I2467" t="s">
        <v>38</v>
      </c>
      <c r="J2467">
        <f t="shared" si="257"/>
        <v>19.931487255395982</v>
      </c>
      <c r="K2467">
        <v>2479.0864296155996</v>
      </c>
    </row>
    <row r="2468" spans="1:11" x14ac:dyDescent="0.35">
      <c r="A2468" s="1">
        <v>42917</v>
      </c>
      <c r="B2468" t="s">
        <v>5</v>
      </c>
      <c r="C2468" t="s">
        <v>38</v>
      </c>
      <c r="D2468">
        <v>36521</v>
      </c>
      <c r="E2468">
        <v>104480</v>
      </c>
      <c r="F2468">
        <f t="shared" si="258"/>
        <v>2.8608198023055227</v>
      </c>
      <c r="G2468">
        <f t="shared" si="251"/>
        <v>129.76678623257851</v>
      </c>
      <c r="H2468">
        <v>895.90885416666663</v>
      </c>
      <c r="I2468" t="s">
        <v>38</v>
      </c>
      <c r="J2468">
        <f t="shared" si="257"/>
        <v>19.751077031893004</v>
      </c>
      <c r="K2468">
        <v>2479.0864296155996</v>
      </c>
    </row>
    <row r="2469" spans="1:11" x14ac:dyDescent="0.35">
      <c r="A2469" s="1">
        <v>42948</v>
      </c>
      <c r="B2469" t="s">
        <v>5</v>
      </c>
      <c r="C2469" t="s">
        <v>38</v>
      </c>
      <c r="D2469">
        <v>38958</v>
      </c>
      <c r="E2469">
        <v>81245</v>
      </c>
      <c r="F2469">
        <f t="shared" si="258"/>
        <v>2.0854509985112171</v>
      </c>
      <c r="G2469">
        <f t="shared" si="251"/>
        <v>94.596057292468799</v>
      </c>
      <c r="H2469">
        <v>831.11614583333335</v>
      </c>
      <c r="I2469" t="s">
        <v>38</v>
      </c>
      <c r="J2469">
        <f t="shared" si="257"/>
        <v>18.322666354350382</v>
      </c>
      <c r="K2469">
        <v>2479.0864296155996</v>
      </c>
    </row>
    <row r="2470" spans="1:11" x14ac:dyDescent="0.35">
      <c r="A2470" s="1">
        <v>42979</v>
      </c>
      <c r="B2470" t="s">
        <v>5</v>
      </c>
      <c r="C2470" t="s">
        <v>38</v>
      </c>
      <c r="D2470">
        <v>50044.999999999993</v>
      </c>
      <c r="E2470">
        <v>127048</v>
      </c>
      <c r="F2470">
        <f t="shared" si="258"/>
        <v>2.538675192326906</v>
      </c>
      <c r="G2470">
        <f t="shared" si="251"/>
        <v>115.15430672394845</v>
      </c>
      <c r="H2470">
        <v>831.46354166666674</v>
      </c>
      <c r="I2470" t="s">
        <v>38</v>
      </c>
      <c r="J2470">
        <f t="shared" si="257"/>
        <v>18.330324992651384</v>
      </c>
      <c r="K2470">
        <v>2479.0864296155996</v>
      </c>
    </row>
    <row r="2471" spans="1:11" x14ac:dyDescent="0.35">
      <c r="A2471" s="1">
        <v>43009</v>
      </c>
      <c r="B2471" t="s">
        <v>5</v>
      </c>
      <c r="C2471" t="s">
        <v>38</v>
      </c>
      <c r="D2471">
        <v>31204</v>
      </c>
      <c r="E2471">
        <v>79584</v>
      </c>
      <c r="F2471">
        <f t="shared" si="258"/>
        <v>2.5504422509934623</v>
      </c>
      <c r="G2471">
        <f t="shared" si="251"/>
        <v>115.68806050506345</v>
      </c>
      <c r="H2471">
        <v>809.69270833333337</v>
      </c>
      <c r="I2471" t="s">
        <v>38</v>
      </c>
      <c r="J2471">
        <f t="shared" si="257"/>
        <v>17.850368349500297</v>
      </c>
      <c r="K2471">
        <v>2479.0864296155996</v>
      </c>
    </row>
    <row r="2472" spans="1:11" x14ac:dyDescent="0.35">
      <c r="A2472" s="1">
        <v>43040</v>
      </c>
      <c r="B2472" t="s">
        <v>5</v>
      </c>
      <c r="C2472" t="s">
        <v>38</v>
      </c>
      <c r="D2472">
        <v>36987</v>
      </c>
      <c r="E2472">
        <v>62169</v>
      </c>
      <c r="F2472">
        <f t="shared" si="258"/>
        <v>1.6808338064725443</v>
      </c>
      <c r="G2472">
        <f t="shared" si="251"/>
        <v>76.242621461594609</v>
      </c>
      <c r="H2472">
        <v>824.8885416666667</v>
      </c>
      <c r="I2472" t="s">
        <v>38</v>
      </c>
      <c r="J2472">
        <f t="shared" si="257"/>
        <v>18.185373493533216</v>
      </c>
      <c r="K2472">
        <v>2479.0864296155996</v>
      </c>
    </row>
    <row r="2473" spans="1:11" x14ac:dyDescent="0.35">
      <c r="A2473" s="1">
        <v>43070</v>
      </c>
      <c r="B2473" t="s">
        <v>5</v>
      </c>
      <c r="C2473" t="s">
        <v>38</v>
      </c>
      <c r="D2473">
        <v>50214</v>
      </c>
      <c r="E2473">
        <v>94218</v>
      </c>
      <c r="F2473">
        <f t="shared" si="258"/>
        <v>1.8763293105508423</v>
      </c>
      <c r="G2473">
        <f t="shared" si="251"/>
        <v>85.110297526586209</v>
      </c>
      <c r="H2473">
        <v>848.28645833333337</v>
      </c>
      <c r="I2473" t="s">
        <v>38</v>
      </c>
      <c r="J2473">
        <f t="shared" si="257"/>
        <v>18.70120058054086</v>
      </c>
      <c r="K2473">
        <v>2479.0864296155996</v>
      </c>
    </row>
    <row r="2474" spans="1:11" x14ac:dyDescent="0.35">
      <c r="A2474" s="1">
        <v>42736</v>
      </c>
      <c r="B2474" t="s">
        <v>7</v>
      </c>
      <c r="C2474" t="s">
        <v>38</v>
      </c>
      <c r="D2474">
        <v>4907</v>
      </c>
      <c r="E2474">
        <v>64219.000000000007</v>
      </c>
      <c r="F2474">
        <f t="shared" si="258"/>
        <v>13.08722233543917</v>
      </c>
      <c r="G2474">
        <f t="shared" si="251"/>
        <v>593.6364051355207</v>
      </c>
      <c r="H2474">
        <v>642.50520833333337</v>
      </c>
      <c r="I2474" t="s">
        <v>38</v>
      </c>
      <c r="J2474">
        <f t="shared" si="257"/>
        <v>14.164576903292183</v>
      </c>
      <c r="K2474">
        <v>5064.8045077463757</v>
      </c>
    </row>
    <row r="2475" spans="1:11" x14ac:dyDescent="0.35">
      <c r="A2475" s="1">
        <v>42767</v>
      </c>
      <c r="B2475" t="s">
        <v>7</v>
      </c>
      <c r="C2475" t="s">
        <v>38</v>
      </c>
      <c r="D2475">
        <v>9201</v>
      </c>
      <c r="E2475">
        <v>86520</v>
      </c>
      <c r="F2475">
        <f t="shared" si="258"/>
        <v>9.4033257254646241</v>
      </c>
      <c r="G2475">
        <f t="shared" si="251"/>
        <v>426.53485490707533</v>
      </c>
      <c r="H2475">
        <v>647.109375</v>
      </c>
      <c r="I2475" t="s">
        <v>38</v>
      </c>
      <c r="J2475">
        <f t="shared" si="257"/>
        <v>14.266079695767196</v>
      </c>
      <c r="K2475">
        <v>5064.8045077463757</v>
      </c>
    </row>
    <row r="2476" spans="1:11" x14ac:dyDescent="0.35">
      <c r="A2476" s="1">
        <v>42795</v>
      </c>
      <c r="B2476" t="s">
        <v>7</v>
      </c>
      <c r="C2476" t="s">
        <v>38</v>
      </c>
      <c r="D2476">
        <v>9201</v>
      </c>
      <c r="E2476">
        <v>108245.00000000001</v>
      </c>
      <c r="F2476">
        <f t="shared" si="258"/>
        <v>11.764482121508534</v>
      </c>
      <c r="G2476">
        <f t="shared" si="251"/>
        <v>533.63690903162706</v>
      </c>
      <c r="H2476">
        <v>836.01666666666665</v>
      </c>
      <c r="I2476" t="s">
        <v>38</v>
      </c>
      <c r="J2476">
        <f t="shared" si="257"/>
        <v>18.430702527924751</v>
      </c>
      <c r="K2476">
        <v>5064.8045077463757</v>
      </c>
    </row>
    <row r="2477" spans="1:11" x14ac:dyDescent="0.35">
      <c r="A2477" s="1">
        <v>42826</v>
      </c>
      <c r="B2477" t="s">
        <v>7</v>
      </c>
      <c r="C2477" t="s">
        <v>38</v>
      </c>
      <c r="D2477">
        <v>10498</v>
      </c>
      <c r="E2477">
        <v>121549</v>
      </c>
      <c r="F2477">
        <f t="shared" si="258"/>
        <v>11.57830062869118</v>
      </c>
      <c r="G2477">
        <f t="shared" si="251"/>
        <v>525.19171651743193</v>
      </c>
      <c r="H2477">
        <v>869.09722222222217</v>
      </c>
      <c r="I2477" t="s">
        <v>38</v>
      </c>
      <c r="J2477">
        <f t="shared" si="257"/>
        <v>19.159991671565745</v>
      </c>
      <c r="K2477">
        <v>5064.8045077463757</v>
      </c>
    </row>
    <row r="2478" spans="1:11" x14ac:dyDescent="0.35">
      <c r="A2478" s="1">
        <v>42856</v>
      </c>
      <c r="B2478" t="s">
        <v>7</v>
      </c>
      <c r="C2478" t="s">
        <v>38</v>
      </c>
      <c r="D2478">
        <v>7853.9999999999982</v>
      </c>
      <c r="E2478">
        <v>89998</v>
      </c>
      <c r="F2478">
        <f t="shared" si="258"/>
        <v>11.458874458874462</v>
      </c>
      <c r="G2478">
        <f t="shared" si="251"/>
        <v>519.77454545454555</v>
      </c>
      <c r="H2478">
        <v>548.08249999999998</v>
      </c>
      <c r="I2478" t="s">
        <v>38</v>
      </c>
      <c r="J2478">
        <f t="shared" si="257"/>
        <v>12.082947530864198</v>
      </c>
      <c r="K2478">
        <v>5064.8045077463757</v>
      </c>
    </row>
    <row r="2479" spans="1:11" x14ac:dyDescent="0.35">
      <c r="A2479" s="1">
        <v>42887</v>
      </c>
      <c r="B2479" t="s">
        <v>7</v>
      </c>
      <c r="C2479" t="s">
        <v>38</v>
      </c>
      <c r="D2479">
        <v>6856.9999999999991</v>
      </c>
      <c r="E2479">
        <v>79699.000000000015</v>
      </c>
      <c r="F2479">
        <f t="shared" si="258"/>
        <v>11.623012979437075</v>
      </c>
      <c r="G2479">
        <f t="shared" si="251"/>
        <v>527.21986874726565</v>
      </c>
      <c r="H2479">
        <v>424.52400520833328</v>
      </c>
      <c r="I2479" t="s">
        <v>38</v>
      </c>
      <c r="J2479">
        <f t="shared" si="257"/>
        <v>9.3589948238168716</v>
      </c>
      <c r="K2479">
        <v>5064.8045077463757</v>
      </c>
    </row>
    <row r="2480" spans="1:11" x14ac:dyDescent="0.35">
      <c r="A2480" s="1">
        <v>42917</v>
      </c>
      <c r="B2480" t="s">
        <v>7</v>
      </c>
      <c r="C2480" t="s">
        <v>38</v>
      </c>
      <c r="D2480">
        <v>7420.9999999999991</v>
      </c>
      <c r="E2480">
        <v>89897.999999999985</v>
      </c>
      <c r="F2480">
        <f t="shared" si="258"/>
        <v>12.114000808516373</v>
      </c>
      <c r="G2480">
        <f t="shared" si="251"/>
        <v>549.49107667430269</v>
      </c>
      <c r="H2480">
        <v>443.99401041666664</v>
      </c>
      <c r="I2480" t="s">
        <v>38</v>
      </c>
      <c r="J2480">
        <f t="shared" si="257"/>
        <v>9.7882277428718396</v>
      </c>
      <c r="K2480">
        <v>5064.8045077463757</v>
      </c>
    </row>
    <row r="2481" spans="1:11" x14ac:dyDescent="0.35">
      <c r="A2481" s="1">
        <v>42948</v>
      </c>
      <c r="B2481" t="s">
        <v>7</v>
      </c>
      <c r="C2481" t="s">
        <v>38</v>
      </c>
      <c r="D2481">
        <v>7021</v>
      </c>
      <c r="E2481">
        <v>82822</v>
      </c>
      <c r="F2481">
        <f t="shared" si="258"/>
        <v>11.796325309784931</v>
      </c>
      <c r="G2481">
        <f t="shared" si="251"/>
        <v>535.08131605184451</v>
      </c>
      <c r="H2481">
        <v>402.1936904761904</v>
      </c>
      <c r="I2481" t="s">
        <v>38</v>
      </c>
      <c r="J2481">
        <f t="shared" si="257"/>
        <v>8.8667039346602827</v>
      </c>
      <c r="K2481">
        <v>5064.8045077463757</v>
      </c>
    </row>
    <row r="2482" spans="1:11" x14ac:dyDescent="0.35">
      <c r="A2482" s="1">
        <v>42979</v>
      </c>
      <c r="B2482" t="s">
        <v>7</v>
      </c>
      <c r="C2482" t="s">
        <v>38</v>
      </c>
      <c r="D2482">
        <v>7523.9999999999991</v>
      </c>
      <c r="E2482">
        <v>79854</v>
      </c>
      <c r="F2482">
        <f t="shared" si="258"/>
        <v>10.61323763955343</v>
      </c>
      <c r="G2482">
        <f t="shared" si="251"/>
        <v>481.4164593301436</v>
      </c>
      <c r="H2482">
        <v>406.10877976190466</v>
      </c>
      <c r="I2482" t="s">
        <v>38</v>
      </c>
      <c r="J2482">
        <f t="shared" si="257"/>
        <v>8.9530154268497508</v>
      </c>
      <c r="K2482">
        <v>5064.8045077463757</v>
      </c>
    </row>
    <row r="2483" spans="1:11" x14ac:dyDescent="0.35">
      <c r="A2483" s="1">
        <v>43009</v>
      </c>
      <c r="B2483" t="s">
        <v>7</v>
      </c>
      <c r="C2483" t="s">
        <v>38</v>
      </c>
      <c r="D2483">
        <v>6672</v>
      </c>
      <c r="E2483">
        <v>85886</v>
      </c>
      <c r="F2483">
        <f t="shared" si="258"/>
        <v>12.872601918465227</v>
      </c>
      <c r="G2483">
        <f t="shared" si="251"/>
        <v>583.90122302158272</v>
      </c>
      <c r="H2483">
        <v>420.65639880952392</v>
      </c>
      <c r="I2483" t="s">
        <v>38</v>
      </c>
      <c r="J2483">
        <f t="shared" si="257"/>
        <v>9.2737301324850954</v>
      </c>
      <c r="K2483">
        <v>5064.8045077463757</v>
      </c>
    </row>
    <row r="2484" spans="1:11" x14ac:dyDescent="0.35">
      <c r="A2484" s="1">
        <v>43040</v>
      </c>
      <c r="B2484" t="s">
        <v>7</v>
      </c>
      <c r="C2484" t="s">
        <v>38</v>
      </c>
      <c r="D2484">
        <v>12345</v>
      </c>
      <c r="E2484">
        <v>91851</v>
      </c>
      <c r="F2484">
        <f t="shared" si="258"/>
        <v>7.4403402187120289</v>
      </c>
      <c r="G2484">
        <f t="shared" ref="G2484:G2547" si="259">F2484*45.36</f>
        <v>337.49383232077764</v>
      </c>
      <c r="H2484">
        <v>428.96982142857144</v>
      </c>
      <c r="I2484" t="s">
        <v>38</v>
      </c>
      <c r="J2484">
        <f t="shared" si="257"/>
        <v>9.4570066452506936</v>
      </c>
      <c r="K2484">
        <v>5064.8045077463757</v>
      </c>
    </row>
    <row r="2485" spans="1:11" x14ac:dyDescent="0.35">
      <c r="A2485" s="1">
        <v>43070</v>
      </c>
      <c r="B2485" t="s">
        <v>7</v>
      </c>
      <c r="C2485" t="s">
        <v>38</v>
      </c>
      <c r="D2485">
        <v>8965</v>
      </c>
      <c r="E2485">
        <v>95498.000000000015</v>
      </c>
      <c r="F2485">
        <f t="shared" si="258"/>
        <v>10.652314556609037</v>
      </c>
      <c r="G2485">
        <f t="shared" si="259"/>
        <v>483.18898828778589</v>
      </c>
      <c r="H2485">
        <v>707.05357142857144</v>
      </c>
      <c r="I2485" t="s">
        <v>38</v>
      </c>
      <c r="J2485">
        <f t="shared" si="257"/>
        <v>15.587600781053162</v>
      </c>
      <c r="K2485">
        <v>5064.8045077463757</v>
      </c>
    </row>
    <row r="2486" spans="1:11" x14ac:dyDescent="0.35">
      <c r="A2486" s="1">
        <v>42736</v>
      </c>
      <c r="B2486" t="s">
        <v>8</v>
      </c>
      <c r="C2486" t="s">
        <v>38</v>
      </c>
      <c r="D2486">
        <v>9428</v>
      </c>
      <c r="E2486">
        <v>78509</v>
      </c>
      <c r="F2486">
        <f t="shared" si="258"/>
        <v>8.3272168010182437</v>
      </c>
      <c r="G2486">
        <f t="shared" si="259"/>
        <v>377.7225540941875</v>
      </c>
      <c r="H2486">
        <v>1875.19763888889</v>
      </c>
      <c r="I2486" t="s">
        <v>38</v>
      </c>
      <c r="J2486">
        <f t="shared" si="257"/>
        <v>41.34033595434061</v>
      </c>
      <c r="K2486">
        <v>9358.714417384519</v>
      </c>
    </row>
    <row r="2487" spans="1:11" x14ac:dyDescent="0.35">
      <c r="A2487" s="1">
        <v>42767</v>
      </c>
      <c r="B2487" t="s">
        <v>8</v>
      </c>
      <c r="C2487" t="s">
        <v>38</v>
      </c>
      <c r="D2487">
        <v>9568</v>
      </c>
      <c r="E2487">
        <v>85123.999999999985</v>
      </c>
      <c r="F2487">
        <f t="shared" si="258"/>
        <v>8.8967391304347814</v>
      </c>
      <c r="G2487">
        <f t="shared" si="259"/>
        <v>403.55608695652165</v>
      </c>
      <c r="H2487">
        <v>2230.73</v>
      </c>
      <c r="I2487" t="s">
        <v>38</v>
      </c>
      <c r="J2487">
        <f t="shared" si="257"/>
        <v>49.17835097001764</v>
      </c>
      <c r="K2487">
        <v>9358.714417384519</v>
      </c>
    </row>
    <row r="2488" spans="1:11" x14ac:dyDescent="0.35">
      <c r="A2488" s="1">
        <v>42795</v>
      </c>
      <c r="B2488" t="s">
        <v>8</v>
      </c>
      <c r="C2488" t="s">
        <v>38</v>
      </c>
      <c r="D2488">
        <v>7902</v>
      </c>
      <c r="E2488">
        <v>82147</v>
      </c>
      <c r="F2488">
        <f t="shared" si="258"/>
        <v>10.395722601872944</v>
      </c>
      <c r="G2488">
        <f t="shared" si="259"/>
        <v>471.54997722095669</v>
      </c>
      <c r="H2488">
        <v>1888.498333333333</v>
      </c>
      <c r="I2488" t="s">
        <v>38</v>
      </c>
      <c r="J2488">
        <f t="shared" si="257"/>
        <v>41.633561140505577</v>
      </c>
      <c r="K2488">
        <v>9358.714417384519</v>
      </c>
    </row>
    <row r="2489" spans="1:11" x14ac:dyDescent="0.35">
      <c r="A2489" s="1">
        <v>42826</v>
      </c>
      <c r="B2489" t="s">
        <v>8</v>
      </c>
      <c r="C2489" t="s">
        <v>38</v>
      </c>
      <c r="D2489">
        <v>9342</v>
      </c>
      <c r="E2489">
        <v>91024</v>
      </c>
      <c r="F2489">
        <f t="shared" si="258"/>
        <v>9.7435238706915008</v>
      </c>
      <c r="G2489">
        <f t="shared" si="259"/>
        <v>441.96624277456647</v>
      </c>
      <c r="H2489">
        <v>2167.9466666666704</v>
      </c>
      <c r="I2489" t="s">
        <v>38</v>
      </c>
      <c r="J2489">
        <f t="shared" si="257"/>
        <v>47.794238683127652</v>
      </c>
      <c r="K2489">
        <v>9358.714417384519</v>
      </c>
    </row>
    <row r="2490" spans="1:11" x14ac:dyDescent="0.35">
      <c r="A2490" s="1">
        <v>42856</v>
      </c>
      <c r="B2490" t="s">
        <v>8</v>
      </c>
      <c r="C2490" t="s">
        <v>38</v>
      </c>
      <c r="D2490">
        <v>4521</v>
      </c>
      <c r="E2490">
        <v>45215</v>
      </c>
      <c r="F2490">
        <f t="shared" si="258"/>
        <v>10.001105950011059</v>
      </c>
      <c r="G2490">
        <f t="shared" si="259"/>
        <v>453.65016589250166</v>
      </c>
      <c r="H2490">
        <v>2030.16</v>
      </c>
      <c r="I2490" t="s">
        <v>38</v>
      </c>
      <c r="J2490">
        <f t="shared" si="257"/>
        <v>44.75661375661376</v>
      </c>
      <c r="K2490">
        <v>9358.714417384519</v>
      </c>
    </row>
    <row r="2491" spans="1:11" x14ac:dyDescent="0.35">
      <c r="A2491" s="1">
        <v>42887</v>
      </c>
      <c r="B2491" t="s">
        <v>8</v>
      </c>
      <c r="C2491" t="s">
        <v>38</v>
      </c>
      <c r="D2491">
        <v>7612</v>
      </c>
      <c r="E2491">
        <v>56128</v>
      </c>
      <c r="F2491">
        <f t="shared" si="258"/>
        <v>7.3736205990541253</v>
      </c>
      <c r="G2491">
        <f t="shared" si="259"/>
        <v>334.46743037309511</v>
      </c>
      <c r="H2491">
        <v>1849.9016666666698</v>
      </c>
      <c r="I2491" t="s">
        <v>38</v>
      </c>
      <c r="J2491">
        <f t="shared" si="257"/>
        <v>40.782664609053569</v>
      </c>
      <c r="K2491">
        <v>9358.714417384519</v>
      </c>
    </row>
    <row r="2492" spans="1:11" x14ac:dyDescent="0.35">
      <c r="A2492" s="1">
        <v>42917</v>
      </c>
      <c r="B2492" t="s">
        <v>8</v>
      </c>
      <c r="C2492" t="s">
        <v>38</v>
      </c>
      <c r="D2492">
        <v>6012</v>
      </c>
      <c r="E2492">
        <v>60215</v>
      </c>
      <c r="F2492">
        <f t="shared" si="258"/>
        <v>10.015801729873585</v>
      </c>
      <c r="G2492">
        <f t="shared" si="259"/>
        <v>454.3167664670658</v>
      </c>
      <c r="H2492">
        <v>1735.9055952381</v>
      </c>
      <c r="I2492" t="s">
        <v>38</v>
      </c>
      <c r="J2492">
        <f t="shared" si="257"/>
        <v>38.269523704543651</v>
      </c>
      <c r="K2492">
        <v>9358.714417384519</v>
      </c>
    </row>
    <row r="2493" spans="1:11" x14ac:dyDescent="0.35">
      <c r="A2493" s="1">
        <v>42948</v>
      </c>
      <c r="B2493" t="s">
        <v>8</v>
      </c>
      <c r="C2493" t="s">
        <v>38</v>
      </c>
      <c r="D2493">
        <v>4101</v>
      </c>
      <c r="E2493">
        <v>31298</v>
      </c>
      <c r="F2493">
        <f t="shared" si="258"/>
        <v>7.631797122653011</v>
      </c>
      <c r="G2493">
        <f t="shared" si="259"/>
        <v>346.17831748354058</v>
      </c>
      <c r="H2493">
        <v>1906.9708333333301</v>
      </c>
      <c r="I2493" t="s">
        <v>38</v>
      </c>
      <c r="J2493">
        <f t="shared" si="257"/>
        <v>42.040803203997577</v>
      </c>
      <c r="K2493">
        <v>9358.714417384519</v>
      </c>
    </row>
    <row r="2494" spans="1:11" x14ac:dyDescent="0.35">
      <c r="A2494" s="1">
        <v>42979</v>
      </c>
      <c r="B2494" t="s">
        <v>8</v>
      </c>
      <c r="C2494" t="s">
        <v>38</v>
      </c>
      <c r="D2494">
        <v>5012</v>
      </c>
      <c r="E2494">
        <v>45100</v>
      </c>
      <c r="F2494">
        <f t="shared" si="258"/>
        <v>8.9984038308060654</v>
      </c>
      <c r="G2494">
        <f t="shared" si="259"/>
        <v>408.1675977653631</v>
      </c>
      <c r="H2494">
        <v>1968.1231944444401</v>
      </c>
      <c r="I2494" t="s">
        <v>38</v>
      </c>
      <c r="J2494">
        <f t="shared" si="257"/>
        <v>43.38895931314903</v>
      </c>
      <c r="K2494">
        <v>9358.714417384519</v>
      </c>
    </row>
    <row r="2495" spans="1:11" x14ac:dyDescent="0.35">
      <c r="A2495" s="1">
        <v>43009</v>
      </c>
      <c r="B2495" t="s">
        <v>8</v>
      </c>
      <c r="C2495" t="s">
        <v>38</v>
      </c>
      <c r="D2495">
        <v>3501.0000000000005</v>
      </c>
      <c r="E2495">
        <v>37895</v>
      </c>
      <c r="F2495">
        <f t="shared" si="258"/>
        <v>10.824050271351041</v>
      </c>
      <c r="G2495">
        <f t="shared" si="259"/>
        <v>490.97892030848323</v>
      </c>
      <c r="H2495">
        <v>1903.95875</v>
      </c>
      <c r="I2495" t="s">
        <v>38</v>
      </c>
      <c r="J2495">
        <f t="shared" si="257"/>
        <v>41.974399250440918</v>
      </c>
      <c r="K2495">
        <v>9358.714417384519</v>
      </c>
    </row>
    <row r="2496" spans="1:11" x14ac:dyDescent="0.35">
      <c r="A2496" s="1">
        <v>43040</v>
      </c>
      <c r="B2496" t="s">
        <v>8</v>
      </c>
      <c r="C2496" t="s">
        <v>38</v>
      </c>
      <c r="D2496">
        <v>5698</v>
      </c>
      <c r="E2496">
        <v>51202</v>
      </c>
      <c r="F2496">
        <f t="shared" si="258"/>
        <v>8.9859599859599868</v>
      </c>
      <c r="G2496">
        <f t="shared" si="259"/>
        <v>407.60314496314498</v>
      </c>
      <c r="H2496">
        <v>1755.1441666666701</v>
      </c>
      <c r="I2496" t="s">
        <v>38</v>
      </c>
      <c r="J2496">
        <f t="shared" si="257"/>
        <v>38.693654467960101</v>
      </c>
      <c r="K2496">
        <v>9358.714417384519</v>
      </c>
    </row>
    <row r="2497" spans="1:11" x14ac:dyDescent="0.35">
      <c r="A2497" s="1">
        <v>43070</v>
      </c>
      <c r="B2497" t="s">
        <v>8</v>
      </c>
      <c r="C2497" t="s">
        <v>38</v>
      </c>
      <c r="D2497">
        <v>7098</v>
      </c>
      <c r="E2497">
        <v>61024.000000000007</v>
      </c>
      <c r="F2497">
        <f t="shared" si="258"/>
        <v>8.5973513665821368</v>
      </c>
      <c r="G2497">
        <f t="shared" si="259"/>
        <v>389.97585798816573</v>
      </c>
      <c r="H2497">
        <v>1875.9208333333299</v>
      </c>
      <c r="I2497" t="s">
        <v>38</v>
      </c>
      <c r="J2497">
        <f t="shared" si="257"/>
        <v>41.356279394473766</v>
      </c>
      <c r="K2497">
        <v>9358.714417384519</v>
      </c>
    </row>
    <row r="2498" spans="1:11" x14ac:dyDescent="0.35">
      <c r="A2498" s="1">
        <v>42736</v>
      </c>
      <c r="B2498" t="s">
        <v>9</v>
      </c>
      <c r="C2498" t="s">
        <v>38</v>
      </c>
      <c r="D2498">
        <v>4989</v>
      </c>
      <c r="E2498">
        <v>142970</v>
      </c>
      <c r="F2498">
        <f t="shared" si="258"/>
        <v>28.657045500100221</v>
      </c>
      <c r="G2498">
        <f t="shared" si="259"/>
        <v>1299.8835838845459</v>
      </c>
      <c r="H2498">
        <v>915.625</v>
      </c>
      <c r="I2498" t="s">
        <v>38</v>
      </c>
      <c r="J2498">
        <f t="shared" si="257"/>
        <v>20.185736331569665</v>
      </c>
      <c r="K2498">
        <v>23497.681152818663</v>
      </c>
    </row>
    <row r="2499" spans="1:11" x14ac:dyDescent="0.35">
      <c r="A2499" s="1">
        <v>42767</v>
      </c>
      <c r="B2499" t="s">
        <v>9</v>
      </c>
      <c r="C2499" t="s">
        <v>38</v>
      </c>
      <c r="D2499">
        <v>5819.9999999999991</v>
      </c>
      <c r="E2499">
        <v>198754</v>
      </c>
      <c r="F2499">
        <f t="shared" si="258"/>
        <v>34.150171821305847</v>
      </c>
      <c r="G2499">
        <f t="shared" si="259"/>
        <v>1549.0517938144333</v>
      </c>
      <c r="H2499">
        <v>900</v>
      </c>
      <c r="I2499" t="s">
        <v>38</v>
      </c>
      <c r="J2499">
        <f t="shared" si="257"/>
        <v>19.841269841269842</v>
      </c>
      <c r="K2499">
        <v>23497.681152818663</v>
      </c>
    </row>
    <row r="2500" spans="1:11" x14ac:dyDescent="0.35">
      <c r="A2500" s="1">
        <v>42795</v>
      </c>
      <c r="B2500" t="s">
        <v>9</v>
      </c>
      <c r="C2500" t="s">
        <v>38</v>
      </c>
      <c r="D2500">
        <v>4201</v>
      </c>
      <c r="E2500">
        <v>182590.00000000003</v>
      </c>
      <c r="F2500">
        <f t="shared" si="258"/>
        <v>43.463461080695076</v>
      </c>
      <c r="G2500">
        <f t="shared" si="259"/>
        <v>1971.5025946203286</v>
      </c>
      <c r="H2500">
        <v>959.375</v>
      </c>
      <c r="I2500" t="s">
        <v>38</v>
      </c>
      <c r="J2500">
        <f t="shared" si="257"/>
        <v>21.150242504409171</v>
      </c>
      <c r="K2500">
        <v>23497.681152818663</v>
      </c>
    </row>
    <row r="2501" spans="1:11" x14ac:dyDescent="0.35">
      <c r="A2501" s="1">
        <v>42826</v>
      </c>
      <c r="B2501" t="s">
        <v>9</v>
      </c>
      <c r="C2501" t="s">
        <v>38</v>
      </c>
      <c r="D2501">
        <v>3120</v>
      </c>
      <c r="E2501">
        <v>116898.00000000001</v>
      </c>
      <c r="F2501">
        <f t="shared" si="258"/>
        <v>37.467307692307699</v>
      </c>
      <c r="G2501">
        <f t="shared" si="259"/>
        <v>1699.5170769230772</v>
      </c>
      <c r="H2501">
        <v>1071.1111111111111</v>
      </c>
      <c r="I2501" t="s">
        <v>38</v>
      </c>
      <c r="J2501">
        <f t="shared" si="257"/>
        <v>23.613560650597687</v>
      </c>
      <c r="K2501">
        <v>23497.681152818663</v>
      </c>
    </row>
    <row r="2502" spans="1:11" x14ac:dyDescent="0.35">
      <c r="A2502" s="1">
        <v>42856</v>
      </c>
      <c r="B2502" t="s">
        <v>9</v>
      </c>
      <c r="C2502" t="s">
        <v>38</v>
      </c>
      <c r="D2502">
        <v>4251</v>
      </c>
      <c r="E2502">
        <v>165899</v>
      </c>
      <c r="F2502">
        <f t="shared" si="258"/>
        <v>39.025876264408375</v>
      </c>
      <c r="G2502">
        <f t="shared" si="259"/>
        <v>1770.2137473535638</v>
      </c>
      <c r="H2502">
        <v>875</v>
      </c>
      <c r="I2502" t="s">
        <v>38</v>
      </c>
      <c r="J2502">
        <f t="shared" si="257"/>
        <v>19.290123456790123</v>
      </c>
      <c r="K2502">
        <v>23497.681152818663</v>
      </c>
    </row>
    <row r="2503" spans="1:11" x14ac:dyDescent="0.35">
      <c r="A2503" s="1">
        <v>42887</v>
      </c>
      <c r="B2503" t="s">
        <v>9</v>
      </c>
      <c r="C2503" t="s">
        <v>38</v>
      </c>
      <c r="D2503">
        <v>3998</v>
      </c>
      <c r="E2503">
        <v>152122</v>
      </c>
      <c r="F2503">
        <f t="shared" si="258"/>
        <v>38.049524762381189</v>
      </c>
      <c r="G2503">
        <f t="shared" si="259"/>
        <v>1725.9264432216107</v>
      </c>
      <c r="H2503">
        <v>1053.3333333333333</v>
      </c>
      <c r="I2503" t="s">
        <v>38</v>
      </c>
      <c r="J2503">
        <f t="shared" si="257"/>
        <v>23.221634332745442</v>
      </c>
      <c r="K2503">
        <v>23497.681152818663</v>
      </c>
    </row>
    <row r="2504" spans="1:11" x14ac:dyDescent="0.35">
      <c r="A2504" s="1">
        <v>42917</v>
      </c>
      <c r="B2504" t="s">
        <v>9</v>
      </c>
      <c r="C2504" t="s">
        <v>38</v>
      </c>
      <c r="D2504">
        <v>2745</v>
      </c>
      <c r="E2504">
        <v>103495</v>
      </c>
      <c r="F2504">
        <f t="shared" si="258"/>
        <v>37.703096539162111</v>
      </c>
      <c r="G2504">
        <f t="shared" si="259"/>
        <v>1710.2124590163933</v>
      </c>
      <c r="H2504">
        <v>1120.8333333333333</v>
      </c>
      <c r="I2504" t="s">
        <v>38</v>
      </c>
      <c r="J2504">
        <f t="shared" si="257"/>
        <v>24.709729570840679</v>
      </c>
      <c r="K2504">
        <v>23497.681152818663</v>
      </c>
    </row>
    <row r="2505" spans="1:11" x14ac:dyDescent="0.35">
      <c r="A2505" s="1">
        <v>42948</v>
      </c>
      <c r="B2505" t="s">
        <v>9</v>
      </c>
      <c r="C2505" t="s">
        <v>38</v>
      </c>
      <c r="D2505">
        <v>3042</v>
      </c>
      <c r="E2505">
        <v>117210</v>
      </c>
      <c r="F2505">
        <f t="shared" si="258"/>
        <v>38.530571992110453</v>
      </c>
      <c r="G2505">
        <f t="shared" si="259"/>
        <v>1747.7467455621302</v>
      </c>
      <c r="H2505">
        <v>927.5</v>
      </c>
      <c r="I2505" t="s">
        <v>38</v>
      </c>
      <c r="J2505">
        <f t="shared" si="257"/>
        <v>20.447530864197532</v>
      </c>
      <c r="K2505">
        <v>23497.681152818663</v>
      </c>
    </row>
    <row r="2506" spans="1:11" x14ac:dyDescent="0.35">
      <c r="A2506" s="1">
        <v>42979</v>
      </c>
      <c r="B2506" t="s">
        <v>9</v>
      </c>
      <c r="C2506" t="s">
        <v>38</v>
      </c>
      <c r="D2506">
        <v>4425</v>
      </c>
      <c r="E2506">
        <v>185485</v>
      </c>
      <c r="F2506">
        <f t="shared" si="258"/>
        <v>41.917514124293788</v>
      </c>
      <c r="G2506">
        <f t="shared" si="259"/>
        <v>1901.3784406779662</v>
      </c>
      <c r="H2506">
        <v>903.125</v>
      </c>
      <c r="I2506" t="s">
        <v>38</v>
      </c>
      <c r="J2506">
        <f t="shared" si="257"/>
        <v>19.910163139329807</v>
      </c>
      <c r="K2506">
        <v>23497.681152818663</v>
      </c>
    </row>
    <row r="2507" spans="1:11" x14ac:dyDescent="0.35">
      <c r="A2507" s="1">
        <v>43009</v>
      </c>
      <c r="B2507" t="s">
        <v>9</v>
      </c>
      <c r="C2507" t="s">
        <v>38</v>
      </c>
      <c r="D2507">
        <v>3799</v>
      </c>
      <c r="E2507">
        <v>152989</v>
      </c>
      <c r="F2507">
        <f t="shared" si="258"/>
        <v>40.270860752829691</v>
      </c>
      <c r="G2507">
        <f t="shared" si="259"/>
        <v>1826.6862437483549</v>
      </c>
      <c r="H2507">
        <v>906.25</v>
      </c>
      <c r="I2507" t="s">
        <v>38</v>
      </c>
      <c r="J2507">
        <f t="shared" si="257"/>
        <v>19.979056437389772</v>
      </c>
      <c r="K2507">
        <v>23497.681152818663</v>
      </c>
    </row>
    <row r="2508" spans="1:11" x14ac:dyDescent="0.35">
      <c r="A2508" s="1">
        <v>43040</v>
      </c>
      <c r="B2508" t="s">
        <v>9</v>
      </c>
      <c r="C2508" t="s">
        <v>38</v>
      </c>
      <c r="D2508">
        <v>5202</v>
      </c>
      <c r="E2508">
        <v>175620</v>
      </c>
      <c r="F2508">
        <f t="shared" si="258"/>
        <v>33.760092272202996</v>
      </c>
      <c r="G2508">
        <f t="shared" si="259"/>
        <v>1531.357785467128</v>
      </c>
      <c r="H2508">
        <v>1065</v>
      </c>
      <c r="I2508" t="s">
        <v>38</v>
      </c>
      <c r="J2508">
        <f t="shared" si="257"/>
        <v>23.478835978835978</v>
      </c>
      <c r="K2508">
        <v>23497.681152818663</v>
      </c>
    </row>
    <row r="2509" spans="1:11" x14ac:dyDescent="0.35">
      <c r="A2509" s="1">
        <v>43070</v>
      </c>
      <c r="B2509" t="s">
        <v>9</v>
      </c>
      <c r="C2509" t="s">
        <v>38</v>
      </c>
      <c r="D2509">
        <v>4490</v>
      </c>
      <c r="E2509">
        <v>161397</v>
      </c>
      <c r="F2509">
        <f t="shared" si="258"/>
        <v>35.945879732739421</v>
      </c>
      <c r="G2509">
        <f t="shared" si="259"/>
        <v>1630.5051046770602</v>
      </c>
      <c r="H2509">
        <v>1456.25</v>
      </c>
      <c r="I2509" t="s">
        <v>38</v>
      </c>
      <c r="J2509">
        <f t="shared" si="257"/>
        <v>32.104276895943563</v>
      </c>
      <c r="K2509">
        <v>23497.681152818663</v>
      </c>
    </row>
    <row r="2510" spans="1:11" x14ac:dyDescent="0.35">
      <c r="A2510" s="1">
        <v>42736</v>
      </c>
      <c r="B2510" t="s">
        <v>10</v>
      </c>
      <c r="C2510" t="s">
        <v>38</v>
      </c>
      <c r="D2510">
        <v>5867</v>
      </c>
      <c r="E2510">
        <v>73214</v>
      </c>
      <c r="F2510">
        <f t="shared" si="258"/>
        <v>12.478950059655702</v>
      </c>
      <c r="G2510">
        <f t="shared" si="259"/>
        <v>566.04517470598262</v>
      </c>
      <c r="H2510">
        <v>2167.3454861111109</v>
      </c>
      <c r="I2510" t="s">
        <v>38</v>
      </c>
      <c r="J2510">
        <f t="shared" si="257"/>
        <v>47.780985143543006</v>
      </c>
      <c r="K2510">
        <v>9059.4442114895992</v>
      </c>
    </row>
    <row r="2511" spans="1:11" x14ac:dyDescent="0.35">
      <c r="A2511" s="1">
        <v>42767</v>
      </c>
      <c r="B2511" t="s">
        <v>10</v>
      </c>
      <c r="C2511" t="s">
        <v>38</v>
      </c>
      <c r="D2511">
        <v>8012.0000000000009</v>
      </c>
      <c r="E2511">
        <v>75899</v>
      </c>
      <c r="F2511">
        <f t="shared" si="258"/>
        <v>9.4731652521218166</v>
      </c>
      <c r="G2511">
        <f t="shared" si="259"/>
        <v>429.70277583624562</v>
      </c>
      <c r="H2511">
        <v>2164.4196428571431</v>
      </c>
      <c r="I2511" t="s">
        <v>38</v>
      </c>
      <c r="J2511">
        <f t="shared" si="257"/>
        <v>47.716482426303862</v>
      </c>
      <c r="K2511">
        <v>9059.4442114895992</v>
      </c>
    </row>
    <row r="2512" spans="1:11" x14ac:dyDescent="0.35">
      <c r="A2512" s="1">
        <v>42795</v>
      </c>
      <c r="B2512" t="s">
        <v>10</v>
      </c>
      <c r="C2512" t="s">
        <v>38</v>
      </c>
      <c r="D2512">
        <v>6819.9999999999991</v>
      </c>
      <c r="E2512">
        <v>58977</v>
      </c>
      <c r="F2512">
        <f t="shared" si="258"/>
        <v>8.6476539589442822</v>
      </c>
      <c r="G2512">
        <f t="shared" si="259"/>
        <v>392.25758357771264</v>
      </c>
      <c r="H2512">
        <v>1842.0699999999997</v>
      </c>
      <c r="I2512" t="s">
        <v>38</v>
      </c>
      <c r="J2512">
        <f t="shared" si="257"/>
        <v>40.610008818342145</v>
      </c>
      <c r="K2512">
        <v>9059.4442114895992</v>
      </c>
    </row>
    <row r="2513" spans="1:11" x14ac:dyDescent="0.35">
      <c r="A2513" s="1">
        <v>42826</v>
      </c>
      <c r="B2513" t="s">
        <v>10</v>
      </c>
      <c r="C2513" t="s">
        <v>38</v>
      </c>
      <c r="D2513">
        <v>7101.9999999999991</v>
      </c>
      <c r="E2513">
        <v>68213.999999999985</v>
      </c>
      <c r="F2513">
        <f t="shared" si="258"/>
        <v>9.6049000281610812</v>
      </c>
      <c r="G2513">
        <f t="shared" si="259"/>
        <v>435.67826527738663</v>
      </c>
      <c r="H2513">
        <v>1762.6</v>
      </c>
      <c r="I2513" t="s">
        <v>38</v>
      </c>
      <c r="J2513">
        <f t="shared" si="257"/>
        <v>38.858024691358025</v>
      </c>
      <c r="K2513">
        <v>9059.4442114895992</v>
      </c>
    </row>
    <row r="2514" spans="1:11" x14ac:dyDescent="0.35">
      <c r="A2514" s="1">
        <v>42856</v>
      </c>
      <c r="B2514" t="s">
        <v>10</v>
      </c>
      <c r="C2514" t="s">
        <v>38</v>
      </c>
      <c r="D2514">
        <v>6412</v>
      </c>
      <c r="E2514">
        <v>42014</v>
      </c>
      <c r="F2514">
        <f t="shared" si="258"/>
        <v>6.5524017467248905</v>
      </c>
      <c r="G2514">
        <f t="shared" si="259"/>
        <v>297.21694323144101</v>
      </c>
      <c r="H2514">
        <v>1591.825</v>
      </c>
      <c r="I2514" t="s">
        <v>38</v>
      </c>
      <c r="J2514">
        <f t="shared" si="257"/>
        <v>35.093143738977076</v>
      </c>
      <c r="K2514">
        <v>9059.4442114895992</v>
      </c>
    </row>
    <row r="2515" spans="1:11" x14ac:dyDescent="0.35">
      <c r="A2515" s="1">
        <v>42887</v>
      </c>
      <c r="B2515" t="s">
        <v>10</v>
      </c>
      <c r="C2515" t="s">
        <v>38</v>
      </c>
      <c r="D2515">
        <v>6785</v>
      </c>
      <c r="E2515">
        <v>64124</v>
      </c>
      <c r="F2515">
        <f t="shared" si="258"/>
        <v>9.450847457627118</v>
      </c>
      <c r="G2515">
        <f t="shared" si="259"/>
        <v>428.69044067796608</v>
      </c>
      <c r="H2515">
        <v>1539.8877976190479</v>
      </c>
      <c r="I2515" t="s">
        <v>38</v>
      </c>
      <c r="J2515">
        <f t="shared" si="257"/>
        <v>33.948143686486944</v>
      </c>
      <c r="K2515">
        <v>9059.4442114895992</v>
      </c>
    </row>
    <row r="2516" spans="1:11" x14ac:dyDescent="0.35">
      <c r="A2516" s="1">
        <v>42917</v>
      </c>
      <c r="B2516" t="s">
        <v>10</v>
      </c>
      <c r="C2516" t="s">
        <v>38</v>
      </c>
      <c r="D2516">
        <v>5721</v>
      </c>
      <c r="E2516">
        <v>54588.999999999993</v>
      </c>
      <c r="F2516">
        <f t="shared" si="258"/>
        <v>9.5418633106100312</v>
      </c>
      <c r="G2516">
        <f t="shared" si="259"/>
        <v>432.81891976927102</v>
      </c>
      <c r="H2516">
        <v>1393.2850260416667</v>
      </c>
      <c r="I2516" t="s">
        <v>38</v>
      </c>
      <c r="J2516">
        <f t="shared" si="257"/>
        <v>30.716160186103764</v>
      </c>
      <c r="K2516">
        <v>9059.4442114895992</v>
      </c>
    </row>
    <row r="2517" spans="1:11" x14ac:dyDescent="0.35">
      <c r="A2517" s="1">
        <v>42948</v>
      </c>
      <c r="B2517" t="s">
        <v>10</v>
      </c>
      <c r="C2517" t="s">
        <v>38</v>
      </c>
      <c r="D2517">
        <v>5201</v>
      </c>
      <c r="E2517">
        <v>55654</v>
      </c>
      <c r="F2517">
        <f t="shared" si="258"/>
        <v>10.70063449336666</v>
      </c>
      <c r="G2517">
        <f t="shared" si="259"/>
        <v>485.3807806191117</v>
      </c>
      <c r="H2517">
        <v>1416.2646875</v>
      </c>
      <c r="I2517" t="s">
        <v>38</v>
      </c>
      <c r="J2517">
        <f t="shared" si="257"/>
        <v>31.222766479276896</v>
      </c>
      <c r="K2517">
        <v>9059.4442114895992</v>
      </c>
    </row>
    <row r="2518" spans="1:11" x14ac:dyDescent="0.35">
      <c r="A2518" s="1">
        <v>42979</v>
      </c>
      <c r="B2518" t="s">
        <v>10</v>
      </c>
      <c r="C2518" t="s">
        <v>38</v>
      </c>
      <c r="D2518">
        <v>5003</v>
      </c>
      <c r="E2518">
        <v>49164</v>
      </c>
      <c r="F2518">
        <f t="shared" si="258"/>
        <v>9.8269038576853891</v>
      </c>
      <c r="G2518">
        <f t="shared" si="259"/>
        <v>445.74835898460924</v>
      </c>
      <c r="H2518">
        <v>1556.8666666666666</v>
      </c>
      <c r="I2518" t="s">
        <v>38</v>
      </c>
      <c r="J2518">
        <f t="shared" si="257"/>
        <v>34.322457378012935</v>
      </c>
      <c r="K2518">
        <v>9059.4442114895992</v>
      </c>
    </row>
    <row r="2519" spans="1:11" x14ac:dyDescent="0.35">
      <c r="A2519" s="1">
        <v>43009</v>
      </c>
      <c r="B2519" t="s">
        <v>10</v>
      </c>
      <c r="C2519" t="s">
        <v>38</v>
      </c>
      <c r="D2519">
        <v>5498.9999999999991</v>
      </c>
      <c r="E2519">
        <v>56987</v>
      </c>
      <c r="F2519">
        <f t="shared" si="258"/>
        <v>10.363156937625025</v>
      </c>
      <c r="G2519">
        <f t="shared" si="259"/>
        <v>470.07279869067111</v>
      </c>
      <c r="H2519">
        <v>2014.8402777777778</v>
      </c>
      <c r="I2519" t="s">
        <v>38</v>
      </c>
      <c r="J2519">
        <f t="shared" si="257"/>
        <v>44.418877376053302</v>
      </c>
      <c r="K2519">
        <v>9059.4442114895992</v>
      </c>
    </row>
    <row r="2520" spans="1:11" x14ac:dyDescent="0.35">
      <c r="A2520" s="1">
        <v>43040</v>
      </c>
      <c r="B2520" t="s">
        <v>10</v>
      </c>
      <c r="C2520" t="s">
        <v>38</v>
      </c>
      <c r="D2520">
        <v>6958</v>
      </c>
      <c r="E2520">
        <v>51029</v>
      </c>
      <c r="F2520">
        <f t="shared" si="258"/>
        <v>7.3338603046852544</v>
      </c>
      <c r="G2520">
        <f t="shared" si="259"/>
        <v>332.66390342052313</v>
      </c>
      <c r="H2520">
        <v>1847.1380208333335</v>
      </c>
      <c r="I2520" t="s">
        <v>38</v>
      </c>
      <c r="J2520">
        <f t="shared" si="257"/>
        <v>40.721737672692541</v>
      </c>
      <c r="K2520">
        <v>9059.4442114895992</v>
      </c>
    </row>
    <row r="2521" spans="1:11" x14ac:dyDescent="0.35">
      <c r="A2521" s="1">
        <v>43070</v>
      </c>
      <c r="B2521" t="s">
        <v>10</v>
      </c>
      <c r="C2521" t="s">
        <v>38</v>
      </c>
      <c r="D2521">
        <v>8451.9999999999982</v>
      </c>
      <c r="E2521">
        <v>84578.000000000015</v>
      </c>
      <c r="F2521">
        <f t="shared" si="258"/>
        <v>10.006862281116899</v>
      </c>
      <c r="G2521">
        <f t="shared" si="259"/>
        <v>453.91127307146252</v>
      </c>
      <c r="H2521">
        <v>1809.8035714285713</v>
      </c>
      <c r="I2521" t="s">
        <v>38</v>
      </c>
      <c r="J2521">
        <f t="shared" si="257"/>
        <v>39.898667800453516</v>
      </c>
      <c r="K2521">
        <v>9059.4442114895992</v>
      </c>
    </row>
    <row r="2522" spans="1:11" x14ac:dyDescent="0.35">
      <c r="A2522" s="1">
        <v>42736</v>
      </c>
      <c r="B2522" t="s">
        <v>11</v>
      </c>
      <c r="C2522" t="s">
        <v>38</v>
      </c>
      <c r="D2522">
        <v>25477.999999999996</v>
      </c>
      <c r="E2522">
        <v>269876.99999999994</v>
      </c>
      <c r="F2522">
        <f t="shared" si="258"/>
        <v>10.592550435669988</v>
      </c>
      <c r="G2522">
        <f t="shared" si="259"/>
        <v>480.47808776199065</v>
      </c>
      <c r="H2522">
        <v>452.05052083333328</v>
      </c>
      <c r="I2522" t="s">
        <v>38</v>
      </c>
      <c r="J2522">
        <f t="shared" si="257"/>
        <v>9.9658404063786001</v>
      </c>
      <c r="K2522">
        <v>4667.2658565265519</v>
      </c>
    </row>
    <row r="2523" spans="1:11" x14ac:dyDescent="0.35">
      <c r="A2523" s="1">
        <v>42767</v>
      </c>
      <c r="B2523" t="s">
        <v>11</v>
      </c>
      <c r="C2523" t="s">
        <v>38</v>
      </c>
      <c r="D2523">
        <v>41021</v>
      </c>
      <c r="E2523">
        <v>444989</v>
      </c>
      <c r="F2523">
        <f t="shared" si="258"/>
        <v>10.847834036225349</v>
      </c>
      <c r="G2523">
        <f t="shared" si="259"/>
        <v>492.05775188318182</v>
      </c>
      <c r="H2523">
        <v>454.70468749999998</v>
      </c>
      <c r="I2523" t="s">
        <v>38</v>
      </c>
      <c r="J2523">
        <f t="shared" si="257"/>
        <v>10.024353780864198</v>
      </c>
      <c r="K2523">
        <v>4667.2658565265519</v>
      </c>
    </row>
    <row r="2524" spans="1:11" x14ac:dyDescent="0.35">
      <c r="A2524" s="1">
        <v>42795</v>
      </c>
      <c r="B2524" t="s">
        <v>11</v>
      </c>
      <c r="C2524" t="s">
        <v>38</v>
      </c>
      <c r="D2524">
        <v>28140.999999999996</v>
      </c>
      <c r="E2524">
        <v>271044</v>
      </c>
      <c r="F2524">
        <f t="shared" si="258"/>
        <v>9.6316406666429781</v>
      </c>
      <c r="G2524">
        <f t="shared" si="259"/>
        <v>436.89122063892546</v>
      </c>
      <c r="H2524">
        <v>443.1875</v>
      </c>
      <c r="I2524" t="s">
        <v>38</v>
      </c>
      <c r="J2524">
        <f t="shared" si="257"/>
        <v>9.7704475308641978</v>
      </c>
      <c r="K2524">
        <v>4667.2658565265519</v>
      </c>
    </row>
    <row r="2525" spans="1:11" x14ac:dyDescent="0.35">
      <c r="A2525" s="1">
        <v>42826</v>
      </c>
      <c r="B2525" t="s">
        <v>11</v>
      </c>
      <c r="C2525" t="s">
        <v>38</v>
      </c>
      <c r="D2525">
        <v>28214</v>
      </c>
      <c r="E2525">
        <v>274512.00000000006</v>
      </c>
      <c r="F2525">
        <f t="shared" si="258"/>
        <v>9.7296377684837339</v>
      </c>
      <c r="G2525">
        <f t="shared" si="259"/>
        <v>441.33636917842216</v>
      </c>
      <c r="H2525">
        <v>460.0069444444444</v>
      </c>
      <c r="I2525" t="s">
        <v>38</v>
      </c>
      <c r="J2525">
        <f t="shared" si="257"/>
        <v>10.141246570644718</v>
      </c>
      <c r="K2525">
        <v>4667.2658565265519</v>
      </c>
    </row>
    <row r="2526" spans="1:11" x14ac:dyDescent="0.35">
      <c r="A2526" s="1">
        <v>42856</v>
      </c>
      <c r="B2526" t="s">
        <v>11</v>
      </c>
      <c r="C2526" t="s">
        <v>38</v>
      </c>
      <c r="D2526">
        <v>31402.000000000004</v>
      </c>
      <c r="E2526">
        <v>292789.00000000006</v>
      </c>
      <c r="F2526">
        <f t="shared" si="258"/>
        <v>9.3238965670976377</v>
      </c>
      <c r="G2526">
        <f t="shared" si="259"/>
        <v>422.93194828354882</v>
      </c>
      <c r="H2526">
        <v>662.85833333333335</v>
      </c>
      <c r="I2526" t="s">
        <v>38</v>
      </c>
      <c r="J2526">
        <f t="shared" si="257"/>
        <v>14.613278953556732</v>
      </c>
      <c r="K2526">
        <v>4667.2658565265519</v>
      </c>
    </row>
    <row r="2527" spans="1:11" x14ac:dyDescent="0.35">
      <c r="A2527" s="1">
        <v>42887</v>
      </c>
      <c r="B2527" t="s">
        <v>11</v>
      </c>
      <c r="C2527" t="s">
        <v>38</v>
      </c>
      <c r="D2527">
        <v>28745</v>
      </c>
      <c r="E2527">
        <v>275422.00000000006</v>
      </c>
      <c r="F2527">
        <f t="shared" si="258"/>
        <v>9.5815620107844861</v>
      </c>
      <c r="G2527">
        <f t="shared" si="259"/>
        <v>434.61965280918429</v>
      </c>
      <c r="H2527">
        <v>439.06406249999998</v>
      </c>
      <c r="I2527" t="s">
        <v>38</v>
      </c>
      <c r="J2527">
        <f t="shared" ref="J2527:J2557" si="260">H2527/45.36</f>
        <v>9.6795428240740744</v>
      </c>
      <c r="K2527">
        <v>4667.2658565265519</v>
      </c>
    </row>
    <row r="2528" spans="1:11" x14ac:dyDescent="0.35">
      <c r="A2528" s="1">
        <v>42917</v>
      </c>
      <c r="B2528" t="s">
        <v>11</v>
      </c>
      <c r="C2528" t="s">
        <v>38</v>
      </c>
      <c r="D2528">
        <v>25987</v>
      </c>
      <c r="E2528">
        <v>261245</v>
      </c>
      <c r="F2528">
        <f t="shared" si="258"/>
        <v>10.052911070920075</v>
      </c>
      <c r="G2528">
        <f t="shared" si="259"/>
        <v>456.00004617693457</v>
      </c>
      <c r="H2528">
        <v>431.05234374999998</v>
      </c>
      <c r="I2528" t="s">
        <v>38</v>
      </c>
      <c r="J2528">
        <f t="shared" si="260"/>
        <v>9.5029176311728385</v>
      </c>
      <c r="K2528">
        <v>4667.2658565265519</v>
      </c>
    </row>
    <row r="2529" spans="1:11" x14ac:dyDescent="0.35">
      <c r="A2529" s="1">
        <v>42948</v>
      </c>
      <c r="B2529" t="s">
        <v>11</v>
      </c>
      <c r="C2529" t="s">
        <v>38</v>
      </c>
      <c r="D2529">
        <v>28542</v>
      </c>
      <c r="E2529">
        <v>312024</v>
      </c>
      <c r="F2529">
        <f t="shared" si="258"/>
        <v>10.932100063064956</v>
      </c>
      <c r="G2529">
        <f t="shared" si="259"/>
        <v>495.88005886062638</v>
      </c>
      <c r="H2529">
        <v>424.47052083333335</v>
      </c>
      <c r="I2529" t="s">
        <v>38</v>
      </c>
      <c r="J2529">
        <f t="shared" si="260"/>
        <v>9.3578157150205765</v>
      </c>
      <c r="K2529">
        <v>4667.2658565265519</v>
      </c>
    </row>
    <row r="2530" spans="1:11" x14ac:dyDescent="0.35">
      <c r="A2530" s="1">
        <v>42979</v>
      </c>
      <c r="B2530" t="s">
        <v>11</v>
      </c>
      <c r="C2530" t="s">
        <v>38</v>
      </c>
      <c r="D2530">
        <v>30123.999999999996</v>
      </c>
      <c r="E2530">
        <v>325488</v>
      </c>
      <c r="F2530">
        <f t="shared" ref="F2530:F2581" si="261">E2530/D2530</f>
        <v>10.804939583056701</v>
      </c>
      <c r="G2530">
        <f t="shared" si="259"/>
        <v>490.11205948745192</v>
      </c>
      <c r="H2530">
        <v>463.03906250000006</v>
      </c>
      <c r="I2530" t="s">
        <v>38</v>
      </c>
      <c r="J2530">
        <f t="shared" si="260"/>
        <v>10.208092206790125</v>
      </c>
      <c r="K2530">
        <v>4667.2658565265519</v>
      </c>
    </row>
    <row r="2531" spans="1:11" x14ac:dyDescent="0.35">
      <c r="A2531" s="1">
        <v>43009</v>
      </c>
      <c r="B2531" t="s">
        <v>11</v>
      </c>
      <c r="C2531" t="s">
        <v>38</v>
      </c>
      <c r="D2531">
        <v>32544.999999999996</v>
      </c>
      <c r="E2531">
        <v>342014</v>
      </c>
      <c r="F2531">
        <f t="shared" si="261"/>
        <v>10.508956829005992</v>
      </c>
      <c r="G2531">
        <f t="shared" si="259"/>
        <v>476.6862817637118</v>
      </c>
      <c r="H2531">
        <v>509.373046875</v>
      </c>
      <c r="I2531" t="s">
        <v>38</v>
      </c>
      <c r="J2531">
        <f t="shared" si="260"/>
        <v>11.229564525462964</v>
      </c>
      <c r="K2531">
        <v>4667.2658565265519</v>
      </c>
    </row>
    <row r="2532" spans="1:11" x14ac:dyDescent="0.35">
      <c r="A2532" s="1">
        <v>43040</v>
      </c>
      <c r="B2532" t="s">
        <v>11</v>
      </c>
      <c r="C2532" t="s">
        <v>38</v>
      </c>
      <c r="D2532">
        <v>46987.000000000007</v>
      </c>
      <c r="E2532">
        <v>423541</v>
      </c>
      <c r="F2532">
        <f t="shared" si="261"/>
        <v>9.0140038734117933</v>
      </c>
      <c r="G2532">
        <f t="shared" si="259"/>
        <v>408.87521569795894</v>
      </c>
      <c r="H2532">
        <v>710.11354166666661</v>
      </c>
      <c r="I2532" t="s">
        <v>38</v>
      </c>
      <c r="J2532">
        <f t="shared" si="260"/>
        <v>15.65506044238683</v>
      </c>
      <c r="K2532">
        <v>4667.2658565265519</v>
      </c>
    </row>
    <row r="2533" spans="1:11" x14ac:dyDescent="0.35">
      <c r="A2533" s="1">
        <v>43070</v>
      </c>
      <c r="B2533" t="s">
        <v>11</v>
      </c>
      <c r="C2533" t="s">
        <v>38</v>
      </c>
      <c r="D2533">
        <v>29412.000000000004</v>
      </c>
      <c r="E2533">
        <v>338547</v>
      </c>
      <c r="F2533">
        <f t="shared" si="261"/>
        <v>11.51050591595267</v>
      </c>
      <c r="G2533">
        <f t="shared" si="259"/>
        <v>522.11654834761316</v>
      </c>
      <c r="H2533">
        <v>755.22222222222217</v>
      </c>
      <c r="I2533" t="s">
        <v>38</v>
      </c>
      <c r="J2533">
        <f t="shared" si="260"/>
        <v>16.649519890260631</v>
      </c>
      <c r="K2533">
        <v>4667.2658565265519</v>
      </c>
    </row>
    <row r="2534" spans="1:11" x14ac:dyDescent="0.35">
      <c r="A2534" s="1">
        <v>42736</v>
      </c>
      <c r="B2534" t="s">
        <v>12</v>
      </c>
      <c r="C2534" t="s">
        <v>38</v>
      </c>
      <c r="D2534">
        <v>12001</v>
      </c>
      <c r="E2534">
        <v>75988.000000000015</v>
      </c>
      <c r="F2534">
        <f t="shared" si="261"/>
        <v>6.3318056828597626</v>
      </c>
      <c r="G2534">
        <f t="shared" si="259"/>
        <v>287.21070577451883</v>
      </c>
      <c r="H2534">
        <v>1187.0711805555557</v>
      </c>
      <c r="I2534" t="s">
        <v>38</v>
      </c>
      <c r="J2534">
        <f t="shared" si="260"/>
        <v>26.169999571330592</v>
      </c>
      <c r="K2534">
        <v>1810.975530229261</v>
      </c>
    </row>
    <row r="2535" spans="1:11" x14ac:dyDescent="0.35">
      <c r="A2535" s="1">
        <v>42767</v>
      </c>
      <c r="B2535" t="s">
        <v>12</v>
      </c>
      <c r="C2535" t="s">
        <v>38</v>
      </c>
      <c r="D2535">
        <v>8957</v>
      </c>
      <c r="E2535">
        <v>55397</v>
      </c>
      <c r="F2535">
        <f t="shared" si="261"/>
        <v>6.1847716869487552</v>
      </c>
      <c r="G2535">
        <f t="shared" si="259"/>
        <v>280.54124371999552</v>
      </c>
      <c r="H2535">
        <v>1250.453125</v>
      </c>
      <c r="I2535" t="s">
        <v>38</v>
      </c>
      <c r="J2535">
        <f t="shared" si="260"/>
        <v>27.567308752204585</v>
      </c>
      <c r="K2535">
        <v>1810.975530229261</v>
      </c>
    </row>
    <row r="2536" spans="1:11" x14ac:dyDescent="0.35">
      <c r="A2536" s="1">
        <v>42795</v>
      </c>
      <c r="B2536" t="s">
        <v>12</v>
      </c>
      <c r="C2536" t="s">
        <v>38</v>
      </c>
      <c r="D2536">
        <v>14300.999999999998</v>
      </c>
      <c r="E2536">
        <v>78541</v>
      </c>
      <c r="F2536">
        <f t="shared" si="261"/>
        <v>5.4919935668834352</v>
      </c>
      <c r="G2536">
        <f t="shared" si="259"/>
        <v>249.11682819383262</v>
      </c>
      <c r="H2536">
        <v>1231.98</v>
      </c>
      <c r="I2536" t="s">
        <v>38</v>
      </c>
      <c r="J2536">
        <f t="shared" si="260"/>
        <v>27.160052910052912</v>
      </c>
      <c r="K2536">
        <v>1810.975530229261</v>
      </c>
    </row>
    <row r="2537" spans="1:11" x14ac:dyDescent="0.35">
      <c r="A2537" s="1">
        <v>42826</v>
      </c>
      <c r="B2537" t="s">
        <v>12</v>
      </c>
      <c r="C2537" t="s">
        <v>38</v>
      </c>
      <c r="D2537">
        <v>6988.9999999999982</v>
      </c>
      <c r="E2537">
        <v>47998</v>
      </c>
      <c r="F2537">
        <f t="shared" si="261"/>
        <v>6.867649162970384</v>
      </c>
      <c r="G2537">
        <f t="shared" si="259"/>
        <v>311.51656603233664</v>
      </c>
      <c r="H2537">
        <v>1204.7222222222222</v>
      </c>
      <c r="I2537" t="s">
        <v>38</v>
      </c>
      <c r="J2537">
        <f t="shared" si="260"/>
        <v>26.559131883205957</v>
      </c>
      <c r="K2537">
        <v>1810.975530229261</v>
      </c>
    </row>
    <row r="2538" spans="1:11" x14ac:dyDescent="0.35">
      <c r="A2538" s="1">
        <v>42856</v>
      </c>
      <c r="B2538" t="s">
        <v>12</v>
      </c>
      <c r="C2538" t="s">
        <v>38</v>
      </c>
      <c r="D2538">
        <v>7854</v>
      </c>
      <c r="E2538">
        <v>53479</v>
      </c>
      <c r="F2538">
        <f t="shared" si="261"/>
        <v>6.8091418385536029</v>
      </c>
      <c r="G2538">
        <f t="shared" si="259"/>
        <v>308.8626737967914</v>
      </c>
      <c r="H2538">
        <v>913.96666666666658</v>
      </c>
      <c r="I2538" t="s">
        <v>38</v>
      </c>
      <c r="J2538">
        <f t="shared" si="260"/>
        <v>20.149176954732507</v>
      </c>
      <c r="K2538">
        <v>1810.975530229261</v>
      </c>
    </row>
    <row r="2539" spans="1:11" x14ac:dyDescent="0.35">
      <c r="A2539" s="1">
        <v>42887</v>
      </c>
      <c r="B2539" t="s">
        <v>12</v>
      </c>
      <c r="C2539" t="s">
        <v>38</v>
      </c>
      <c r="D2539">
        <v>11420</v>
      </c>
      <c r="E2539">
        <v>68954</v>
      </c>
      <c r="F2539">
        <f t="shared" si="261"/>
        <v>6.0380035026269701</v>
      </c>
      <c r="G2539">
        <f t="shared" si="259"/>
        <v>273.88383887915938</v>
      </c>
      <c r="H2539">
        <v>889.67187499999989</v>
      </c>
      <c r="I2539" t="s">
        <v>38</v>
      </c>
      <c r="J2539">
        <f t="shared" si="260"/>
        <v>19.613577491181655</v>
      </c>
      <c r="K2539">
        <v>1810.975530229261</v>
      </c>
    </row>
    <row r="2540" spans="1:11" x14ac:dyDescent="0.35">
      <c r="A2540" s="1">
        <v>42917</v>
      </c>
      <c r="B2540" t="s">
        <v>12</v>
      </c>
      <c r="C2540" t="s">
        <v>38</v>
      </c>
      <c r="D2540">
        <v>9256</v>
      </c>
      <c r="E2540">
        <v>49521</v>
      </c>
      <c r="F2540">
        <f t="shared" si="261"/>
        <v>5.3501512532411413</v>
      </c>
      <c r="G2540">
        <f t="shared" si="259"/>
        <v>242.68286084701816</v>
      </c>
      <c r="H2540">
        <v>895.29464285714289</v>
      </c>
      <c r="I2540" t="s">
        <v>38</v>
      </c>
      <c r="J2540">
        <f t="shared" si="260"/>
        <v>19.737536218190982</v>
      </c>
      <c r="K2540">
        <v>1810.975530229261</v>
      </c>
    </row>
    <row r="2541" spans="1:11" x14ac:dyDescent="0.35">
      <c r="A2541" s="1">
        <v>42948</v>
      </c>
      <c r="B2541" t="s">
        <v>12</v>
      </c>
      <c r="C2541" t="s">
        <v>38</v>
      </c>
      <c r="D2541">
        <v>8759</v>
      </c>
      <c r="E2541">
        <v>75989</v>
      </c>
      <c r="F2541">
        <f t="shared" si="261"/>
        <v>8.675533736727937</v>
      </c>
      <c r="G2541">
        <f t="shared" si="259"/>
        <v>393.5222102979792</v>
      </c>
      <c r="H2541">
        <v>878.87499999999989</v>
      </c>
      <c r="I2541" t="s">
        <v>38</v>
      </c>
      <c r="J2541">
        <f t="shared" si="260"/>
        <v>19.375551146384478</v>
      </c>
      <c r="K2541">
        <v>1810.975530229261</v>
      </c>
    </row>
    <row r="2542" spans="1:11" x14ac:dyDescent="0.35">
      <c r="A2542" s="1">
        <v>42979</v>
      </c>
      <c r="B2542" t="s">
        <v>12</v>
      </c>
      <c r="C2542" t="s">
        <v>38</v>
      </c>
      <c r="D2542">
        <v>10214.000000000002</v>
      </c>
      <c r="E2542">
        <v>62154</v>
      </c>
      <c r="F2542">
        <f t="shared" si="261"/>
        <v>6.0851772077540618</v>
      </c>
      <c r="G2542">
        <f t="shared" si="259"/>
        <v>276.02363814372421</v>
      </c>
      <c r="H2542">
        <v>779.66752500000007</v>
      </c>
      <c r="I2542" t="s">
        <v>38</v>
      </c>
      <c r="J2542">
        <f t="shared" si="260"/>
        <v>17.188437500000003</v>
      </c>
      <c r="K2542">
        <v>1810.975530229261</v>
      </c>
    </row>
    <row r="2543" spans="1:11" x14ac:dyDescent="0.35">
      <c r="A2543" s="1">
        <v>43009</v>
      </c>
      <c r="B2543" t="s">
        <v>12</v>
      </c>
      <c r="C2543" t="s">
        <v>38</v>
      </c>
      <c r="D2543">
        <v>9521</v>
      </c>
      <c r="E2543">
        <v>60124</v>
      </c>
      <c r="F2543">
        <f t="shared" si="261"/>
        <v>6.3148828904526839</v>
      </c>
      <c r="G2543">
        <f t="shared" si="259"/>
        <v>286.44308791093374</v>
      </c>
      <c r="H2543">
        <v>828.36458333333337</v>
      </c>
      <c r="I2543" t="s">
        <v>38</v>
      </c>
      <c r="J2543">
        <f t="shared" si="260"/>
        <v>18.262005805408585</v>
      </c>
      <c r="K2543">
        <v>1810.975530229261</v>
      </c>
    </row>
    <row r="2544" spans="1:11" x14ac:dyDescent="0.35">
      <c r="A2544" s="1">
        <v>43040</v>
      </c>
      <c r="B2544" t="s">
        <v>12</v>
      </c>
      <c r="C2544" t="s">
        <v>38</v>
      </c>
      <c r="D2544">
        <v>11569</v>
      </c>
      <c r="E2544">
        <v>75019</v>
      </c>
      <c r="F2544">
        <f t="shared" si="261"/>
        <v>6.4844843979600659</v>
      </c>
      <c r="G2544">
        <f t="shared" si="259"/>
        <v>294.13621229146861</v>
      </c>
      <c r="H2544">
        <v>905.75937499999998</v>
      </c>
      <c r="I2544" t="s">
        <v>38</v>
      </c>
      <c r="J2544">
        <f t="shared" si="260"/>
        <v>19.968240189594358</v>
      </c>
      <c r="K2544">
        <v>1810.975530229261</v>
      </c>
    </row>
    <row r="2545" spans="1:11" x14ac:dyDescent="0.35">
      <c r="A2545" s="1">
        <v>43070</v>
      </c>
      <c r="B2545" t="s">
        <v>12</v>
      </c>
      <c r="C2545" t="s">
        <v>38</v>
      </c>
      <c r="D2545">
        <v>13452</v>
      </c>
      <c r="E2545">
        <v>95478</v>
      </c>
      <c r="F2545">
        <f t="shared" si="261"/>
        <v>7.0976806422836756</v>
      </c>
      <c r="G2545">
        <f t="shared" si="259"/>
        <v>321.95079393398754</v>
      </c>
      <c r="H2545">
        <v>952.24999999999989</v>
      </c>
      <c r="I2545" t="s">
        <v>38</v>
      </c>
      <c r="J2545">
        <f t="shared" si="260"/>
        <v>20.993165784832449</v>
      </c>
      <c r="K2545">
        <v>1810.9755302292599</v>
      </c>
    </row>
    <row r="2546" spans="1:11" x14ac:dyDescent="0.35">
      <c r="A2546" s="1">
        <v>42736</v>
      </c>
      <c r="B2546" t="s">
        <v>13</v>
      </c>
      <c r="C2546" t="s">
        <v>38</v>
      </c>
      <c r="D2546">
        <v>6541</v>
      </c>
      <c r="E2546">
        <v>55486.999999999993</v>
      </c>
      <c r="F2546">
        <f t="shared" si="261"/>
        <v>8.482953676807826</v>
      </c>
      <c r="G2546">
        <f t="shared" si="259"/>
        <v>384.78677878000298</v>
      </c>
      <c r="H2546">
        <v>969.48214285714289</v>
      </c>
      <c r="I2546" t="s">
        <v>38</v>
      </c>
      <c r="J2546">
        <f t="shared" si="260"/>
        <v>21.373063114134542</v>
      </c>
      <c r="K2546">
        <v>8788.4318764689979</v>
      </c>
    </row>
    <row r="2547" spans="1:11" x14ac:dyDescent="0.35">
      <c r="A2547" s="1">
        <v>42767</v>
      </c>
      <c r="B2547" t="s">
        <v>13</v>
      </c>
      <c r="C2547" t="s">
        <v>38</v>
      </c>
      <c r="D2547">
        <v>5621</v>
      </c>
      <c r="E2547">
        <v>47501</v>
      </c>
      <c r="F2547">
        <f t="shared" si="261"/>
        <v>8.4506315602206019</v>
      </c>
      <c r="G2547">
        <f t="shared" si="259"/>
        <v>383.32064757160651</v>
      </c>
      <c r="H2547">
        <v>844.44642857142856</v>
      </c>
      <c r="I2547" t="s">
        <v>38</v>
      </c>
      <c r="J2547">
        <f t="shared" si="260"/>
        <v>18.616543839758126</v>
      </c>
      <c r="K2547">
        <v>8788.4318764689979</v>
      </c>
    </row>
    <row r="2548" spans="1:11" x14ac:dyDescent="0.35">
      <c r="A2548" s="1">
        <v>42795</v>
      </c>
      <c r="B2548" t="s">
        <v>13</v>
      </c>
      <c r="C2548" t="s">
        <v>38</v>
      </c>
      <c r="D2548">
        <v>5982.0000000000009</v>
      </c>
      <c r="E2548">
        <v>56213.999999999993</v>
      </c>
      <c r="F2548">
        <f t="shared" si="261"/>
        <v>9.3971915747241699</v>
      </c>
      <c r="G2548">
        <f t="shared" ref="G2548:G2611" si="262">F2548*45.36</f>
        <v>426.25660982948835</v>
      </c>
      <c r="H2548">
        <v>783.96666666666658</v>
      </c>
      <c r="I2548" t="s">
        <v>38</v>
      </c>
      <c r="J2548">
        <f t="shared" si="260"/>
        <v>17.283215755437976</v>
      </c>
      <c r="K2548">
        <v>8788.4318764689979</v>
      </c>
    </row>
    <row r="2549" spans="1:11" x14ac:dyDescent="0.35">
      <c r="A2549" s="1">
        <v>42826</v>
      </c>
      <c r="B2549" t="s">
        <v>13</v>
      </c>
      <c r="C2549" t="s">
        <v>38</v>
      </c>
      <c r="D2549">
        <v>4752</v>
      </c>
      <c r="E2549">
        <v>47012</v>
      </c>
      <c r="F2549">
        <f t="shared" si="261"/>
        <v>9.8930976430976436</v>
      </c>
      <c r="G2549">
        <f t="shared" si="262"/>
        <v>448.75090909090909</v>
      </c>
      <c r="H2549">
        <v>594.33400000000006</v>
      </c>
      <c r="I2549" t="s">
        <v>38</v>
      </c>
      <c r="J2549">
        <f t="shared" si="260"/>
        <v>13.102601410934746</v>
      </c>
      <c r="K2549">
        <v>8788.4318764689979</v>
      </c>
    </row>
    <row r="2550" spans="1:11" x14ac:dyDescent="0.35">
      <c r="A2550" s="1">
        <v>42856</v>
      </c>
      <c r="B2550" t="s">
        <v>13</v>
      </c>
      <c r="C2550" t="s">
        <v>38</v>
      </c>
      <c r="D2550">
        <v>4215</v>
      </c>
      <c r="E2550">
        <v>48123.999999999993</v>
      </c>
      <c r="F2550">
        <f t="shared" si="261"/>
        <v>11.417319098457886</v>
      </c>
      <c r="G2550">
        <f t="shared" si="262"/>
        <v>517.88959430604973</v>
      </c>
      <c r="H2550">
        <v>567.9133333333333</v>
      </c>
      <c r="I2550" t="s">
        <v>38</v>
      </c>
      <c r="J2550">
        <f t="shared" si="260"/>
        <v>12.520135214579659</v>
      </c>
      <c r="K2550">
        <v>8788.4318764689979</v>
      </c>
    </row>
    <row r="2551" spans="1:11" x14ac:dyDescent="0.35">
      <c r="A2551" s="1">
        <v>42887</v>
      </c>
      <c r="B2551" t="s">
        <v>13</v>
      </c>
      <c r="C2551" t="s">
        <v>38</v>
      </c>
      <c r="D2551">
        <v>8012</v>
      </c>
      <c r="E2551">
        <v>54211</v>
      </c>
      <c r="F2551">
        <f t="shared" si="261"/>
        <v>6.7662256615077387</v>
      </c>
      <c r="G2551">
        <f t="shared" si="262"/>
        <v>306.91599600599102</v>
      </c>
      <c r="H2551">
        <v>704.08333333333337</v>
      </c>
      <c r="I2551" t="s">
        <v>38</v>
      </c>
      <c r="J2551">
        <f t="shared" si="260"/>
        <v>15.522119341563787</v>
      </c>
      <c r="K2551">
        <v>8788.4318764689979</v>
      </c>
    </row>
    <row r="2552" spans="1:11" x14ac:dyDescent="0.35">
      <c r="A2552" s="1">
        <v>42917</v>
      </c>
      <c r="B2552" t="s">
        <v>13</v>
      </c>
      <c r="C2552" t="s">
        <v>38</v>
      </c>
      <c r="D2552">
        <v>4852</v>
      </c>
      <c r="E2552">
        <v>47899</v>
      </c>
      <c r="F2552">
        <f t="shared" si="261"/>
        <v>9.8720115416323164</v>
      </c>
      <c r="G2552">
        <f t="shared" si="262"/>
        <v>447.79444352844189</v>
      </c>
      <c r="H2552">
        <v>733.42857142857144</v>
      </c>
      <c r="I2552" t="s">
        <v>38</v>
      </c>
      <c r="J2552">
        <f t="shared" si="260"/>
        <v>16.169060216679267</v>
      </c>
      <c r="K2552">
        <v>8788.4318764689979</v>
      </c>
    </row>
    <row r="2553" spans="1:11" x14ac:dyDescent="0.35">
      <c r="A2553" s="1">
        <v>42948</v>
      </c>
      <c r="B2553" t="s">
        <v>13</v>
      </c>
      <c r="C2553" t="s">
        <v>38</v>
      </c>
      <c r="D2553">
        <v>4562</v>
      </c>
      <c r="E2553">
        <v>45210</v>
      </c>
      <c r="F2553">
        <f t="shared" si="261"/>
        <v>9.9101271372205169</v>
      </c>
      <c r="G2553">
        <f t="shared" si="262"/>
        <v>449.52336694432262</v>
      </c>
      <c r="H2553">
        <v>833.37946428571433</v>
      </c>
      <c r="I2553" t="s">
        <v>38</v>
      </c>
      <c r="J2553">
        <f t="shared" si="260"/>
        <v>18.372563145628622</v>
      </c>
      <c r="K2553">
        <v>8788.4318764689979</v>
      </c>
    </row>
    <row r="2554" spans="1:11" x14ac:dyDescent="0.35">
      <c r="A2554" s="1">
        <v>42979</v>
      </c>
      <c r="B2554" t="s">
        <v>13</v>
      </c>
      <c r="C2554" t="s">
        <v>38</v>
      </c>
      <c r="D2554">
        <v>3925</v>
      </c>
      <c r="E2554">
        <v>36214</v>
      </c>
      <c r="F2554">
        <f t="shared" si="261"/>
        <v>9.2264968152866249</v>
      </c>
      <c r="G2554">
        <f t="shared" si="262"/>
        <v>418.51389554140133</v>
      </c>
      <c r="H2554">
        <v>766.72529761904752</v>
      </c>
      <c r="I2554" t="s">
        <v>38</v>
      </c>
      <c r="J2554">
        <f t="shared" si="260"/>
        <v>16.903115026874946</v>
      </c>
      <c r="K2554">
        <v>8788.4318764689979</v>
      </c>
    </row>
    <row r="2555" spans="1:11" x14ac:dyDescent="0.35">
      <c r="A2555" s="1">
        <v>43009</v>
      </c>
      <c r="B2555" t="s">
        <v>13</v>
      </c>
      <c r="C2555" t="s">
        <v>38</v>
      </c>
      <c r="D2555">
        <v>3214</v>
      </c>
      <c r="E2555">
        <v>32547</v>
      </c>
      <c r="F2555">
        <f t="shared" si="261"/>
        <v>10.126633478531424</v>
      </c>
      <c r="G2555">
        <f t="shared" si="262"/>
        <v>459.34409458618541</v>
      </c>
      <c r="H2555">
        <v>798.23854166666672</v>
      </c>
      <c r="I2555" t="s">
        <v>38</v>
      </c>
      <c r="J2555">
        <f t="shared" si="260"/>
        <v>17.597851447677836</v>
      </c>
      <c r="K2555">
        <v>8788.4318764689979</v>
      </c>
    </row>
    <row r="2556" spans="1:11" x14ac:dyDescent="0.35">
      <c r="A2556" s="1">
        <v>43040</v>
      </c>
      <c r="B2556" t="s">
        <v>13</v>
      </c>
      <c r="C2556" t="s">
        <v>38</v>
      </c>
      <c r="D2556">
        <v>6021</v>
      </c>
      <c r="E2556">
        <v>34526</v>
      </c>
      <c r="F2556">
        <f t="shared" si="261"/>
        <v>5.7342634113934565</v>
      </c>
      <c r="G2556">
        <f t="shared" si="262"/>
        <v>260.10618834080719</v>
      </c>
      <c r="H2556">
        <v>703.99266666666654</v>
      </c>
      <c r="I2556" t="s">
        <v>38</v>
      </c>
      <c r="J2556">
        <f t="shared" si="260"/>
        <v>15.520120517342736</v>
      </c>
      <c r="K2556">
        <v>8788.4318764689979</v>
      </c>
    </row>
    <row r="2557" spans="1:11" x14ac:dyDescent="0.35">
      <c r="A2557" s="1">
        <v>43070</v>
      </c>
      <c r="B2557" t="s">
        <v>13</v>
      </c>
      <c r="C2557" t="s">
        <v>38</v>
      </c>
      <c r="D2557">
        <v>7411.9999999999991</v>
      </c>
      <c r="E2557">
        <v>45221</v>
      </c>
      <c r="F2557">
        <f t="shared" si="261"/>
        <v>6.1010523475445231</v>
      </c>
      <c r="G2557">
        <f t="shared" si="262"/>
        <v>276.74373448461955</v>
      </c>
      <c r="H2557">
        <v>692.57291666666663</v>
      </c>
      <c r="I2557" t="s">
        <v>38</v>
      </c>
      <c r="J2557">
        <f t="shared" si="260"/>
        <v>15.268362360376249</v>
      </c>
      <c r="K2557">
        <v>8788.4318764689979</v>
      </c>
    </row>
    <row r="2558" spans="1:11" x14ac:dyDescent="0.35">
      <c r="A2558" s="1">
        <v>42736</v>
      </c>
      <c r="B2558" t="s">
        <v>14</v>
      </c>
      <c r="C2558" t="s">
        <v>38</v>
      </c>
      <c r="D2558">
        <v>67214</v>
      </c>
      <c r="E2558">
        <v>1183848</v>
      </c>
      <c r="F2558">
        <f t="shared" si="261"/>
        <v>17.613116315053411</v>
      </c>
      <c r="G2558">
        <f t="shared" si="262"/>
        <v>798.93095605082272</v>
      </c>
      <c r="H2558">
        <v>8361.1875</v>
      </c>
      <c r="I2558" t="s">
        <v>40</v>
      </c>
      <c r="J2558">
        <f>(H2558/1000)/0.56234</f>
        <v>14.868562613365581</v>
      </c>
      <c r="K2558">
        <v>7106.9649214587162</v>
      </c>
    </row>
    <row r="2559" spans="1:11" x14ac:dyDescent="0.35">
      <c r="A2559" s="1">
        <v>42767</v>
      </c>
      <c r="B2559" t="s">
        <v>14</v>
      </c>
      <c r="C2559" t="s">
        <v>38</v>
      </c>
      <c r="D2559">
        <v>92144</v>
      </c>
      <c r="E2559">
        <v>1918763.9999999995</v>
      </c>
      <c r="F2559">
        <f t="shared" si="261"/>
        <v>20.823537072408399</v>
      </c>
      <c r="G2559">
        <f t="shared" si="262"/>
        <v>944.55564160444499</v>
      </c>
      <c r="H2559">
        <v>12288.694444444445</v>
      </c>
      <c r="I2559" t="s">
        <v>40</v>
      </c>
      <c r="J2559">
        <f t="shared" ref="J2559:J2569" si="263">(H2559/1000)/0.56234</f>
        <v>21.852783804183318</v>
      </c>
      <c r="K2559">
        <v>7106.9649214587162</v>
      </c>
    </row>
    <row r="2560" spans="1:11" x14ac:dyDescent="0.35">
      <c r="A2560" s="1">
        <v>42795</v>
      </c>
      <c r="B2560" t="s">
        <v>14</v>
      </c>
      <c r="C2560" t="s">
        <v>38</v>
      </c>
      <c r="D2560">
        <v>70875</v>
      </c>
      <c r="E2560">
        <v>1111164.0000000005</v>
      </c>
      <c r="F2560">
        <f t="shared" si="261"/>
        <v>15.677798941798949</v>
      </c>
      <c r="G2560">
        <f t="shared" si="262"/>
        <v>711.14496000000031</v>
      </c>
      <c r="H2560">
        <v>21791.666666666672</v>
      </c>
      <c r="I2560" t="s">
        <v>40</v>
      </c>
      <c r="J2560">
        <f t="shared" si="263"/>
        <v>38.751763464570672</v>
      </c>
      <c r="K2560">
        <v>7106.9649214587162</v>
      </c>
    </row>
    <row r="2561" spans="1:12" x14ac:dyDescent="0.35">
      <c r="A2561" s="1">
        <v>42826</v>
      </c>
      <c r="B2561" t="s">
        <v>14</v>
      </c>
      <c r="C2561" t="s">
        <v>38</v>
      </c>
      <c r="D2561">
        <v>13894.999999999998</v>
      </c>
      <c r="E2561">
        <v>179856</v>
      </c>
      <c r="F2561">
        <f t="shared" si="261"/>
        <v>12.94393666786614</v>
      </c>
      <c r="G2561">
        <f t="shared" si="262"/>
        <v>587.13696725440809</v>
      </c>
      <c r="H2561">
        <v>22651.67</v>
      </c>
      <c r="I2561" t="s">
        <v>40</v>
      </c>
      <c r="J2561">
        <f t="shared" si="263"/>
        <v>40.281093288757695</v>
      </c>
      <c r="K2561">
        <v>7106.9649214587162</v>
      </c>
    </row>
    <row r="2562" spans="1:12" x14ac:dyDescent="0.35">
      <c r="A2562" s="1">
        <v>42856</v>
      </c>
      <c r="B2562" t="s">
        <v>14</v>
      </c>
      <c r="C2562" t="s">
        <v>38</v>
      </c>
      <c r="D2562">
        <v>11546.999999999998</v>
      </c>
      <c r="E2562">
        <v>334752</v>
      </c>
      <c r="F2562">
        <f t="shared" si="261"/>
        <v>28.990387113535988</v>
      </c>
      <c r="G2562">
        <f t="shared" si="262"/>
        <v>1315.0039594699924</v>
      </c>
      <c r="H2562">
        <v>2812.5</v>
      </c>
      <c r="I2562" t="s">
        <v>40</v>
      </c>
      <c r="J2562">
        <f t="shared" si="263"/>
        <v>5.0014226268805357</v>
      </c>
      <c r="K2562">
        <v>7106.9649214587162</v>
      </c>
    </row>
    <row r="2563" spans="1:12" x14ac:dyDescent="0.35">
      <c r="A2563" s="1">
        <v>42887</v>
      </c>
      <c r="B2563" t="s">
        <v>14</v>
      </c>
      <c r="C2563" t="s">
        <v>38</v>
      </c>
      <c r="D2563">
        <v>42514</v>
      </c>
      <c r="E2563">
        <v>1125504</v>
      </c>
      <c r="F2563">
        <f t="shared" si="261"/>
        <v>26.473726301924071</v>
      </c>
      <c r="G2563">
        <f t="shared" si="262"/>
        <v>1200.8482250552759</v>
      </c>
      <c r="H2563">
        <v>15590.025000000001</v>
      </c>
      <c r="I2563" t="s">
        <v>40</v>
      </c>
      <c r="J2563">
        <f t="shared" si="263"/>
        <v>27.723485791514033</v>
      </c>
      <c r="K2563">
        <v>7106.9649214587162</v>
      </c>
    </row>
    <row r="2564" spans="1:12" x14ac:dyDescent="0.35">
      <c r="A2564" s="1">
        <v>42917</v>
      </c>
      <c r="B2564" t="s">
        <v>14</v>
      </c>
      <c r="C2564" t="s">
        <v>38</v>
      </c>
      <c r="D2564">
        <v>31245.000000000004</v>
      </c>
      <c r="E2564">
        <v>1090308</v>
      </c>
      <c r="F2564">
        <f t="shared" si="261"/>
        <v>34.895439270283241</v>
      </c>
      <c r="G2564">
        <f t="shared" si="262"/>
        <v>1582.8571253000478</v>
      </c>
      <c r="H2564">
        <v>10420.226999999999</v>
      </c>
      <c r="I2564" t="s">
        <v>40</v>
      </c>
      <c r="J2564">
        <f t="shared" si="263"/>
        <v>18.530118789344524</v>
      </c>
      <c r="K2564">
        <v>7106.9649214587162</v>
      </c>
    </row>
    <row r="2565" spans="1:12" x14ac:dyDescent="0.35">
      <c r="A2565" s="1">
        <v>42948</v>
      </c>
      <c r="B2565" t="s">
        <v>14</v>
      </c>
      <c r="C2565" t="s">
        <v>38</v>
      </c>
      <c r="D2565">
        <v>51024</v>
      </c>
      <c r="E2565">
        <v>1358940</v>
      </c>
      <c r="F2565">
        <f t="shared" si="261"/>
        <v>26.633349012229537</v>
      </c>
      <c r="G2565">
        <f t="shared" si="262"/>
        <v>1208.0887111947318</v>
      </c>
      <c r="H2565">
        <v>6800</v>
      </c>
      <c r="I2565" t="s">
        <v>40</v>
      </c>
      <c r="J2565">
        <f t="shared" si="263"/>
        <v>12.092328484546716</v>
      </c>
      <c r="K2565">
        <v>7106.9649214587162</v>
      </c>
    </row>
    <row r="2566" spans="1:12" x14ac:dyDescent="0.35">
      <c r="A2566" s="1">
        <v>42979</v>
      </c>
      <c r="B2566" t="s">
        <v>14</v>
      </c>
      <c r="C2566" t="s">
        <v>38</v>
      </c>
      <c r="D2566">
        <v>72144</v>
      </c>
      <c r="E2566">
        <v>1625844</v>
      </c>
      <c r="F2566">
        <f t="shared" si="261"/>
        <v>22.536094477711245</v>
      </c>
      <c r="G2566">
        <f t="shared" si="262"/>
        <v>1022.237245508982</v>
      </c>
      <c r="H2566">
        <v>6349.9409999999998</v>
      </c>
      <c r="I2566" t="s">
        <v>40</v>
      </c>
      <c r="J2566">
        <f t="shared" si="263"/>
        <v>11.29199594551339</v>
      </c>
      <c r="K2566">
        <v>7106.9649214587162</v>
      </c>
    </row>
    <row r="2567" spans="1:12" x14ac:dyDescent="0.35">
      <c r="A2567" s="1">
        <v>43009</v>
      </c>
      <c r="B2567" t="s">
        <v>14</v>
      </c>
      <c r="C2567" t="s">
        <v>38</v>
      </c>
      <c r="D2567">
        <v>79853.999999999985</v>
      </c>
      <c r="E2567">
        <v>1850892</v>
      </c>
      <c r="F2567">
        <f t="shared" si="261"/>
        <v>23.178450672477275</v>
      </c>
      <c r="G2567">
        <f t="shared" si="262"/>
        <v>1051.3745225035691</v>
      </c>
      <c r="H2567">
        <v>6469.7669999999998</v>
      </c>
      <c r="I2567" t="s">
        <v>40</v>
      </c>
      <c r="J2567">
        <f t="shared" si="263"/>
        <v>11.505080556247112</v>
      </c>
      <c r="K2567">
        <v>7106.9649214587162</v>
      </c>
    </row>
    <row r="2568" spans="1:12" x14ac:dyDescent="0.35">
      <c r="A2568" s="1">
        <v>43040</v>
      </c>
      <c r="B2568" t="s">
        <v>14</v>
      </c>
      <c r="C2568" t="s">
        <v>38</v>
      </c>
      <c r="D2568">
        <v>64251.000000000007</v>
      </c>
      <c r="E2568">
        <v>947820</v>
      </c>
      <c r="F2568">
        <f t="shared" si="261"/>
        <v>14.751832656301067</v>
      </c>
      <c r="G2568">
        <f t="shared" si="262"/>
        <v>669.14312928981644</v>
      </c>
      <c r="H2568">
        <v>7564.8749007936512</v>
      </c>
      <c r="I2568" t="s">
        <v>40</v>
      </c>
      <c r="J2568">
        <f t="shared" si="263"/>
        <v>13.452492977191115</v>
      </c>
      <c r="K2568">
        <v>7106.9649214587162</v>
      </c>
    </row>
    <row r="2569" spans="1:12" x14ac:dyDescent="0.35">
      <c r="A2569" s="1">
        <v>43070</v>
      </c>
      <c r="B2569" t="s">
        <v>14</v>
      </c>
      <c r="C2569" t="s">
        <v>38</v>
      </c>
      <c r="D2569">
        <v>66497.999999999985</v>
      </c>
      <c r="E2569">
        <v>1330776</v>
      </c>
      <c r="F2569">
        <f t="shared" si="261"/>
        <v>20.012271045745742</v>
      </c>
      <c r="G2569">
        <f t="shared" si="262"/>
        <v>907.75661463502684</v>
      </c>
      <c r="H2569">
        <v>8422.8333333333339</v>
      </c>
      <c r="I2569" t="s">
        <v>40</v>
      </c>
      <c r="J2569">
        <f t="shared" si="263"/>
        <v>14.9781863878318</v>
      </c>
      <c r="K2569">
        <v>7106.9649214587162</v>
      </c>
    </row>
    <row r="2570" spans="1:12" x14ac:dyDescent="0.35">
      <c r="A2570" s="1">
        <v>42736</v>
      </c>
      <c r="B2570" t="s">
        <v>15</v>
      </c>
      <c r="C2570" t="s">
        <v>38</v>
      </c>
      <c r="D2570">
        <v>399457</v>
      </c>
      <c r="E2570">
        <v>1820265.5999999994</v>
      </c>
      <c r="F2570">
        <f t="shared" si="261"/>
        <v>4.5568499237715185</v>
      </c>
      <c r="G2570">
        <f t="shared" si="262"/>
        <v>206.69871254227607</v>
      </c>
      <c r="H2570">
        <v>140.19791666666669</v>
      </c>
      <c r="I2570" t="s">
        <v>58</v>
      </c>
      <c r="J2570">
        <f>H2570/27.21</f>
        <v>5.1524408918289852</v>
      </c>
      <c r="K2570">
        <f>$L$2570+$L$2571</f>
        <v>32851.801352371498</v>
      </c>
      <c r="L2570">
        <v>19887.003946185749</v>
      </c>
    </row>
    <row r="2571" spans="1:12" x14ac:dyDescent="0.35">
      <c r="A2571" s="1">
        <v>42767</v>
      </c>
      <c r="B2571" t="s">
        <v>15</v>
      </c>
      <c r="C2571" t="s">
        <v>38</v>
      </c>
      <c r="D2571">
        <v>442104</v>
      </c>
      <c r="E2571">
        <v>1980744.5999999999</v>
      </c>
      <c r="F2571">
        <f t="shared" si="261"/>
        <v>4.4802684436241247</v>
      </c>
      <c r="G2571">
        <f t="shared" si="262"/>
        <v>203.22497660279029</v>
      </c>
      <c r="H2571">
        <v>146.83854166666669</v>
      </c>
      <c r="I2571" t="s">
        <v>58</v>
      </c>
      <c r="J2571">
        <f t="shared" ref="J2571:J2582" si="264">H2571/27.21</f>
        <v>5.396491792233248</v>
      </c>
      <c r="K2571">
        <f t="shared" ref="K2571:K2581" si="265">$L$2570+$L$2571</f>
        <v>32851.801352371498</v>
      </c>
      <c r="L2571">
        <v>12964.797406185751</v>
      </c>
    </row>
    <row r="2572" spans="1:12" x14ac:dyDescent="0.35">
      <c r="A2572" s="1">
        <v>42795</v>
      </c>
      <c r="B2572" t="s">
        <v>15</v>
      </c>
      <c r="C2572" t="s">
        <v>38</v>
      </c>
      <c r="D2572">
        <v>472154.00000000006</v>
      </c>
      <c r="E2572">
        <v>2194690.1999999997</v>
      </c>
      <c r="F2572">
        <f t="shared" si="261"/>
        <v>4.6482507825836477</v>
      </c>
      <c r="G2572">
        <f t="shared" si="262"/>
        <v>210.84465549799427</v>
      </c>
      <c r="H2572">
        <v>141.74266666666668</v>
      </c>
      <c r="I2572" t="s">
        <v>58</v>
      </c>
      <c r="J2572">
        <f t="shared" si="264"/>
        <v>5.2092122993997307</v>
      </c>
      <c r="K2572">
        <f t="shared" si="265"/>
        <v>32851.801352371498</v>
      </c>
    </row>
    <row r="2573" spans="1:12" x14ac:dyDescent="0.35">
      <c r="A2573" s="1">
        <v>42826</v>
      </c>
      <c r="B2573" t="s">
        <v>15</v>
      </c>
      <c r="C2573" t="s">
        <v>38</v>
      </c>
      <c r="D2573">
        <v>462511.00000000006</v>
      </c>
      <c r="E2573">
        <v>2259251.4</v>
      </c>
      <c r="F2573">
        <f t="shared" si="261"/>
        <v>4.8847517140132872</v>
      </c>
      <c r="G2573">
        <f t="shared" si="262"/>
        <v>221.57233774764271</v>
      </c>
      <c r="H2573">
        <v>139.71666666666667</v>
      </c>
      <c r="I2573" t="s">
        <v>58</v>
      </c>
      <c r="J2573">
        <f t="shared" si="264"/>
        <v>5.134754379517334</v>
      </c>
      <c r="K2573">
        <f t="shared" si="265"/>
        <v>32851.801352371498</v>
      </c>
    </row>
    <row r="2574" spans="1:12" x14ac:dyDescent="0.35">
      <c r="A2574" s="1">
        <v>42856</v>
      </c>
      <c r="B2574" t="s">
        <v>15</v>
      </c>
      <c r="C2574" t="s">
        <v>38</v>
      </c>
      <c r="D2574">
        <v>485124</v>
      </c>
      <c r="E2574">
        <v>2185533</v>
      </c>
      <c r="F2574">
        <f t="shared" si="261"/>
        <v>4.5051017884087363</v>
      </c>
      <c r="G2574">
        <f t="shared" si="262"/>
        <v>204.35141712222028</v>
      </c>
      <c r="H2574">
        <v>156.87916666666666</v>
      </c>
      <c r="I2574" t="s">
        <v>58</v>
      </c>
      <c r="J2574">
        <f t="shared" si="264"/>
        <v>5.7654967536444932</v>
      </c>
      <c r="K2574">
        <f t="shared" si="265"/>
        <v>32851.801352371498</v>
      </c>
    </row>
    <row r="2575" spans="1:12" x14ac:dyDescent="0.35">
      <c r="A2575" s="1">
        <v>42887</v>
      </c>
      <c r="B2575" t="s">
        <v>15</v>
      </c>
      <c r="C2575" t="s">
        <v>38</v>
      </c>
      <c r="D2575">
        <v>458788</v>
      </c>
      <c r="E2575">
        <v>2339906.9999999995</v>
      </c>
      <c r="F2575">
        <f t="shared" si="261"/>
        <v>5.1001922456559443</v>
      </c>
      <c r="G2575">
        <f t="shared" si="262"/>
        <v>231.34472026295364</v>
      </c>
      <c r="H2575">
        <v>158.3203125</v>
      </c>
      <c r="I2575" t="s">
        <v>58</v>
      </c>
      <c r="J2575">
        <f t="shared" si="264"/>
        <v>5.8184605843439909</v>
      </c>
      <c r="K2575">
        <f t="shared" si="265"/>
        <v>32851.801352371498</v>
      </c>
    </row>
    <row r="2576" spans="1:12" x14ac:dyDescent="0.35">
      <c r="A2576" s="1">
        <v>42917</v>
      </c>
      <c r="B2576" t="s">
        <v>15</v>
      </c>
      <c r="C2576" t="s">
        <v>38</v>
      </c>
      <c r="D2576">
        <v>456245.00000000006</v>
      </c>
      <c r="E2576">
        <v>2399251.1999999997</v>
      </c>
      <c r="F2576">
        <f t="shared" si="261"/>
        <v>5.2586903966070846</v>
      </c>
      <c r="G2576">
        <f t="shared" si="262"/>
        <v>238.53419639009735</v>
      </c>
      <c r="H2576">
        <v>147.90476190476193</v>
      </c>
      <c r="I2576" t="s">
        <v>58</v>
      </c>
      <c r="J2576">
        <f t="shared" si="264"/>
        <v>5.4356766594914339</v>
      </c>
      <c r="K2576">
        <f t="shared" si="265"/>
        <v>32851.801352371498</v>
      </c>
    </row>
    <row r="2577" spans="1:12" x14ac:dyDescent="0.35">
      <c r="A2577" s="1">
        <v>42948</v>
      </c>
      <c r="B2577" t="s">
        <v>15</v>
      </c>
      <c r="C2577" t="s">
        <v>38</v>
      </c>
      <c r="D2577">
        <v>445891</v>
      </c>
      <c r="E2577">
        <v>2339399.4</v>
      </c>
      <c r="F2577">
        <f t="shared" si="261"/>
        <v>5.2465723685833527</v>
      </c>
      <c r="G2577">
        <f t="shared" si="262"/>
        <v>237.98452263894089</v>
      </c>
      <c r="H2577">
        <v>149.69062500000001</v>
      </c>
      <c r="I2577" t="s">
        <v>58</v>
      </c>
      <c r="J2577">
        <f t="shared" si="264"/>
        <v>5.5013092613009924</v>
      </c>
      <c r="K2577">
        <f t="shared" si="265"/>
        <v>32851.801352371498</v>
      </c>
    </row>
    <row r="2578" spans="1:12" x14ac:dyDescent="0.35">
      <c r="A2578" s="1">
        <v>42979</v>
      </c>
      <c r="B2578" t="s">
        <v>15</v>
      </c>
      <c r="C2578" t="s">
        <v>38</v>
      </c>
      <c r="D2578">
        <v>415125</v>
      </c>
      <c r="E2578">
        <v>1980612.5999999999</v>
      </c>
      <c r="F2578">
        <f t="shared" si="261"/>
        <v>4.7711233965672983</v>
      </c>
      <c r="G2578">
        <f t="shared" si="262"/>
        <v>216.41815726829265</v>
      </c>
      <c r="H2578">
        <v>142.96488095238095</v>
      </c>
      <c r="I2578" t="s">
        <v>58</v>
      </c>
      <c r="J2578">
        <f t="shared" si="264"/>
        <v>5.2541301342293627</v>
      </c>
      <c r="K2578">
        <f t="shared" si="265"/>
        <v>32851.801352371498</v>
      </c>
    </row>
    <row r="2579" spans="1:12" x14ac:dyDescent="0.35">
      <c r="A2579" s="1">
        <v>43009</v>
      </c>
      <c r="B2579" t="s">
        <v>15</v>
      </c>
      <c r="C2579" t="s">
        <v>38</v>
      </c>
      <c r="D2579">
        <v>418587.00000000006</v>
      </c>
      <c r="E2579">
        <v>2292627</v>
      </c>
      <c r="F2579">
        <f t="shared" si="261"/>
        <v>5.477062116119229</v>
      </c>
      <c r="G2579">
        <f t="shared" si="262"/>
        <v>248.43953758716822</v>
      </c>
      <c r="H2579">
        <v>150.77083333333331</v>
      </c>
      <c r="I2579" t="s">
        <v>58</v>
      </c>
      <c r="J2579">
        <f t="shared" si="264"/>
        <v>5.541008207766752</v>
      </c>
      <c r="K2579">
        <f t="shared" si="265"/>
        <v>32851.801352371498</v>
      </c>
    </row>
    <row r="2580" spans="1:12" x14ac:dyDescent="0.35">
      <c r="A2580" s="1">
        <v>43040</v>
      </c>
      <c r="B2580" t="s">
        <v>15</v>
      </c>
      <c r="C2580" t="s">
        <v>38</v>
      </c>
      <c r="D2580">
        <v>365487</v>
      </c>
      <c r="E2580">
        <v>1506147.5999999999</v>
      </c>
      <c r="F2580">
        <f t="shared" si="261"/>
        <v>4.1209334394930597</v>
      </c>
      <c r="G2580">
        <f t="shared" si="262"/>
        <v>186.92554081540518</v>
      </c>
      <c r="H2580">
        <v>171.09739583333334</v>
      </c>
      <c r="I2580" t="s">
        <v>58</v>
      </c>
      <c r="J2580">
        <f t="shared" si="264"/>
        <v>6.2880336579688842</v>
      </c>
      <c r="K2580">
        <f t="shared" si="265"/>
        <v>32851.801352371498</v>
      </c>
    </row>
    <row r="2581" spans="1:12" x14ac:dyDescent="0.35">
      <c r="A2581" s="1">
        <v>43070</v>
      </c>
      <c r="B2581" t="s">
        <v>15</v>
      </c>
      <c r="C2581" t="s">
        <v>38</v>
      </c>
      <c r="D2581">
        <v>373451.99999999994</v>
      </c>
      <c r="E2581">
        <v>1947527.3999999997</v>
      </c>
      <c r="F2581">
        <f>E2581/D2581</f>
        <v>5.2149336460910636</v>
      </c>
      <c r="G2581">
        <f t="shared" si="262"/>
        <v>236.54939018669063</v>
      </c>
      <c r="H2581">
        <v>191.65104166666666</v>
      </c>
      <c r="I2581" t="s">
        <v>58</v>
      </c>
      <c r="J2581">
        <f>H2581/27.21</f>
        <v>7.0434046919024862</v>
      </c>
      <c r="K2581">
        <f t="shared" si="265"/>
        <v>32851.801352371498</v>
      </c>
    </row>
    <row r="2582" spans="1:12" x14ac:dyDescent="0.35">
      <c r="A2582" s="1">
        <v>42736</v>
      </c>
      <c r="B2582" t="s">
        <v>18</v>
      </c>
      <c r="C2582" t="s">
        <v>38</v>
      </c>
      <c r="D2582">
        <v>697453.99999999988</v>
      </c>
      <c r="E2582">
        <v>1248390.0000000002</v>
      </c>
      <c r="F2582">
        <f t="shared" ref="F2582:F2645" si="266">E2582/D2582</f>
        <v>1.7899244968126937</v>
      </c>
      <c r="G2582">
        <f t="shared" si="262"/>
        <v>81.190975175423787</v>
      </c>
      <c r="H2582">
        <v>5197.877604166667</v>
      </c>
      <c r="I2582" t="s">
        <v>40</v>
      </c>
      <c r="J2582">
        <f>(H2582/1000)/0.40815</f>
        <v>12.735214024664135</v>
      </c>
      <c r="K2582">
        <f>$L$2582+$L$2583</f>
        <v>21460.483889989351</v>
      </c>
      <c r="L2582">
        <v>12273.857742586599</v>
      </c>
    </row>
    <row r="2583" spans="1:12" x14ac:dyDescent="0.35">
      <c r="A2583" s="1">
        <v>42767</v>
      </c>
      <c r="B2583" t="s">
        <v>18</v>
      </c>
      <c r="C2583" t="s">
        <v>38</v>
      </c>
      <c r="D2583">
        <v>758411.00000000012</v>
      </c>
      <c r="E2583">
        <v>1379223</v>
      </c>
      <c r="F2583">
        <f t="shared" si="266"/>
        <v>1.8185693509192242</v>
      </c>
      <c r="G2583">
        <f t="shared" si="262"/>
        <v>82.490305757696007</v>
      </c>
      <c r="H2583">
        <v>5434.6354166666661</v>
      </c>
      <c r="I2583" t="s">
        <v>40</v>
      </c>
      <c r="J2583">
        <f t="shared" ref="J2583:J2593" si="267">(H2583/1000)/0.40815</f>
        <v>13.315289517742658</v>
      </c>
      <c r="K2583">
        <f t="shared" ref="K2583:K2593" si="268">$L$2582+$L$2583</f>
        <v>21460.483889989351</v>
      </c>
      <c r="L2583">
        <v>9186.6261474027524</v>
      </c>
    </row>
    <row r="2584" spans="1:12" x14ac:dyDescent="0.35">
      <c r="A2584" s="1">
        <v>42795</v>
      </c>
      <c r="B2584" t="s">
        <v>18</v>
      </c>
      <c r="C2584" t="s">
        <v>38</v>
      </c>
      <c r="D2584">
        <v>735846.99999999988</v>
      </c>
      <c r="E2584">
        <v>1691459.9999999998</v>
      </c>
      <c r="F2584">
        <f t="shared" si="266"/>
        <v>2.2986571936829261</v>
      </c>
      <c r="G2584">
        <f t="shared" si="262"/>
        <v>104.26709030545753</v>
      </c>
      <c r="H2584">
        <v>5630.6133333333328</v>
      </c>
      <c r="I2584" t="s">
        <v>40</v>
      </c>
      <c r="J2584">
        <f t="shared" si="267"/>
        <v>13.795451018824776</v>
      </c>
      <c r="K2584">
        <f t="shared" si="268"/>
        <v>21460.483889989351</v>
      </c>
    </row>
    <row r="2585" spans="1:12" x14ac:dyDescent="0.35">
      <c r="A2585" s="1">
        <v>42826</v>
      </c>
      <c r="B2585" t="s">
        <v>18</v>
      </c>
      <c r="C2585" t="s">
        <v>38</v>
      </c>
      <c r="D2585">
        <v>765488.99999999988</v>
      </c>
      <c r="E2585">
        <v>3151115.9999999995</v>
      </c>
      <c r="F2585">
        <f t="shared" si="266"/>
        <v>4.1164745672374128</v>
      </c>
      <c r="G2585">
        <f t="shared" si="262"/>
        <v>186.72328636988905</v>
      </c>
      <c r="H2585">
        <v>5668.1944444444443</v>
      </c>
      <c r="I2585" t="s">
        <v>40</v>
      </c>
      <c r="J2585">
        <f t="shared" si="267"/>
        <v>13.887527733540228</v>
      </c>
      <c r="K2585">
        <f t="shared" si="268"/>
        <v>21460.483889989351</v>
      </c>
    </row>
    <row r="2586" spans="1:12" x14ac:dyDescent="0.35">
      <c r="A2586" s="1">
        <v>42856</v>
      </c>
      <c r="B2586" t="s">
        <v>18</v>
      </c>
      <c r="C2586" t="s">
        <v>38</v>
      </c>
      <c r="D2586">
        <v>784517.99999999988</v>
      </c>
      <c r="E2586">
        <v>2698839</v>
      </c>
      <c r="F2586">
        <f t="shared" si="266"/>
        <v>3.4401237447706752</v>
      </c>
      <c r="G2586">
        <f t="shared" si="262"/>
        <v>156.04401306279783</v>
      </c>
      <c r="H2586">
        <v>5525.2916666666661</v>
      </c>
      <c r="I2586" t="s">
        <v>40</v>
      </c>
      <c r="J2586">
        <f t="shared" si="267"/>
        <v>13.537404548981174</v>
      </c>
      <c r="K2586">
        <f t="shared" si="268"/>
        <v>21460.483889989351</v>
      </c>
    </row>
    <row r="2587" spans="1:12" x14ac:dyDescent="0.35">
      <c r="A2587" s="1">
        <v>42887</v>
      </c>
      <c r="B2587" t="s">
        <v>18</v>
      </c>
      <c r="C2587" t="s">
        <v>38</v>
      </c>
      <c r="D2587">
        <v>798124</v>
      </c>
      <c r="E2587">
        <v>1852101.0000000002</v>
      </c>
      <c r="F2587">
        <f t="shared" si="266"/>
        <v>2.3205679819175971</v>
      </c>
      <c r="G2587">
        <f t="shared" si="262"/>
        <v>105.26096365978221</v>
      </c>
      <c r="H2587">
        <v>5407.4140625</v>
      </c>
      <c r="I2587" t="s">
        <v>40</v>
      </c>
      <c r="J2587">
        <f t="shared" si="267"/>
        <v>13.248595032463555</v>
      </c>
      <c r="K2587">
        <f t="shared" si="268"/>
        <v>21460.483889989351</v>
      </c>
    </row>
    <row r="2588" spans="1:12" x14ac:dyDescent="0.35">
      <c r="A2588" s="1">
        <v>42917</v>
      </c>
      <c r="B2588" t="s">
        <v>18</v>
      </c>
      <c r="C2588" t="s">
        <v>38</v>
      </c>
      <c r="D2588">
        <v>795209.99999999988</v>
      </c>
      <c r="E2588">
        <v>2069091</v>
      </c>
      <c r="F2588">
        <f t="shared" si="266"/>
        <v>2.6019428830120348</v>
      </c>
      <c r="G2588">
        <f t="shared" si="262"/>
        <v>118.02412917342589</v>
      </c>
      <c r="H2588">
        <v>5581.6067708333339</v>
      </c>
      <c r="I2588" t="s">
        <v>40</v>
      </c>
      <c r="J2588">
        <f t="shared" si="267"/>
        <v>13.675381038425417</v>
      </c>
      <c r="K2588">
        <f t="shared" si="268"/>
        <v>21460.483889989351</v>
      </c>
    </row>
    <row r="2589" spans="1:12" x14ac:dyDescent="0.35">
      <c r="A2589" s="1">
        <v>42948</v>
      </c>
      <c r="B2589" t="s">
        <v>18</v>
      </c>
      <c r="C2589" t="s">
        <v>38</v>
      </c>
      <c r="D2589">
        <v>789542</v>
      </c>
      <c r="E2589">
        <v>2359305</v>
      </c>
      <c r="F2589">
        <f t="shared" si="266"/>
        <v>2.9881944215760528</v>
      </c>
      <c r="G2589">
        <f t="shared" si="262"/>
        <v>135.54449896268974</v>
      </c>
      <c r="H2589">
        <v>5624.2114583333332</v>
      </c>
      <c r="I2589" t="s">
        <v>40</v>
      </c>
      <c r="J2589">
        <f t="shared" si="267"/>
        <v>13.779765915308912</v>
      </c>
      <c r="K2589">
        <f t="shared" si="268"/>
        <v>21460.483889989351</v>
      </c>
    </row>
    <row r="2590" spans="1:12" x14ac:dyDescent="0.35">
      <c r="A2590" s="1">
        <v>42979</v>
      </c>
      <c r="B2590" t="s">
        <v>18</v>
      </c>
      <c r="C2590" t="s">
        <v>38</v>
      </c>
      <c r="D2590">
        <v>710244.99999999988</v>
      </c>
      <c r="E2590">
        <v>1786932.0000000002</v>
      </c>
      <c r="F2590">
        <f t="shared" si="266"/>
        <v>2.5159374582010439</v>
      </c>
      <c r="G2590">
        <f t="shared" si="262"/>
        <v>114.12292310399936</v>
      </c>
      <c r="H2590">
        <v>5034.1607142857147</v>
      </c>
      <c r="I2590" t="s">
        <v>40</v>
      </c>
      <c r="J2590">
        <f t="shared" si="267"/>
        <v>12.334094608074764</v>
      </c>
      <c r="K2590">
        <f t="shared" si="268"/>
        <v>21460.483889989351</v>
      </c>
    </row>
    <row r="2591" spans="1:12" x14ac:dyDescent="0.35">
      <c r="A2591" s="1">
        <v>43009</v>
      </c>
      <c r="B2591" t="s">
        <v>18</v>
      </c>
      <c r="C2591" t="s">
        <v>38</v>
      </c>
      <c r="D2591">
        <v>751022</v>
      </c>
      <c r="E2591">
        <v>1431918</v>
      </c>
      <c r="F2591">
        <f t="shared" si="266"/>
        <v>1.9066259044342242</v>
      </c>
      <c r="G2591">
        <f t="shared" si="262"/>
        <v>86.484551025136412</v>
      </c>
      <c r="H2591">
        <v>6070.729166666667</v>
      </c>
      <c r="I2591" t="s">
        <v>40</v>
      </c>
      <c r="J2591">
        <f t="shared" si="267"/>
        <v>14.873769855853649</v>
      </c>
      <c r="K2591">
        <f t="shared" si="268"/>
        <v>21460.483889989351</v>
      </c>
    </row>
    <row r="2592" spans="1:12" x14ac:dyDescent="0.35">
      <c r="A2592" s="1">
        <v>43040</v>
      </c>
      <c r="B2592" t="s">
        <v>18</v>
      </c>
      <c r="C2592" t="s">
        <v>38</v>
      </c>
      <c r="D2592">
        <v>734985.00000000012</v>
      </c>
      <c r="E2592">
        <v>1205901</v>
      </c>
      <c r="F2592">
        <f t="shared" si="266"/>
        <v>1.6407151166350331</v>
      </c>
      <c r="G2592">
        <f t="shared" si="262"/>
        <v>74.422837690565103</v>
      </c>
      <c r="H2592">
        <v>8039.7854166666666</v>
      </c>
      <c r="I2592" t="s">
        <v>40</v>
      </c>
      <c r="J2592">
        <f t="shared" si="267"/>
        <v>19.698114459553267</v>
      </c>
      <c r="K2592">
        <f t="shared" si="268"/>
        <v>21460.483889989351</v>
      </c>
    </row>
    <row r="2593" spans="1:11" x14ac:dyDescent="0.35">
      <c r="A2593" s="1">
        <v>43070</v>
      </c>
      <c r="B2593" t="s">
        <v>18</v>
      </c>
      <c r="C2593" t="s">
        <v>38</v>
      </c>
      <c r="D2593">
        <v>752716.99999999988</v>
      </c>
      <c r="E2593">
        <v>1335071.9456780939</v>
      </c>
      <c r="F2593">
        <f t="shared" si="266"/>
        <v>1.7736705105346287</v>
      </c>
      <c r="G2593">
        <f t="shared" si="262"/>
        <v>80.45369435785075</v>
      </c>
      <c r="H2593">
        <v>9417.8020833333339</v>
      </c>
      <c r="I2593" t="s">
        <v>40</v>
      </c>
      <c r="J2593">
        <f t="shared" si="267"/>
        <v>23.074365021029848</v>
      </c>
      <c r="K2593">
        <f t="shared" si="268"/>
        <v>21460.483889989351</v>
      </c>
    </row>
    <row r="2594" spans="1:11" x14ac:dyDescent="0.35">
      <c r="A2594" s="1">
        <v>43101</v>
      </c>
      <c r="B2594" t="s">
        <v>2</v>
      </c>
      <c r="C2594" t="s">
        <v>38</v>
      </c>
      <c r="D2594">
        <v>17458.000000000004</v>
      </c>
      <c r="E2594">
        <v>59483</v>
      </c>
      <c r="F2594">
        <f t="shared" si="266"/>
        <v>3.4072058655057846</v>
      </c>
      <c r="G2594">
        <f t="shared" si="262"/>
        <v>154.5508580593424</v>
      </c>
      <c r="H2594">
        <v>2052.5495158415843</v>
      </c>
      <c r="I2594" t="s">
        <v>59</v>
      </c>
      <c r="J2594">
        <f>H2594/110</f>
        <v>18.659541053105311</v>
      </c>
      <c r="K2594">
        <v>6204.1782065486696</v>
      </c>
    </row>
    <row r="2595" spans="1:11" x14ac:dyDescent="0.35">
      <c r="A2595" s="1">
        <v>43132</v>
      </c>
      <c r="B2595" t="s">
        <v>2</v>
      </c>
      <c r="C2595" t="s">
        <v>38</v>
      </c>
      <c r="D2595">
        <v>2851.0000000000005</v>
      </c>
      <c r="E2595">
        <v>8754</v>
      </c>
      <c r="F2595">
        <f t="shared" si="266"/>
        <v>3.0705015783935456</v>
      </c>
      <c r="G2595">
        <f t="shared" si="262"/>
        <v>139.27795159593123</v>
      </c>
      <c r="H2595">
        <v>1986.7510000000002</v>
      </c>
      <c r="I2595" t="s">
        <v>59</v>
      </c>
      <c r="J2595">
        <f t="shared" ref="J2595:J2605" si="269">H2595/110</f>
        <v>18.06137272727273</v>
      </c>
      <c r="K2595">
        <v>6204.1782065486696</v>
      </c>
    </row>
    <row r="2596" spans="1:11" x14ac:dyDescent="0.35">
      <c r="A2596" s="1">
        <v>43160</v>
      </c>
      <c r="B2596" t="s">
        <v>2</v>
      </c>
      <c r="C2596" t="s">
        <v>38</v>
      </c>
      <c r="D2596">
        <v>102303</v>
      </c>
      <c r="E2596">
        <v>446612</v>
      </c>
      <c r="F2596">
        <f t="shared" si="266"/>
        <v>4.3655806770084942</v>
      </c>
      <c r="G2596">
        <f t="shared" si="262"/>
        <v>198.02273950910529</v>
      </c>
      <c r="H2596">
        <v>1986.5745008250824</v>
      </c>
      <c r="I2596" t="s">
        <v>59</v>
      </c>
      <c r="J2596">
        <f t="shared" si="269"/>
        <v>18.05976818931893</v>
      </c>
      <c r="K2596">
        <v>6204.1782065486696</v>
      </c>
    </row>
    <row r="2597" spans="1:11" x14ac:dyDescent="0.35">
      <c r="A2597" s="1">
        <v>43191</v>
      </c>
      <c r="B2597" t="s">
        <v>2</v>
      </c>
      <c r="C2597" t="s">
        <v>38</v>
      </c>
      <c r="D2597">
        <v>480124.00000000006</v>
      </c>
      <c r="E2597">
        <v>2498577.9999999995</v>
      </c>
      <c r="F2597">
        <f t="shared" si="266"/>
        <v>5.2040264598312085</v>
      </c>
      <c r="G2597">
        <f t="shared" si="262"/>
        <v>236.05464021794361</v>
      </c>
      <c r="H2597">
        <v>2037.4628723872388</v>
      </c>
      <c r="I2597" t="s">
        <v>59</v>
      </c>
      <c r="J2597">
        <f t="shared" si="269"/>
        <v>18.522389748974899</v>
      </c>
      <c r="K2597">
        <v>6204.1782065486696</v>
      </c>
    </row>
    <row r="2598" spans="1:11" x14ac:dyDescent="0.35">
      <c r="A2598" s="1">
        <v>43221</v>
      </c>
      <c r="B2598" t="s">
        <v>2</v>
      </c>
      <c r="C2598" t="s">
        <v>38</v>
      </c>
      <c r="D2598">
        <v>469932</v>
      </c>
      <c r="E2598">
        <v>2459812.1266949968</v>
      </c>
      <c r="F2598">
        <f t="shared" si="266"/>
        <v>5.2344001402224087</v>
      </c>
      <c r="G2598">
        <f t="shared" si="262"/>
        <v>237.43239036048845</v>
      </c>
      <c r="H2598">
        <v>2083.2523542354238</v>
      </c>
      <c r="I2598" t="s">
        <v>59</v>
      </c>
      <c r="J2598">
        <f t="shared" si="269"/>
        <v>18.938657765776579</v>
      </c>
      <c r="K2598">
        <v>6204.1782065486696</v>
      </c>
    </row>
    <row r="2599" spans="1:11" x14ac:dyDescent="0.35">
      <c r="A2599" s="1">
        <v>43252</v>
      </c>
      <c r="B2599" t="s">
        <v>2</v>
      </c>
      <c r="C2599" t="s">
        <v>38</v>
      </c>
      <c r="D2599">
        <v>203753</v>
      </c>
      <c r="E2599">
        <v>1021625</v>
      </c>
      <c r="F2599">
        <f t="shared" si="266"/>
        <v>5.0140366031420394</v>
      </c>
      <c r="G2599">
        <f t="shared" si="262"/>
        <v>227.4367003185229</v>
      </c>
      <c r="H2599">
        <v>2081.2705216354966</v>
      </c>
      <c r="I2599" t="s">
        <v>59</v>
      </c>
      <c r="J2599">
        <f t="shared" si="269"/>
        <v>18.920641105777243</v>
      </c>
      <c r="K2599">
        <v>6204.1782065486696</v>
      </c>
    </row>
    <row r="2600" spans="1:11" x14ac:dyDescent="0.35">
      <c r="A2600" s="1">
        <v>43282</v>
      </c>
      <c r="B2600" t="s">
        <v>2</v>
      </c>
      <c r="C2600" t="s">
        <v>38</v>
      </c>
      <c r="D2600">
        <v>130013</v>
      </c>
      <c r="E2600">
        <v>467910</v>
      </c>
      <c r="F2600">
        <f t="shared" si="266"/>
        <v>3.5989477975279396</v>
      </c>
      <c r="G2600">
        <f t="shared" si="262"/>
        <v>163.24827209586735</v>
      </c>
      <c r="H2600">
        <v>2100.056552438577</v>
      </c>
      <c r="I2600" t="s">
        <v>59</v>
      </c>
      <c r="J2600">
        <f t="shared" si="269"/>
        <v>19.091423203987063</v>
      </c>
      <c r="K2600">
        <v>6204.1782065486696</v>
      </c>
    </row>
    <row r="2601" spans="1:11" x14ac:dyDescent="0.35">
      <c r="A2601" s="1">
        <v>43313</v>
      </c>
      <c r="B2601" t="s">
        <v>2</v>
      </c>
      <c r="C2601" t="s">
        <v>38</v>
      </c>
      <c r="D2601">
        <v>278629</v>
      </c>
      <c r="E2601">
        <v>1106730</v>
      </c>
      <c r="F2601">
        <f t="shared" si="266"/>
        <v>3.9720560314970803</v>
      </c>
      <c r="G2601">
        <f t="shared" si="262"/>
        <v>180.17246158870756</v>
      </c>
      <c r="H2601">
        <v>2085.019073047305</v>
      </c>
      <c r="I2601" t="s">
        <v>59</v>
      </c>
      <c r="J2601">
        <f t="shared" si="269"/>
        <v>18.954718845884592</v>
      </c>
      <c r="K2601">
        <v>6204.1782065486696</v>
      </c>
    </row>
    <row r="2602" spans="1:11" x14ac:dyDescent="0.35">
      <c r="A2602" s="1">
        <v>43344</v>
      </c>
      <c r="B2602" t="s">
        <v>2</v>
      </c>
      <c r="C2602" t="s">
        <v>38</v>
      </c>
      <c r="D2602">
        <v>333920</v>
      </c>
      <c r="E2602">
        <v>1645975</v>
      </c>
      <c r="F2602">
        <f t="shared" si="266"/>
        <v>4.9292495208433156</v>
      </c>
      <c r="G2602">
        <f t="shared" si="262"/>
        <v>223.59075826545279</v>
      </c>
      <c r="H2602">
        <v>2148.6032384488449</v>
      </c>
      <c r="I2602" t="s">
        <v>59</v>
      </c>
      <c r="J2602">
        <f t="shared" si="269"/>
        <v>19.532756713171317</v>
      </c>
      <c r="K2602">
        <v>6204.1782065486696</v>
      </c>
    </row>
    <row r="2603" spans="1:11" x14ac:dyDescent="0.35">
      <c r="A2603" s="1">
        <v>43374</v>
      </c>
      <c r="B2603" t="s">
        <v>2</v>
      </c>
      <c r="C2603" t="s">
        <v>38</v>
      </c>
      <c r="D2603">
        <v>471240</v>
      </c>
      <c r="E2603">
        <v>1910210</v>
      </c>
      <c r="F2603">
        <f t="shared" si="266"/>
        <v>4.0535820388761561</v>
      </c>
      <c r="G2603">
        <f t="shared" si="262"/>
        <v>183.87048128342244</v>
      </c>
      <c r="H2603">
        <v>2116.0673259992668</v>
      </c>
      <c r="I2603" t="s">
        <v>59</v>
      </c>
      <c r="J2603">
        <f t="shared" si="269"/>
        <v>19.236975690902426</v>
      </c>
      <c r="K2603">
        <v>6204.1782065486696</v>
      </c>
    </row>
    <row r="2604" spans="1:11" x14ac:dyDescent="0.35">
      <c r="A2604" s="1">
        <v>43405</v>
      </c>
      <c r="B2604" t="s">
        <v>2</v>
      </c>
      <c r="C2604" t="s">
        <v>38</v>
      </c>
      <c r="D2604">
        <v>467584</v>
      </c>
      <c r="E2604">
        <v>1798595</v>
      </c>
      <c r="F2604">
        <f t="shared" si="266"/>
        <v>3.846570883520394</v>
      </c>
      <c r="G2604">
        <f t="shared" si="262"/>
        <v>174.48045527648506</v>
      </c>
      <c r="H2604">
        <v>2081.0045049504947</v>
      </c>
      <c r="I2604" t="s">
        <v>59</v>
      </c>
      <c r="J2604">
        <f t="shared" si="269"/>
        <v>18.918222772277225</v>
      </c>
      <c r="K2604">
        <v>6204.1782065486696</v>
      </c>
    </row>
    <row r="2605" spans="1:11" x14ac:dyDescent="0.35">
      <c r="A2605" s="1">
        <v>43435</v>
      </c>
      <c r="B2605" t="s">
        <v>2</v>
      </c>
      <c r="C2605" t="s">
        <v>38</v>
      </c>
      <c r="D2605">
        <v>104598</v>
      </c>
      <c r="E2605">
        <v>407654.00000000006</v>
      </c>
      <c r="F2605">
        <f t="shared" si="266"/>
        <v>3.8973402933134484</v>
      </c>
      <c r="G2605">
        <f t="shared" si="262"/>
        <v>176.78335570469801</v>
      </c>
      <c r="H2605">
        <v>2145.7372203887053</v>
      </c>
      <c r="I2605" t="s">
        <v>59</v>
      </c>
      <c r="J2605">
        <f t="shared" si="269"/>
        <v>19.506702003533686</v>
      </c>
      <c r="K2605">
        <v>6204.1782065486696</v>
      </c>
    </row>
    <row r="2606" spans="1:11" x14ac:dyDescent="0.35">
      <c r="A2606" s="1">
        <v>43101</v>
      </c>
      <c r="B2606" t="s">
        <v>5</v>
      </c>
      <c r="C2606" t="s">
        <v>38</v>
      </c>
      <c r="D2606">
        <v>29211</v>
      </c>
      <c r="E2606">
        <v>53966</v>
      </c>
      <c r="F2606">
        <f t="shared" si="266"/>
        <v>1.8474547259593987</v>
      </c>
      <c r="G2606">
        <f t="shared" si="262"/>
        <v>83.800546369518329</v>
      </c>
      <c r="H2606">
        <v>868.65104166666663</v>
      </c>
      <c r="I2606" t="s">
        <v>38</v>
      </c>
      <c r="J2606">
        <f>H2606/45.36</f>
        <v>19.15015523956496</v>
      </c>
      <c r="K2606">
        <v>2494.8799608792001</v>
      </c>
    </row>
    <row r="2607" spans="1:11" x14ac:dyDescent="0.35">
      <c r="A2607" s="1">
        <v>43132</v>
      </c>
      <c r="B2607" t="s">
        <v>5</v>
      </c>
      <c r="C2607" t="s">
        <v>38</v>
      </c>
      <c r="D2607">
        <v>31020.999999999996</v>
      </c>
      <c r="E2607">
        <v>75142</v>
      </c>
      <c r="F2607">
        <f t="shared" si="266"/>
        <v>2.4222945746429843</v>
      </c>
      <c r="G2607">
        <f t="shared" si="262"/>
        <v>109.87528190580576</v>
      </c>
      <c r="H2607">
        <v>926.76190476190482</v>
      </c>
      <c r="I2607" t="s">
        <v>38</v>
      </c>
      <c r="J2607">
        <f t="shared" ref="J2607:J2670" si="270">H2607/45.36</f>
        <v>20.431258923322417</v>
      </c>
      <c r="K2607">
        <v>2494.8799608792001</v>
      </c>
    </row>
    <row r="2608" spans="1:11" x14ac:dyDescent="0.35">
      <c r="A2608" s="1">
        <v>43160</v>
      </c>
      <c r="B2608" t="s">
        <v>5</v>
      </c>
      <c r="C2608" t="s">
        <v>38</v>
      </c>
      <c r="D2608">
        <v>27892</v>
      </c>
      <c r="E2608">
        <v>72015</v>
      </c>
      <c r="F2608">
        <f t="shared" si="266"/>
        <v>2.5819231320808833</v>
      </c>
      <c r="G2608">
        <f t="shared" si="262"/>
        <v>117.11603327118887</v>
      </c>
      <c r="H2608">
        <v>883.53098958333328</v>
      </c>
      <c r="I2608" t="s">
        <v>38</v>
      </c>
      <c r="J2608">
        <f t="shared" si="270"/>
        <v>19.478196419385654</v>
      </c>
      <c r="K2608">
        <v>2494.8799608792001</v>
      </c>
    </row>
    <row r="2609" spans="1:11" x14ac:dyDescent="0.35">
      <c r="A2609" s="1">
        <v>43191</v>
      </c>
      <c r="B2609" t="s">
        <v>5</v>
      </c>
      <c r="C2609" t="s">
        <v>38</v>
      </c>
      <c r="D2609">
        <v>27541</v>
      </c>
      <c r="E2609">
        <v>67215</v>
      </c>
      <c r="F2609">
        <f t="shared" si="266"/>
        <v>2.4405431901528631</v>
      </c>
      <c r="G2609">
        <f t="shared" si="262"/>
        <v>110.70303910533387</v>
      </c>
      <c r="H2609">
        <v>885.70609375000004</v>
      </c>
      <c r="I2609" t="s">
        <v>38</v>
      </c>
      <c r="J2609">
        <f t="shared" si="270"/>
        <v>19.526148451278662</v>
      </c>
      <c r="K2609">
        <v>2494.8799608792001</v>
      </c>
    </row>
    <row r="2610" spans="1:11" x14ac:dyDescent="0.35">
      <c r="A2610" s="1">
        <v>43221</v>
      </c>
      <c r="B2610" t="s">
        <v>5</v>
      </c>
      <c r="C2610" t="s">
        <v>38</v>
      </c>
      <c r="D2610">
        <v>20945</v>
      </c>
      <c r="E2610">
        <v>74012</v>
      </c>
      <c r="F2610">
        <f t="shared" si="266"/>
        <v>3.5336357125805682</v>
      </c>
      <c r="G2610">
        <f t="shared" si="262"/>
        <v>160.28571592265456</v>
      </c>
      <c r="H2610">
        <v>905.25</v>
      </c>
      <c r="I2610" t="s">
        <v>38</v>
      </c>
      <c r="J2610">
        <f t="shared" si="270"/>
        <v>19.957010582010582</v>
      </c>
      <c r="K2610">
        <v>2494.8799608792001</v>
      </c>
    </row>
    <row r="2611" spans="1:11" x14ac:dyDescent="0.35">
      <c r="A2611" s="1">
        <v>43252</v>
      </c>
      <c r="B2611" t="s">
        <v>5</v>
      </c>
      <c r="C2611" t="s">
        <v>38</v>
      </c>
      <c r="D2611">
        <v>31854</v>
      </c>
      <c r="E2611">
        <v>85620.999999999956</v>
      </c>
      <c r="F2611">
        <f t="shared" si="266"/>
        <v>2.6879198844729064</v>
      </c>
      <c r="G2611">
        <f t="shared" si="262"/>
        <v>121.92404595969103</v>
      </c>
      <c r="H2611">
        <v>895.42447916666674</v>
      </c>
      <c r="I2611" t="s">
        <v>38</v>
      </c>
      <c r="J2611">
        <f t="shared" si="270"/>
        <v>19.74039857069371</v>
      </c>
      <c r="K2611">
        <v>2494.8799608792001</v>
      </c>
    </row>
    <row r="2612" spans="1:11" x14ac:dyDescent="0.35">
      <c r="A2612" s="1">
        <v>43282</v>
      </c>
      <c r="B2612" t="s">
        <v>5</v>
      </c>
      <c r="C2612" t="s">
        <v>38</v>
      </c>
      <c r="D2612">
        <v>37120</v>
      </c>
      <c r="E2612">
        <v>106201</v>
      </c>
      <c r="F2612">
        <f t="shared" si="266"/>
        <v>2.8610183189655172</v>
      </c>
      <c r="G2612">
        <f t="shared" ref="G2612:G2675" si="271">F2612*45.36</f>
        <v>129.77579094827587</v>
      </c>
      <c r="H2612">
        <v>899.28572916666678</v>
      </c>
      <c r="I2612" t="s">
        <v>38</v>
      </c>
      <c r="J2612">
        <f t="shared" si="270"/>
        <v>19.825523129776606</v>
      </c>
      <c r="K2612">
        <v>2494.8799608792001</v>
      </c>
    </row>
    <row r="2613" spans="1:11" x14ac:dyDescent="0.35">
      <c r="A2613" s="1">
        <v>43313</v>
      </c>
      <c r="B2613" t="s">
        <v>5</v>
      </c>
      <c r="C2613" t="s">
        <v>38</v>
      </c>
      <c r="D2613">
        <v>39210</v>
      </c>
      <c r="E2613">
        <v>82198</v>
      </c>
      <c r="F2613">
        <f t="shared" si="266"/>
        <v>2.0963529711808211</v>
      </c>
      <c r="G2613">
        <f t="shared" si="271"/>
        <v>95.09057077276205</v>
      </c>
      <c r="H2613">
        <v>923.43489583333337</v>
      </c>
      <c r="I2613" t="s">
        <v>38</v>
      </c>
      <c r="J2613">
        <f t="shared" si="270"/>
        <v>20.35791216563786</v>
      </c>
      <c r="K2613">
        <v>2494.8799608792001</v>
      </c>
    </row>
    <row r="2614" spans="1:11" x14ac:dyDescent="0.35">
      <c r="A2614" s="1">
        <v>43344</v>
      </c>
      <c r="B2614" t="s">
        <v>5</v>
      </c>
      <c r="C2614" t="s">
        <v>38</v>
      </c>
      <c r="D2614">
        <v>48999</v>
      </c>
      <c r="E2614">
        <v>122498</v>
      </c>
      <c r="F2614">
        <f t="shared" si="266"/>
        <v>2.5000102042898833</v>
      </c>
      <c r="G2614">
        <f t="shared" si="271"/>
        <v>113.40046286658911</v>
      </c>
      <c r="H2614">
        <v>954.23958333333337</v>
      </c>
      <c r="I2614" t="s">
        <v>38</v>
      </c>
      <c r="J2614">
        <f t="shared" si="270"/>
        <v>21.037027851263964</v>
      </c>
      <c r="K2614">
        <v>2494.8799608792001</v>
      </c>
    </row>
    <row r="2615" spans="1:11" x14ac:dyDescent="0.35">
      <c r="A2615" s="1">
        <v>43374</v>
      </c>
      <c r="B2615" t="s">
        <v>5</v>
      </c>
      <c r="C2615" t="s">
        <v>38</v>
      </c>
      <c r="D2615">
        <v>32154.000000000004</v>
      </c>
      <c r="E2615">
        <v>83548</v>
      </c>
      <c r="F2615">
        <f t="shared" si="266"/>
        <v>2.5983703427256324</v>
      </c>
      <c r="G2615">
        <f t="shared" si="271"/>
        <v>117.86207874603468</v>
      </c>
      <c r="H2615">
        <v>924.71875</v>
      </c>
      <c r="I2615" t="s">
        <v>38</v>
      </c>
      <c r="J2615">
        <f t="shared" si="270"/>
        <v>20.386215828924161</v>
      </c>
      <c r="K2615">
        <v>2494.8799608792001</v>
      </c>
    </row>
    <row r="2616" spans="1:11" x14ac:dyDescent="0.35">
      <c r="A2616" s="1">
        <v>43405</v>
      </c>
      <c r="B2616" t="s">
        <v>5</v>
      </c>
      <c r="C2616" t="s">
        <v>38</v>
      </c>
      <c r="D2616">
        <v>37542</v>
      </c>
      <c r="E2616">
        <v>63015</v>
      </c>
      <c r="F2616">
        <f t="shared" si="266"/>
        <v>1.6785200575355601</v>
      </c>
      <c r="G2616">
        <f t="shared" si="271"/>
        <v>76.137669809813005</v>
      </c>
      <c r="H2616">
        <v>918.61024305555566</v>
      </c>
      <c r="I2616" t="s">
        <v>38</v>
      </c>
      <c r="J2616">
        <f t="shared" si="270"/>
        <v>20.251548568244171</v>
      </c>
      <c r="K2616">
        <v>2494.8799608792001</v>
      </c>
    </row>
    <row r="2617" spans="1:11" x14ac:dyDescent="0.35">
      <c r="A2617" s="1">
        <v>43435</v>
      </c>
      <c r="B2617" t="s">
        <v>5</v>
      </c>
      <c r="C2617" t="s">
        <v>38</v>
      </c>
      <c r="D2617">
        <v>52353.999999999985</v>
      </c>
      <c r="E2617">
        <v>99598</v>
      </c>
      <c r="F2617">
        <f t="shared" si="266"/>
        <v>1.9023952324559734</v>
      </c>
      <c r="G2617">
        <f t="shared" si="271"/>
        <v>86.292647744202952</v>
      </c>
      <c r="H2617">
        <v>904.92261904761904</v>
      </c>
      <c r="I2617" t="s">
        <v>38</v>
      </c>
      <c r="J2617">
        <f t="shared" si="270"/>
        <v>19.949793188880491</v>
      </c>
      <c r="K2617">
        <v>2494.8799608792001</v>
      </c>
    </row>
    <row r="2618" spans="1:11" x14ac:dyDescent="0.35">
      <c r="A2618" s="1">
        <v>43101</v>
      </c>
      <c r="B2618" t="s">
        <v>7</v>
      </c>
      <c r="C2618" t="s">
        <v>38</v>
      </c>
      <c r="D2618">
        <v>5982</v>
      </c>
      <c r="E2618">
        <v>80214</v>
      </c>
      <c r="F2618">
        <f t="shared" si="266"/>
        <v>13.409227683049147</v>
      </c>
      <c r="G2618">
        <f t="shared" si="271"/>
        <v>608.24256770310933</v>
      </c>
      <c r="H2618">
        <v>675.3869047619047</v>
      </c>
      <c r="I2618" t="s">
        <v>38</v>
      </c>
      <c r="J2618">
        <f t="shared" si="270"/>
        <v>14.889482027378852</v>
      </c>
      <c r="K2618">
        <v>5415.9215773319993</v>
      </c>
    </row>
    <row r="2619" spans="1:11" x14ac:dyDescent="0.35">
      <c r="A2619" s="1">
        <v>43132</v>
      </c>
      <c r="B2619" t="s">
        <v>7</v>
      </c>
      <c r="C2619" t="s">
        <v>38</v>
      </c>
      <c r="D2619">
        <v>10321</v>
      </c>
      <c r="E2619">
        <v>97706</v>
      </c>
      <c r="F2619">
        <f t="shared" si="266"/>
        <v>9.4667183412460041</v>
      </c>
      <c r="G2619">
        <f t="shared" si="271"/>
        <v>429.41034395891876</v>
      </c>
      <c r="H2619">
        <v>661.5</v>
      </c>
      <c r="I2619" t="s">
        <v>38</v>
      </c>
      <c r="J2619">
        <f t="shared" si="270"/>
        <v>14.583333333333334</v>
      </c>
      <c r="K2619">
        <v>5415.9215773319993</v>
      </c>
    </row>
    <row r="2620" spans="1:11" x14ac:dyDescent="0.35">
      <c r="A2620" s="1">
        <v>43160</v>
      </c>
      <c r="B2620" t="s">
        <v>7</v>
      </c>
      <c r="C2620" t="s">
        <v>38</v>
      </c>
      <c r="D2620">
        <v>9542</v>
      </c>
      <c r="E2620">
        <v>112410</v>
      </c>
      <c r="F2620">
        <f t="shared" si="266"/>
        <v>11.780549151121358</v>
      </c>
      <c r="G2620">
        <f t="shared" si="271"/>
        <v>534.36570949486475</v>
      </c>
      <c r="H2620">
        <v>674.80047619047616</v>
      </c>
      <c r="I2620" t="s">
        <v>38</v>
      </c>
      <c r="J2620">
        <f t="shared" si="270"/>
        <v>14.876553707902914</v>
      </c>
      <c r="K2620">
        <v>5415.9215773319993</v>
      </c>
    </row>
    <row r="2621" spans="1:11" x14ac:dyDescent="0.35">
      <c r="A2621" s="1">
        <v>43191</v>
      </c>
      <c r="B2621" t="s">
        <v>7</v>
      </c>
      <c r="C2621" t="s">
        <v>38</v>
      </c>
      <c r="D2621">
        <v>11899</v>
      </c>
      <c r="E2621">
        <v>138357</v>
      </c>
      <c r="F2621">
        <f t="shared" si="266"/>
        <v>11.627615766030759</v>
      </c>
      <c r="G2621">
        <f t="shared" si="271"/>
        <v>527.42865114715528</v>
      </c>
      <c r="H2621">
        <v>702.48958333333337</v>
      </c>
      <c r="I2621" t="s">
        <v>38</v>
      </c>
      <c r="J2621">
        <f t="shared" si="270"/>
        <v>15.486983759553205</v>
      </c>
      <c r="K2621">
        <v>5415.9215773319993</v>
      </c>
    </row>
    <row r="2622" spans="1:11" x14ac:dyDescent="0.35">
      <c r="A2622" s="1">
        <v>43221</v>
      </c>
      <c r="B2622" t="s">
        <v>7</v>
      </c>
      <c r="C2622" t="s">
        <v>38</v>
      </c>
      <c r="D2622">
        <v>8958.9999999999982</v>
      </c>
      <c r="E2622">
        <v>103432</v>
      </c>
      <c r="F2622">
        <f t="shared" si="266"/>
        <v>11.545038508762142</v>
      </c>
      <c r="G2622">
        <f t="shared" si="271"/>
        <v>523.68294675745074</v>
      </c>
      <c r="H2622">
        <v>593.53288095238088</v>
      </c>
      <c r="I2622" t="s">
        <v>38</v>
      </c>
      <c r="J2622">
        <f t="shared" si="270"/>
        <v>13.084940056269421</v>
      </c>
      <c r="K2622">
        <v>5415.9215773319993</v>
      </c>
    </row>
    <row r="2623" spans="1:11" x14ac:dyDescent="0.35">
      <c r="A2623" s="1">
        <v>43252</v>
      </c>
      <c r="B2623" t="s">
        <v>7</v>
      </c>
      <c r="C2623" t="s">
        <v>38</v>
      </c>
      <c r="D2623">
        <v>8245.0000000000018</v>
      </c>
      <c r="E2623">
        <v>95570</v>
      </c>
      <c r="F2623">
        <f t="shared" si="266"/>
        <v>11.591267434808973</v>
      </c>
      <c r="G2623">
        <f t="shared" si="271"/>
        <v>525.77989084293506</v>
      </c>
      <c r="H2623">
        <v>546.64761904761895</v>
      </c>
      <c r="I2623" t="s">
        <v>38</v>
      </c>
      <c r="J2623">
        <f t="shared" si="270"/>
        <v>12.051314352901652</v>
      </c>
      <c r="K2623">
        <v>5415.9215773319993</v>
      </c>
    </row>
    <row r="2624" spans="1:11" x14ac:dyDescent="0.35">
      <c r="A2624" s="1">
        <v>43282</v>
      </c>
      <c r="B2624" t="s">
        <v>7</v>
      </c>
      <c r="C2624" t="s">
        <v>38</v>
      </c>
      <c r="D2624">
        <v>7984.9999999999982</v>
      </c>
      <c r="E2624">
        <v>96896.999999999985</v>
      </c>
      <c r="F2624">
        <f t="shared" si="266"/>
        <v>12.134877896055105</v>
      </c>
      <c r="G2624">
        <f t="shared" si="271"/>
        <v>550.43806136505953</v>
      </c>
      <c r="H2624">
        <v>567.1268</v>
      </c>
      <c r="I2624" t="s">
        <v>38</v>
      </c>
      <c r="J2624">
        <f t="shared" si="270"/>
        <v>12.502795414462081</v>
      </c>
      <c r="K2624">
        <v>5415.9215773319993</v>
      </c>
    </row>
    <row r="2625" spans="1:11" x14ac:dyDescent="0.35">
      <c r="A2625" s="1">
        <v>43313</v>
      </c>
      <c r="B2625" t="s">
        <v>7</v>
      </c>
      <c r="C2625" t="s">
        <v>38</v>
      </c>
      <c r="D2625">
        <v>7281</v>
      </c>
      <c r="E2625">
        <v>87382</v>
      </c>
      <c r="F2625">
        <f t="shared" si="266"/>
        <v>12.0013734377146</v>
      </c>
      <c r="G2625">
        <f t="shared" si="271"/>
        <v>544.38229913473424</v>
      </c>
      <c r="H2625">
        <v>595.73267261904755</v>
      </c>
      <c r="I2625" t="s">
        <v>38</v>
      </c>
      <c r="J2625">
        <f t="shared" si="270"/>
        <v>13.133436345217097</v>
      </c>
      <c r="K2625">
        <v>5415.9215773319993</v>
      </c>
    </row>
    <row r="2626" spans="1:11" x14ac:dyDescent="0.35">
      <c r="A2626" s="1">
        <v>43344</v>
      </c>
      <c r="B2626" t="s">
        <v>7</v>
      </c>
      <c r="C2626" t="s">
        <v>38</v>
      </c>
      <c r="D2626">
        <v>7102.0000000000009</v>
      </c>
      <c r="E2626">
        <v>75214.999999999985</v>
      </c>
      <c r="F2626">
        <f t="shared" si="266"/>
        <v>10.590678682061387</v>
      </c>
      <c r="G2626">
        <f t="shared" si="271"/>
        <v>480.39318501830451</v>
      </c>
      <c r="H2626">
        <v>741.97023809523796</v>
      </c>
      <c r="I2626" t="s">
        <v>38</v>
      </c>
      <c r="J2626">
        <f t="shared" si="270"/>
        <v>16.35736856470983</v>
      </c>
      <c r="K2626">
        <v>5415.9215773319993</v>
      </c>
    </row>
    <row r="2627" spans="1:11" x14ac:dyDescent="0.35">
      <c r="A2627" s="1">
        <v>43374</v>
      </c>
      <c r="B2627" t="s">
        <v>7</v>
      </c>
      <c r="C2627" t="s">
        <v>38</v>
      </c>
      <c r="D2627">
        <v>6301</v>
      </c>
      <c r="E2627">
        <v>81021</v>
      </c>
      <c r="F2627">
        <f t="shared" si="266"/>
        <v>12.85843516902079</v>
      </c>
      <c r="G2627">
        <f t="shared" si="271"/>
        <v>583.25861926678306</v>
      </c>
      <c r="H2627">
        <v>763.93154761904759</v>
      </c>
      <c r="I2627" t="s">
        <v>38</v>
      </c>
      <c r="J2627">
        <f t="shared" si="270"/>
        <v>16.841524418409339</v>
      </c>
      <c r="K2627">
        <v>5415.9215773319993</v>
      </c>
    </row>
    <row r="2628" spans="1:11" x14ac:dyDescent="0.35">
      <c r="A2628" s="1">
        <v>43405</v>
      </c>
      <c r="B2628" t="s">
        <v>7</v>
      </c>
      <c r="C2628" t="s">
        <v>38</v>
      </c>
      <c r="D2628">
        <v>13402</v>
      </c>
      <c r="E2628">
        <v>100127</v>
      </c>
      <c r="F2628">
        <f t="shared" si="266"/>
        <v>7.4710490971496792</v>
      </c>
      <c r="G2628">
        <f t="shared" si="271"/>
        <v>338.88678704670946</v>
      </c>
      <c r="H2628">
        <v>755.05952380952385</v>
      </c>
      <c r="I2628" t="s">
        <v>38</v>
      </c>
      <c r="J2628">
        <f t="shared" si="270"/>
        <v>16.645933064583858</v>
      </c>
      <c r="K2628">
        <v>5415.9215773319993</v>
      </c>
    </row>
    <row r="2629" spans="1:11" x14ac:dyDescent="0.35">
      <c r="A2629" s="1">
        <v>43435</v>
      </c>
      <c r="B2629" t="s">
        <v>7</v>
      </c>
      <c r="C2629" t="s">
        <v>38</v>
      </c>
      <c r="D2629">
        <v>8944.9999999999982</v>
      </c>
      <c r="E2629">
        <v>94813.999999999985</v>
      </c>
      <c r="F2629">
        <f t="shared" si="266"/>
        <v>10.599664617104528</v>
      </c>
      <c r="G2629">
        <f t="shared" si="271"/>
        <v>480.80078703186138</v>
      </c>
      <c r="H2629">
        <v>681.88035788888897</v>
      </c>
      <c r="I2629" t="s">
        <v>38</v>
      </c>
      <c r="J2629">
        <f t="shared" si="270"/>
        <v>15.032635755927888</v>
      </c>
      <c r="K2629">
        <v>5415.9215773320002</v>
      </c>
    </row>
    <row r="2630" spans="1:11" x14ac:dyDescent="0.35">
      <c r="A2630" s="1">
        <v>43101</v>
      </c>
      <c r="B2630" t="s">
        <v>8</v>
      </c>
      <c r="C2630" t="s">
        <v>38</v>
      </c>
      <c r="D2630">
        <v>9001</v>
      </c>
      <c r="E2630">
        <v>75214</v>
      </c>
      <c r="F2630">
        <f t="shared" si="266"/>
        <v>8.3561826463726252</v>
      </c>
      <c r="G2630">
        <f t="shared" si="271"/>
        <v>379.03644483946226</v>
      </c>
      <c r="H2630">
        <v>2271.1103661616198</v>
      </c>
      <c r="I2630" t="s">
        <v>38</v>
      </c>
      <c r="J2630">
        <f t="shared" si="270"/>
        <v>50.068570682575391</v>
      </c>
      <c r="K2630">
        <v>10167.271178400002</v>
      </c>
    </row>
    <row r="2631" spans="1:11" x14ac:dyDescent="0.35">
      <c r="A2631" s="1">
        <v>43132</v>
      </c>
      <c r="B2631" t="s">
        <v>8</v>
      </c>
      <c r="C2631" t="s">
        <v>38</v>
      </c>
      <c r="D2631">
        <v>9287</v>
      </c>
      <c r="E2631">
        <v>82457.999999999985</v>
      </c>
      <c r="F2631">
        <f t="shared" si="266"/>
        <v>8.8788629266716903</v>
      </c>
      <c r="G2631">
        <f t="shared" si="271"/>
        <v>402.74522235382784</v>
      </c>
      <c r="H2631">
        <v>2664.5808368714602</v>
      </c>
      <c r="I2631" t="s">
        <v>38</v>
      </c>
      <c r="J2631">
        <f t="shared" si="270"/>
        <v>58.742963775825842</v>
      </c>
      <c r="K2631">
        <v>10167.271178400002</v>
      </c>
    </row>
    <row r="2632" spans="1:11" x14ac:dyDescent="0.35">
      <c r="A2632" s="1">
        <v>43160</v>
      </c>
      <c r="B2632" t="s">
        <v>8</v>
      </c>
      <c r="C2632" t="s">
        <v>38</v>
      </c>
      <c r="D2632">
        <v>7784</v>
      </c>
      <c r="E2632">
        <v>80198</v>
      </c>
      <c r="F2632">
        <f t="shared" si="266"/>
        <v>10.302929085303186</v>
      </c>
      <c r="G2632">
        <f t="shared" si="271"/>
        <v>467.34086330935247</v>
      </c>
      <c r="H2632">
        <v>2877.7113075813099</v>
      </c>
      <c r="I2632" t="s">
        <v>38</v>
      </c>
      <c r="J2632">
        <f t="shared" si="270"/>
        <v>63.441607309993607</v>
      </c>
      <c r="K2632">
        <v>10167.271178400002</v>
      </c>
    </row>
    <row r="2633" spans="1:11" x14ac:dyDescent="0.35">
      <c r="A2633" s="1">
        <v>43191</v>
      </c>
      <c r="B2633" t="s">
        <v>8</v>
      </c>
      <c r="C2633" t="s">
        <v>38</v>
      </c>
      <c r="D2633">
        <v>9452</v>
      </c>
      <c r="E2633">
        <v>92458</v>
      </c>
      <c r="F2633">
        <f t="shared" si="266"/>
        <v>9.7818451121455769</v>
      </c>
      <c r="G2633">
        <f t="shared" si="271"/>
        <v>443.70449428692336</v>
      </c>
      <c r="H2633">
        <v>2961.1917782911496</v>
      </c>
      <c r="I2633" t="s">
        <v>38</v>
      </c>
      <c r="J2633">
        <f t="shared" si="270"/>
        <v>65.282005694249335</v>
      </c>
      <c r="K2633">
        <v>10167.271178400002</v>
      </c>
    </row>
    <row r="2634" spans="1:11" x14ac:dyDescent="0.35">
      <c r="A2634" s="1">
        <v>43221</v>
      </c>
      <c r="B2634" t="s">
        <v>8</v>
      </c>
      <c r="C2634" t="s">
        <v>38</v>
      </c>
      <c r="D2634">
        <v>5301</v>
      </c>
      <c r="E2634">
        <v>54214</v>
      </c>
      <c r="F2634">
        <f t="shared" si="266"/>
        <v>10.227126957177891</v>
      </c>
      <c r="G2634">
        <f t="shared" si="271"/>
        <v>463.90247877758912</v>
      </c>
      <c r="H2634">
        <v>2960.5022490010001</v>
      </c>
      <c r="I2634" t="s">
        <v>38</v>
      </c>
      <c r="J2634">
        <f t="shared" si="270"/>
        <v>65.266804431238981</v>
      </c>
      <c r="K2634">
        <v>10167.271178400002</v>
      </c>
    </row>
    <row r="2635" spans="1:11" x14ac:dyDescent="0.35">
      <c r="A2635" s="1">
        <v>43252</v>
      </c>
      <c r="B2635" t="s">
        <v>8</v>
      </c>
      <c r="C2635" t="s">
        <v>38</v>
      </c>
      <c r="D2635">
        <v>6541</v>
      </c>
      <c r="E2635">
        <v>47854</v>
      </c>
      <c r="F2635">
        <f t="shared" si="266"/>
        <v>7.3160067268001834</v>
      </c>
      <c r="G2635">
        <f t="shared" si="271"/>
        <v>331.85406512765633</v>
      </c>
      <c r="H2635">
        <v>2793.3727197108401</v>
      </c>
      <c r="I2635" t="s">
        <v>38</v>
      </c>
      <c r="J2635">
        <f t="shared" si="270"/>
        <v>61.582290998916228</v>
      </c>
      <c r="K2635">
        <v>10167.271178400002</v>
      </c>
    </row>
    <row r="2636" spans="1:11" x14ac:dyDescent="0.35">
      <c r="A2636" s="1">
        <v>43282</v>
      </c>
      <c r="B2636" t="s">
        <v>8</v>
      </c>
      <c r="C2636" t="s">
        <v>38</v>
      </c>
      <c r="D2636">
        <v>4421</v>
      </c>
      <c r="E2636">
        <v>42584.000000000007</v>
      </c>
      <c r="F2636">
        <f t="shared" si="266"/>
        <v>9.632209907260803</v>
      </c>
      <c r="G2636">
        <f t="shared" si="271"/>
        <v>436.91704139335002</v>
      </c>
      <c r="H2636">
        <v>2708.2531904206899</v>
      </c>
      <c r="I2636" t="s">
        <v>38</v>
      </c>
      <c r="J2636">
        <f t="shared" si="270"/>
        <v>59.705758166240962</v>
      </c>
      <c r="K2636">
        <v>10167.271178400002</v>
      </c>
    </row>
    <row r="2637" spans="1:11" x14ac:dyDescent="0.35">
      <c r="A2637" s="1">
        <v>43313</v>
      </c>
      <c r="B2637" t="s">
        <v>8</v>
      </c>
      <c r="C2637" t="s">
        <v>38</v>
      </c>
      <c r="D2637">
        <v>3852.0000000000005</v>
      </c>
      <c r="E2637">
        <v>30998</v>
      </c>
      <c r="F2637">
        <f t="shared" si="266"/>
        <v>8.0472481827621998</v>
      </c>
      <c r="G2637">
        <f t="shared" si="271"/>
        <v>365.02317757009337</v>
      </c>
      <c r="H2637">
        <v>1940.5636611305401</v>
      </c>
      <c r="I2637" t="s">
        <v>38</v>
      </c>
      <c r="J2637">
        <f t="shared" si="270"/>
        <v>42.78138582739286</v>
      </c>
      <c r="K2637">
        <v>10167.271178400002</v>
      </c>
    </row>
    <row r="2638" spans="1:11" x14ac:dyDescent="0.35">
      <c r="A2638" s="1">
        <v>43344</v>
      </c>
      <c r="B2638" t="s">
        <v>8</v>
      </c>
      <c r="C2638" t="s">
        <v>38</v>
      </c>
      <c r="D2638">
        <v>4658</v>
      </c>
      <c r="E2638">
        <v>40989</v>
      </c>
      <c r="F2638">
        <f t="shared" si="266"/>
        <v>8.7996994418205237</v>
      </c>
      <c r="G2638">
        <f t="shared" si="271"/>
        <v>399.15436668097897</v>
      </c>
      <c r="H2638">
        <v>1966.60413184038</v>
      </c>
      <c r="I2638" t="s">
        <v>38</v>
      </c>
      <c r="J2638">
        <f t="shared" si="270"/>
        <v>43.355470278667987</v>
      </c>
      <c r="K2638">
        <v>10167.271178400002</v>
      </c>
    </row>
    <row r="2639" spans="1:11" x14ac:dyDescent="0.35">
      <c r="A2639" s="1">
        <v>43374</v>
      </c>
      <c r="B2639" t="s">
        <v>8</v>
      </c>
      <c r="C2639" t="s">
        <v>38</v>
      </c>
      <c r="D2639">
        <v>3415</v>
      </c>
      <c r="E2639">
        <v>35986.999999999993</v>
      </c>
      <c r="F2639">
        <f t="shared" si="266"/>
        <v>10.537920937042458</v>
      </c>
      <c r="G2639">
        <f t="shared" si="271"/>
        <v>478.00009370424584</v>
      </c>
      <c r="H2639">
        <v>1992.64460255023</v>
      </c>
      <c r="I2639" t="s">
        <v>38</v>
      </c>
      <c r="J2639">
        <f t="shared" si="270"/>
        <v>43.929554729943341</v>
      </c>
      <c r="K2639">
        <v>10167.271178400002</v>
      </c>
    </row>
    <row r="2640" spans="1:11" x14ac:dyDescent="0.35">
      <c r="A2640" s="1">
        <v>43405</v>
      </c>
      <c r="B2640" t="s">
        <v>8</v>
      </c>
      <c r="C2640" t="s">
        <v>38</v>
      </c>
      <c r="D2640">
        <v>5621</v>
      </c>
      <c r="E2640">
        <v>49854</v>
      </c>
      <c r="F2640">
        <f t="shared" si="266"/>
        <v>8.8692403486924043</v>
      </c>
      <c r="G2640">
        <f t="shared" si="271"/>
        <v>402.30874221668745</v>
      </c>
      <c r="H2640">
        <v>2018.6850732600701</v>
      </c>
      <c r="I2640" t="s">
        <v>38</v>
      </c>
      <c r="J2640">
        <f t="shared" si="270"/>
        <v>44.503639181218475</v>
      </c>
      <c r="K2640">
        <v>10167.271178400002</v>
      </c>
    </row>
    <row r="2641" spans="1:11" x14ac:dyDescent="0.35">
      <c r="A2641" s="1">
        <v>43435</v>
      </c>
      <c r="B2641" t="s">
        <v>8</v>
      </c>
      <c r="C2641" t="s">
        <v>38</v>
      </c>
      <c r="D2641">
        <v>7004</v>
      </c>
      <c r="E2641">
        <v>59844</v>
      </c>
      <c r="F2641">
        <f t="shared" si="266"/>
        <v>8.5442604226156487</v>
      </c>
      <c r="G2641">
        <f t="shared" si="271"/>
        <v>387.56765276984584</v>
      </c>
      <c r="H2641">
        <v>1942.4855439699199</v>
      </c>
      <c r="I2641" t="s">
        <v>38</v>
      </c>
      <c r="J2641">
        <f t="shared" si="270"/>
        <v>42.823755378525576</v>
      </c>
      <c r="K2641">
        <v>10167.271178400002</v>
      </c>
    </row>
    <row r="2642" spans="1:11" x14ac:dyDescent="0.35">
      <c r="A2642" s="1">
        <v>43101</v>
      </c>
      <c r="B2642" t="s">
        <v>9</v>
      </c>
      <c r="C2642" t="s">
        <v>38</v>
      </c>
      <c r="D2642">
        <v>4865</v>
      </c>
      <c r="E2642">
        <v>139120</v>
      </c>
      <c r="F2642">
        <f t="shared" si="266"/>
        <v>28.596094552929085</v>
      </c>
      <c r="G2642">
        <f t="shared" si="271"/>
        <v>1297.1188489208632</v>
      </c>
      <c r="H2642">
        <v>1151.1479377104399</v>
      </c>
      <c r="I2642" t="s">
        <v>38</v>
      </c>
      <c r="J2642">
        <f t="shared" si="270"/>
        <v>25.378040954815695</v>
      </c>
      <c r="K2642">
        <v>23803.192305637327</v>
      </c>
    </row>
    <row r="2643" spans="1:11" x14ac:dyDescent="0.35">
      <c r="A2643" s="1">
        <v>43132</v>
      </c>
      <c r="B2643" t="s">
        <v>9</v>
      </c>
      <c r="C2643" t="s">
        <v>38</v>
      </c>
      <c r="D2643">
        <v>5521</v>
      </c>
      <c r="E2643">
        <v>189524</v>
      </c>
      <c r="F2643">
        <f t="shared" si="266"/>
        <v>34.327839159572541</v>
      </c>
      <c r="G2643">
        <f t="shared" si="271"/>
        <v>1557.1107842782105</v>
      </c>
      <c r="H2643">
        <v>1169.00171587672</v>
      </c>
      <c r="I2643" t="s">
        <v>38</v>
      </c>
      <c r="J2643">
        <f t="shared" si="270"/>
        <v>25.771642766241623</v>
      </c>
      <c r="K2643">
        <v>23803.192305637327</v>
      </c>
    </row>
    <row r="2644" spans="1:11" x14ac:dyDescent="0.35">
      <c r="A2644" s="1">
        <v>43160</v>
      </c>
      <c r="B2644" t="s">
        <v>9</v>
      </c>
      <c r="C2644" t="s">
        <v>38</v>
      </c>
      <c r="D2644">
        <v>4321.0000000000009</v>
      </c>
      <c r="E2644">
        <v>186015</v>
      </c>
      <c r="F2644">
        <f t="shared" si="266"/>
        <v>43.049062716963654</v>
      </c>
      <c r="G2644">
        <f t="shared" si="271"/>
        <v>1952.7054848414714</v>
      </c>
      <c r="H2644">
        <v>1068.1699446386908</v>
      </c>
      <c r="I2644" t="s">
        <v>38</v>
      </c>
      <c r="J2644">
        <f t="shared" si="270"/>
        <v>23.54872011990059</v>
      </c>
      <c r="K2644">
        <v>23803.192305637327</v>
      </c>
    </row>
    <row r="2645" spans="1:11" x14ac:dyDescent="0.35">
      <c r="A2645" s="1">
        <v>43191</v>
      </c>
      <c r="B2645" t="s">
        <v>9</v>
      </c>
      <c r="C2645" t="s">
        <v>38</v>
      </c>
      <c r="D2645">
        <v>4102</v>
      </c>
      <c r="E2645">
        <v>156925</v>
      </c>
      <c r="F2645">
        <f t="shared" si="266"/>
        <v>38.255728912725502</v>
      </c>
      <c r="G2645">
        <f t="shared" si="271"/>
        <v>1735.2798634812286</v>
      </c>
      <c r="H2645">
        <v>963.76741776741596</v>
      </c>
      <c r="I2645" t="s">
        <v>38</v>
      </c>
      <c r="J2645">
        <f t="shared" si="270"/>
        <v>21.247077111274603</v>
      </c>
      <c r="K2645">
        <v>23803.192305637327</v>
      </c>
    </row>
    <row r="2646" spans="1:11" x14ac:dyDescent="0.35">
      <c r="A2646" s="1">
        <v>43221</v>
      </c>
      <c r="B2646" t="s">
        <v>9</v>
      </c>
      <c r="C2646" t="s">
        <v>38</v>
      </c>
      <c r="D2646">
        <v>5010</v>
      </c>
      <c r="E2646">
        <v>196675</v>
      </c>
      <c r="F2646">
        <f t="shared" ref="F2646:F2709" si="272">E2646/D2646</f>
        <v>39.256487025948104</v>
      </c>
      <c r="G2646">
        <f t="shared" si="271"/>
        <v>1780.674251497006</v>
      </c>
      <c r="H2646">
        <v>978.05044030043996</v>
      </c>
      <c r="I2646" t="s">
        <v>38</v>
      </c>
      <c r="J2646">
        <f t="shared" si="270"/>
        <v>21.561958560415345</v>
      </c>
      <c r="K2646">
        <v>23803.192305637327</v>
      </c>
    </row>
    <row r="2647" spans="1:11" x14ac:dyDescent="0.35">
      <c r="A2647" s="1">
        <v>43252</v>
      </c>
      <c r="B2647" t="s">
        <v>9</v>
      </c>
      <c r="C2647" t="s">
        <v>38</v>
      </c>
      <c r="D2647">
        <v>3912</v>
      </c>
      <c r="E2647">
        <v>150121</v>
      </c>
      <c r="F2647">
        <f t="shared" si="272"/>
        <v>38.374488752556239</v>
      </c>
      <c r="G2647">
        <f t="shared" si="271"/>
        <v>1740.666809815951</v>
      </c>
      <c r="H2647">
        <v>806.27093855218959</v>
      </c>
      <c r="I2647" t="s">
        <v>38</v>
      </c>
      <c r="J2647">
        <f t="shared" si="270"/>
        <v>17.774932507764323</v>
      </c>
      <c r="K2647">
        <v>23803.192305637327</v>
      </c>
    </row>
    <row r="2648" spans="1:11" x14ac:dyDescent="0.35">
      <c r="A2648" s="1">
        <v>43282</v>
      </c>
      <c r="B2648" t="s">
        <v>9</v>
      </c>
      <c r="C2648" t="s">
        <v>38</v>
      </c>
      <c r="D2648">
        <v>3310</v>
      </c>
      <c r="E2648">
        <v>118245</v>
      </c>
      <c r="F2648">
        <f t="shared" si="272"/>
        <v>35.723564954682779</v>
      </c>
      <c r="G2648">
        <f t="shared" si="271"/>
        <v>1620.4209063444109</v>
      </c>
      <c r="H2648">
        <v>754.96236402486602</v>
      </c>
      <c r="I2648" t="s">
        <v>38</v>
      </c>
      <c r="J2648">
        <f t="shared" si="270"/>
        <v>16.643791094022621</v>
      </c>
      <c r="K2648">
        <v>23803.192305637327</v>
      </c>
    </row>
    <row r="2649" spans="1:11" x14ac:dyDescent="0.35">
      <c r="A2649" s="1">
        <v>43313</v>
      </c>
      <c r="B2649" t="s">
        <v>9</v>
      </c>
      <c r="C2649" t="s">
        <v>38</v>
      </c>
      <c r="D2649">
        <v>3385</v>
      </c>
      <c r="E2649">
        <v>127985</v>
      </c>
      <c r="F2649">
        <f t="shared" si="272"/>
        <v>37.809453471196456</v>
      </c>
      <c r="G2649">
        <f t="shared" si="271"/>
        <v>1715.0368094534713</v>
      </c>
      <c r="H2649">
        <v>893.28706941206599</v>
      </c>
      <c r="I2649" t="s">
        <v>38</v>
      </c>
      <c r="J2649">
        <f t="shared" si="270"/>
        <v>19.693277544357716</v>
      </c>
      <c r="K2649">
        <v>23803.192305637327</v>
      </c>
    </row>
    <row r="2650" spans="1:11" x14ac:dyDescent="0.35">
      <c r="A2650" s="1">
        <v>43344</v>
      </c>
      <c r="B2650" t="s">
        <v>9</v>
      </c>
      <c r="C2650" t="s">
        <v>38</v>
      </c>
      <c r="D2650">
        <v>4521.0000000000009</v>
      </c>
      <c r="E2650">
        <v>189456.99999999997</v>
      </c>
      <c r="F2650">
        <f t="shared" si="272"/>
        <v>41.90599424905993</v>
      </c>
      <c r="G2650">
        <f t="shared" si="271"/>
        <v>1900.8558991373584</v>
      </c>
      <c r="H2650">
        <v>905.78471412846216</v>
      </c>
      <c r="I2650" t="s">
        <v>38</v>
      </c>
      <c r="J2650">
        <f t="shared" si="270"/>
        <v>19.968798812355868</v>
      </c>
      <c r="K2650">
        <v>23803.192305637327</v>
      </c>
    </row>
    <row r="2651" spans="1:11" x14ac:dyDescent="0.35">
      <c r="A2651" s="1">
        <v>43374</v>
      </c>
      <c r="B2651" t="s">
        <v>9</v>
      </c>
      <c r="C2651" t="s">
        <v>38</v>
      </c>
      <c r="D2651">
        <v>3758</v>
      </c>
      <c r="E2651">
        <v>149899</v>
      </c>
      <c r="F2651">
        <f t="shared" si="272"/>
        <v>39.887972325705164</v>
      </c>
      <c r="G2651">
        <f t="shared" si="271"/>
        <v>1809.3184246939861</v>
      </c>
      <c r="H2651">
        <v>918.28235884485798</v>
      </c>
      <c r="I2651" t="s">
        <v>38</v>
      </c>
      <c r="J2651">
        <f t="shared" si="270"/>
        <v>20.244320080354012</v>
      </c>
      <c r="K2651">
        <v>23803.192305637327</v>
      </c>
    </row>
    <row r="2652" spans="1:11" x14ac:dyDescent="0.35">
      <c r="A2652" s="1">
        <v>43405</v>
      </c>
      <c r="B2652" t="s">
        <v>9</v>
      </c>
      <c r="C2652" t="s">
        <v>38</v>
      </c>
      <c r="D2652">
        <v>5321</v>
      </c>
      <c r="E2652">
        <v>177455</v>
      </c>
      <c r="F2652">
        <f t="shared" si="272"/>
        <v>33.349934222890433</v>
      </c>
      <c r="G2652">
        <f t="shared" si="271"/>
        <v>1512.75301635031</v>
      </c>
      <c r="H2652">
        <v>1063.748575498576</v>
      </c>
      <c r="I2652" t="s">
        <v>38</v>
      </c>
      <c r="J2652">
        <f t="shared" si="270"/>
        <v>23.451247255259613</v>
      </c>
      <c r="K2652">
        <v>23803.192305637327</v>
      </c>
    </row>
    <row r="2653" spans="1:11" x14ac:dyDescent="0.35">
      <c r="A2653" s="1">
        <v>43435</v>
      </c>
      <c r="B2653" t="s">
        <v>9</v>
      </c>
      <c r="C2653" t="s">
        <v>38</v>
      </c>
      <c r="D2653">
        <v>4775</v>
      </c>
      <c r="E2653">
        <v>170898</v>
      </c>
      <c r="F2653">
        <f t="shared" si="272"/>
        <v>35.790157068062825</v>
      </c>
      <c r="G2653">
        <f t="shared" si="271"/>
        <v>1623.4415246073297</v>
      </c>
      <c r="H2653">
        <v>1145.408572908575</v>
      </c>
      <c r="I2653" t="s">
        <v>38</v>
      </c>
      <c r="J2653">
        <f t="shared" si="270"/>
        <v>25.251511748425376</v>
      </c>
      <c r="K2653">
        <v>23803.192305637327</v>
      </c>
    </row>
    <row r="2654" spans="1:11" x14ac:dyDescent="0.35">
      <c r="A2654" s="1">
        <v>43101</v>
      </c>
      <c r="B2654" t="s">
        <v>10</v>
      </c>
      <c r="C2654" t="s">
        <v>38</v>
      </c>
      <c r="D2654">
        <v>5645</v>
      </c>
      <c r="E2654">
        <v>70123.999999999985</v>
      </c>
      <c r="F2654">
        <f t="shared" si="272"/>
        <v>12.422320637732504</v>
      </c>
      <c r="G2654">
        <f t="shared" si="271"/>
        <v>563.47646412754636</v>
      </c>
      <c r="H2654">
        <v>1974.2604166666665</v>
      </c>
      <c r="I2654" t="s">
        <v>38</v>
      </c>
      <c r="J2654">
        <f t="shared" si="270"/>
        <v>43.524259626690181</v>
      </c>
      <c r="K2654">
        <v>9413.7321988511994</v>
      </c>
    </row>
    <row r="2655" spans="1:11" x14ac:dyDescent="0.35">
      <c r="A2655" s="1">
        <v>43132</v>
      </c>
      <c r="B2655" t="s">
        <v>10</v>
      </c>
      <c r="C2655" t="s">
        <v>38</v>
      </c>
      <c r="D2655">
        <v>7850.9999999999991</v>
      </c>
      <c r="E2655">
        <v>74251</v>
      </c>
      <c r="F2655">
        <f t="shared" si="272"/>
        <v>9.4575213348618021</v>
      </c>
      <c r="G2655">
        <f t="shared" si="271"/>
        <v>428.99316774933135</v>
      </c>
      <c r="H2655">
        <v>2066.4801587301586</v>
      </c>
      <c r="I2655" t="s">
        <v>38</v>
      </c>
      <c r="J2655">
        <f t="shared" si="270"/>
        <v>45.557322723328014</v>
      </c>
      <c r="K2655">
        <v>9413.7321988511994</v>
      </c>
    </row>
    <row r="2656" spans="1:11" x14ac:dyDescent="0.35">
      <c r="A2656" s="1">
        <v>43160</v>
      </c>
      <c r="B2656" t="s">
        <v>10</v>
      </c>
      <c r="C2656" t="s">
        <v>38</v>
      </c>
      <c r="D2656">
        <v>6845</v>
      </c>
      <c r="E2656">
        <v>57891</v>
      </c>
      <c r="F2656">
        <f t="shared" si="272"/>
        <v>8.4574141709276844</v>
      </c>
      <c r="G2656">
        <f t="shared" si="271"/>
        <v>383.62830679327976</v>
      </c>
      <c r="H2656">
        <v>1979.1432291666665</v>
      </c>
      <c r="I2656" t="s">
        <v>38</v>
      </c>
      <c r="J2656">
        <f t="shared" si="270"/>
        <v>43.631905404908878</v>
      </c>
      <c r="K2656">
        <v>9413.7321988511994</v>
      </c>
    </row>
    <row r="2657" spans="1:11" x14ac:dyDescent="0.35">
      <c r="A2657" s="1">
        <v>43191</v>
      </c>
      <c r="B2657" t="s">
        <v>10</v>
      </c>
      <c r="C2657" t="s">
        <v>38</v>
      </c>
      <c r="D2657">
        <v>6854</v>
      </c>
      <c r="E2657">
        <v>66498</v>
      </c>
      <c r="F2657">
        <f t="shared" si="272"/>
        <v>9.7020717829004965</v>
      </c>
      <c r="G2657">
        <f t="shared" si="271"/>
        <v>440.08597607236652</v>
      </c>
      <c r="H2657">
        <v>2017.1875</v>
      </c>
      <c r="I2657" t="s">
        <v>38</v>
      </c>
      <c r="J2657">
        <f t="shared" si="270"/>
        <v>44.470623897707235</v>
      </c>
      <c r="K2657">
        <v>9413.7321988511994</v>
      </c>
    </row>
    <row r="2658" spans="1:11" x14ac:dyDescent="0.35">
      <c r="A2658" s="1">
        <v>43221</v>
      </c>
      <c r="B2658" t="s">
        <v>10</v>
      </c>
      <c r="C2658" t="s">
        <v>38</v>
      </c>
      <c r="D2658">
        <v>5898</v>
      </c>
      <c r="E2658">
        <v>38998</v>
      </c>
      <c r="F2658">
        <f t="shared" si="272"/>
        <v>6.6120718887758558</v>
      </c>
      <c r="G2658">
        <f t="shared" si="271"/>
        <v>299.92358087487281</v>
      </c>
      <c r="H2658">
        <v>1995.3833333333332</v>
      </c>
      <c r="I2658" t="s">
        <v>38</v>
      </c>
      <c r="J2658">
        <f t="shared" si="270"/>
        <v>43.989932392710166</v>
      </c>
      <c r="K2658">
        <v>9413.7321988511994</v>
      </c>
    </row>
    <row r="2659" spans="1:11" x14ac:dyDescent="0.35">
      <c r="A2659" s="1">
        <v>43252</v>
      </c>
      <c r="B2659" t="s">
        <v>10</v>
      </c>
      <c r="C2659" t="s">
        <v>38</v>
      </c>
      <c r="D2659">
        <v>6214</v>
      </c>
      <c r="E2659">
        <v>58254</v>
      </c>
      <c r="F2659">
        <f t="shared" si="272"/>
        <v>9.3746379143868683</v>
      </c>
      <c r="G2659">
        <f t="shared" si="271"/>
        <v>425.23357579658835</v>
      </c>
      <c r="H2659">
        <v>2131.5</v>
      </c>
      <c r="I2659" t="s">
        <v>38</v>
      </c>
      <c r="J2659">
        <f t="shared" si="270"/>
        <v>46.99074074074074</v>
      </c>
      <c r="K2659">
        <v>9413.7321988511994</v>
      </c>
    </row>
    <row r="2660" spans="1:11" x14ac:dyDescent="0.35">
      <c r="A2660" s="1">
        <v>43282</v>
      </c>
      <c r="B2660" t="s">
        <v>10</v>
      </c>
      <c r="C2660" t="s">
        <v>38</v>
      </c>
      <c r="D2660">
        <v>4854.0000000000009</v>
      </c>
      <c r="E2660">
        <v>45788.000000000007</v>
      </c>
      <c r="F2660">
        <f t="shared" si="272"/>
        <v>9.4330449114132673</v>
      </c>
      <c r="G2660">
        <f t="shared" si="271"/>
        <v>427.88291718170581</v>
      </c>
      <c r="H2660">
        <v>2133.005208333333</v>
      </c>
      <c r="I2660" t="s">
        <v>38</v>
      </c>
      <c r="J2660">
        <f t="shared" si="270"/>
        <v>47.023924345972951</v>
      </c>
      <c r="K2660">
        <v>9413.7321988511994</v>
      </c>
    </row>
    <row r="2661" spans="1:11" x14ac:dyDescent="0.35">
      <c r="A2661" s="1">
        <v>43313</v>
      </c>
      <c r="B2661" t="s">
        <v>10</v>
      </c>
      <c r="C2661" t="s">
        <v>38</v>
      </c>
      <c r="D2661">
        <v>4692</v>
      </c>
      <c r="E2661">
        <v>48999</v>
      </c>
      <c r="F2661">
        <f t="shared" si="272"/>
        <v>10.443094629156009</v>
      </c>
      <c r="G2661">
        <f t="shared" si="271"/>
        <v>473.69877237851659</v>
      </c>
      <c r="H2661">
        <v>2281.0520833333335</v>
      </c>
      <c r="I2661" t="s">
        <v>38</v>
      </c>
      <c r="J2661">
        <f t="shared" si="270"/>
        <v>50.287744341563787</v>
      </c>
      <c r="K2661">
        <v>9413.7321988511994</v>
      </c>
    </row>
    <row r="2662" spans="1:11" x14ac:dyDescent="0.35">
      <c r="A2662" s="1">
        <v>43344</v>
      </c>
      <c r="B2662" t="s">
        <v>10</v>
      </c>
      <c r="C2662" t="s">
        <v>38</v>
      </c>
      <c r="D2662">
        <v>4621</v>
      </c>
      <c r="E2662">
        <v>44989</v>
      </c>
      <c r="F2662">
        <f t="shared" si="272"/>
        <v>9.7357714780350566</v>
      </c>
      <c r="G2662">
        <f t="shared" si="271"/>
        <v>441.61459424367018</v>
      </c>
      <c r="H2662">
        <v>2442.765625</v>
      </c>
      <c r="I2662" t="s">
        <v>38</v>
      </c>
      <c r="J2662">
        <f t="shared" si="270"/>
        <v>53.852857694003525</v>
      </c>
      <c r="K2662">
        <v>9413.7321988511994</v>
      </c>
    </row>
    <row r="2663" spans="1:11" x14ac:dyDescent="0.35">
      <c r="A2663" s="1">
        <v>43374</v>
      </c>
      <c r="B2663" t="s">
        <v>10</v>
      </c>
      <c r="C2663" t="s">
        <v>38</v>
      </c>
      <c r="D2663">
        <v>5314.0000000000009</v>
      </c>
      <c r="E2663">
        <v>53214.999999999993</v>
      </c>
      <c r="F2663">
        <f t="shared" si="272"/>
        <v>10.014113662024837</v>
      </c>
      <c r="G2663">
        <f t="shared" si="271"/>
        <v>454.2401957094466</v>
      </c>
      <c r="H2663">
        <v>2612.3958333333335</v>
      </c>
      <c r="I2663" t="s">
        <v>38</v>
      </c>
      <c r="J2663">
        <f t="shared" si="270"/>
        <v>57.592500734861851</v>
      </c>
      <c r="K2663">
        <v>9413.7321988511994</v>
      </c>
    </row>
    <row r="2664" spans="1:11" x14ac:dyDescent="0.35">
      <c r="A2664" s="1">
        <v>43405</v>
      </c>
      <c r="B2664" t="s">
        <v>10</v>
      </c>
      <c r="C2664" t="s">
        <v>38</v>
      </c>
      <c r="D2664">
        <v>6566</v>
      </c>
      <c r="E2664">
        <v>48744</v>
      </c>
      <c r="F2664">
        <f t="shared" si="272"/>
        <v>7.4236978373438927</v>
      </c>
      <c r="G2664">
        <f t="shared" si="271"/>
        <v>336.73893390191898</v>
      </c>
      <c r="H2664">
        <v>2535.03125</v>
      </c>
      <c r="I2664" t="s">
        <v>38</v>
      </c>
      <c r="J2664">
        <f t="shared" si="270"/>
        <v>55.886932319223988</v>
      </c>
      <c r="K2664">
        <v>9413.7321988511994</v>
      </c>
    </row>
    <row r="2665" spans="1:11" x14ac:dyDescent="0.35">
      <c r="A2665" s="1">
        <v>43435</v>
      </c>
      <c r="B2665" t="s">
        <v>10</v>
      </c>
      <c r="C2665" t="s">
        <v>38</v>
      </c>
      <c r="D2665">
        <v>8245.0000000000018</v>
      </c>
      <c r="E2665">
        <v>82457</v>
      </c>
      <c r="F2665">
        <f t="shared" si="272"/>
        <v>10.00084899939357</v>
      </c>
      <c r="G2665">
        <f t="shared" si="271"/>
        <v>453.63851061249233</v>
      </c>
      <c r="H2665">
        <v>2678.8984126984128</v>
      </c>
      <c r="I2665" t="s">
        <v>38</v>
      </c>
      <c r="J2665">
        <f t="shared" si="270"/>
        <v>59.058606981887408</v>
      </c>
      <c r="K2665">
        <v>9413.7321988511994</v>
      </c>
    </row>
    <row r="2666" spans="1:11" x14ac:dyDescent="0.35">
      <c r="A2666" s="1">
        <v>43101</v>
      </c>
      <c r="B2666" t="s">
        <v>11</v>
      </c>
      <c r="C2666" t="s">
        <v>38</v>
      </c>
      <c r="D2666">
        <v>25647.000000000004</v>
      </c>
      <c r="E2666">
        <v>272015</v>
      </c>
      <c r="F2666">
        <f t="shared" si="272"/>
        <v>10.606113775490309</v>
      </c>
      <c r="G2666">
        <f t="shared" si="271"/>
        <v>481.09332085624038</v>
      </c>
      <c r="H2666">
        <v>770.83333333333326</v>
      </c>
      <c r="I2666" t="s">
        <v>38</v>
      </c>
      <c r="J2666">
        <f t="shared" si="270"/>
        <v>16.993680188124632</v>
      </c>
      <c r="K2666">
        <v>4549.7689931721789</v>
      </c>
    </row>
    <row r="2667" spans="1:11" x14ac:dyDescent="0.35">
      <c r="A2667" s="1">
        <v>43132</v>
      </c>
      <c r="B2667" t="s">
        <v>11</v>
      </c>
      <c r="C2667" t="s">
        <v>38</v>
      </c>
      <c r="D2667">
        <v>35689.000000000007</v>
      </c>
      <c r="E2667">
        <v>395958</v>
      </c>
      <c r="F2667">
        <f t="shared" si="272"/>
        <v>11.094679032755188</v>
      </c>
      <c r="G2667">
        <f t="shared" si="271"/>
        <v>503.25464092577533</v>
      </c>
      <c r="H2667">
        <v>814.94047619047626</v>
      </c>
      <c r="I2667" t="s">
        <v>38</v>
      </c>
      <c r="J2667">
        <f t="shared" si="270"/>
        <v>17.966059880742421</v>
      </c>
      <c r="K2667">
        <v>4549.7689931721789</v>
      </c>
    </row>
    <row r="2668" spans="1:11" x14ac:dyDescent="0.35">
      <c r="A2668" s="1">
        <v>43160</v>
      </c>
      <c r="B2668" t="s">
        <v>11</v>
      </c>
      <c r="C2668" t="s">
        <v>38</v>
      </c>
      <c r="D2668">
        <v>27845</v>
      </c>
      <c r="E2668">
        <v>265478</v>
      </c>
      <c r="F2668">
        <f t="shared" si="272"/>
        <v>9.5341353923505121</v>
      </c>
      <c r="G2668">
        <f t="shared" si="271"/>
        <v>432.46838139701924</v>
      </c>
      <c r="H2668">
        <v>971.66666666666663</v>
      </c>
      <c r="I2668" t="s">
        <v>38</v>
      </c>
      <c r="J2668">
        <f t="shared" si="270"/>
        <v>21.421222810111697</v>
      </c>
      <c r="K2668">
        <v>4549.7689931721789</v>
      </c>
    </row>
    <row r="2669" spans="1:11" x14ac:dyDescent="0.35">
      <c r="A2669" s="1">
        <v>43191</v>
      </c>
      <c r="B2669" t="s">
        <v>11</v>
      </c>
      <c r="C2669" t="s">
        <v>38</v>
      </c>
      <c r="D2669">
        <v>28545</v>
      </c>
      <c r="E2669">
        <v>273589</v>
      </c>
      <c r="F2669">
        <f t="shared" si="272"/>
        <v>9.5844806445962512</v>
      </c>
      <c r="G2669">
        <f t="shared" si="271"/>
        <v>434.75204203888597</v>
      </c>
      <c r="H2669">
        <v>1137.8515625</v>
      </c>
      <c r="I2669" t="s">
        <v>38</v>
      </c>
      <c r="J2669">
        <f t="shared" si="270"/>
        <v>25.084910989858908</v>
      </c>
      <c r="K2669">
        <v>4549.7689931721789</v>
      </c>
    </row>
    <row r="2670" spans="1:11" x14ac:dyDescent="0.35">
      <c r="A2670" s="1">
        <v>43221</v>
      </c>
      <c r="B2670" t="s">
        <v>11</v>
      </c>
      <c r="C2670" t="s">
        <v>38</v>
      </c>
      <c r="D2670">
        <v>24154</v>
      </c>
      <c r="E2670">
        <v>245871</v>
      </c>
      <c r="F2670">
        <f t="shared" si="272"/>
        <v>10.179307775109713</v>
      </c>
      <c r="G2670">
        <f t="shared" si="271"/>
        <v>461.73340067897658</v>
      </c>
      <c r="H2670">
        <v>1168.5930555555556</v>
      </c>
      <c r="I2670" t="s">
        <v>38</v>
      </c>
      <c r="J2670">
        <f t="shared" si="270"/>
        <v>25.762633499902019</v>
      </c>
      <c r="K2670">
        <v>4549.7689931721789</v>
      </c>
    </row>
    <row r="2671" spans="1:11" x14ac:dyDescent="0.35">
      <c r="A2671" s="1">
        <v>43252</v>
      </c>
      <c r="B2671" t="s">
        <v>11</v>
      </c>
      <c r="C2671" t="s">
        <v>38</v>
      </c>
      <c r="D2671">
        <v>26544</v>
      </c>
      <c r="E2671">
        <v>254587</v>
      </c>
      <c r="F2671">
        <f t="shared" si="272"/>
        <v>9.5911317058468963</v>
      </c>
      <c r="G2671">
        <f t="shared" si="271"/>
        <v>435.05373417721523</v>
      </c>
      <c r="H2671">
        <v>1215.5911458333333</v>
      </c>
      <c r="I2671" t="s">
        <v>38</v>
      </c>
      <c r="J2671">
        <f t="shared" ref="J2671:J2701" si="273">H2671/45.36</f>
        <v>26.798746601263961</v>
      </c>
      <c r="K2671">
        <v>4549.7689931721789</v>
      </c>
    </row>
    <row r="2672" spans="1:11" x14ac:dyDescent="0.35">
      <c r="A2672" s="1">
        <v>43282</v>
      </c>
      <c r="B2672" t="s">
        <v>11</v>
      </c>
      <c r="C2672" t="s">
        <v>38</v>
      </c>
      <c r="D2672">
        <v>18524</v>
      </c>
      <c r="E2672">
        <v>183699.00000000003</v>
      </c>
      <c r="F2672">
        <f t="shared" si="272"/>
        <v>9.916810624055282</v>
      </c>
      <c r="G2672">
        <f t="shared" si="271"/>
        <v>449.82652990714757</v>
      </c>
      <c r="H2672">
        <v>1293.6614583333333</v>
      </c>
      <c r="I2672" t="s">
        <v>38</v>
      </c>
      <c r="J2672">
        <f t="shared" si="273"/>
        <v>28.519873420047031</v>
      </c>
      <c r="K2672">
        <v>4549.7689931721789</v>
      </c>
    </row>
    <row r="2673" spans="1:11" x14ac:dyDescent="0.35">
      <c r="A2673" s="1">
        <v>43313</v>
      </c>
      <c r="B2673" t="s">
        <v>11</v>
      </c>
      <c r="C2673" t="s">
        <v>38</v>
      </c>
      <c r="D2673">
        <v>26754</v>
      </c>
      <c r="E2673">
        <v>284125</v>
      </c>
      <c r="F2673">
        <f t="shared" si="272"/>
        <v>10.619907303580773</v>
      </c>
      <c r="G2673">
        <f t="shared" si="271"/>
        <v>481.71899529042383</v>
      </c>
      <c r="H2673">
        <v>1296.9765625</v>
      </c>
      <c r="I2673" t="s">
        <v>38</v>
      </c>
      <c r="J2673">
        <f t="shared" si="273"/>
        <v>28.59295772707231</v>
      </c>
      <c r="K2673">
        <v>4549.7689931721789</v>
      </c>
    </row>
    <row r="2674" spans="1:11" x14ac:dyDescent="0.35">
      <c r="A2674" s="1">
        <v>43344</v>
      </c>
      <c r="B2674" t="s">
        <v>11</v>
      </c>
      <c r="C2674" t="s">
        <v>38</v>
      </c>
      <c r="D2674">
        <v>25698</v>
      </c>
      <c r="E2674">
        <v>289546.99999999994</v>
      </c>
      <c r="F2674">
        <f t="shared" si="272"/>
        <v>11.267297065919525</v>
      </c>
      <c r="G2674">
        <f t="shared" si="271"/>
        <v>511.08459491010967</v>
      </c>
      <c r="H2674">
        <v>1163.03125</v>
      </c>
      <c r="I2674" t="s">
        <v>38</v>
      </c>
      <c r="J2674">
        <f t="shared" si="273"/>
        <v>25.640018738977073</v>
      </c>
      <c r="K2674">
        <v>4549.7689931721789</v>
      </c>
    </row>
    <row r="2675" spans="1:11" x14ac:dyDescent="0.35">
      <c r="A2675" s="1">
        <v>43374</v>
      </c>
      <c r="B2675" t="s">
        <v>11</v>
      </c>
      <c r="C2675" t="s">
        <v>38</v>
      </c>
      <c r="D2675">
        <v>30561.999999999996</v>
      </c>
      <c r="E2675">
        <v>321012</v>
      </c>
      <c r="F2675">
        <f t="shared" si="272"/>
        <v>10.503631961259082</v>
      </c>
      <c r="G2675">
        <f t="shared" si="271"/>
        <v>476.44474576271193</v>
      </c>
      <c r="H2675">
        <v>1114.9427083333335</v>
      </c>
      <c r="I2675" t="s">
        <v>38</v>
      </c>
      <c r="J2675">
        <f t="shared" si="273"/>
        <v>24.579865703997651</v>
      </c>
      <c r="K2675">
        <v>4549.7689931721789</v>
      </c>
    </row>
    <row r="2676" spans="1:11" x14ac:dyDescent="0.35">
      <c r="A2676" s="1">
        <v>43405</v>
      </c>
      <c r="B2676" t="s">
        <v>11</v>
      </c>
      <c r="C2676" t="s">
        <v>38</v>
      </c>
      <c r="D2676">
        <v>46012</v>
      </c>
      <c r="E2676">
        <v>420124</v>
      </c>
      <c r="F2676">
        <f t="shared" si="272"/>
        <v>9.1307485003912028</v>
      </c>
      <c r="G2676">
        <f t="shared" ref="G2676:G2739" si="274">F2676*45.36</f>
        <v>414.17075197774494</v>
      </c>
      <c r="H2676">
        <v>939.2881666666666</v>
      </c>
      <c r="I2676" t="s">
        <v>38</v>
      </c>
      <c r="J2676">
        <f t="shared" si="273"/>
        <v>20.707411081716636</v>
      </c>
      <c r="K2676">
        <v>4549.7689931721789</v>
      </c>
    </row>
    <row r="2677" spans="1:11" x14ac:dyDescent="0.35">
      <c r="A2677" s="1">
        <v>43435</v>
      </c>
      <c r="B2677" t="s">
        <v>11</v>
      </c>
      <c r="C2677" t="s">
        <v>38</v>
      </c>
      <c r="D2677">
        <v>28599</v>
      </c>
      <c r="E2677">
        <v>333568.99999999988</v>
      </c>
      <c r="F2677">
        <f t="shared" si="272"/>
        <v>11.663659568516378</v>
      </c>
      <c r="G2677">
        <f t="shared" si="274"/>
        <v>529.06359802790291</v>
      </c>
      <c r="H2677">
        <v>866.28490476190473</v>
      </c>
      <c r="I2677" t="s">
        <v>38</v>
      </c>
      <c r="J2677">
        <f t="shared" si="273"/>
        <v>19.097991727555218</v>
      </c>
      <c r="K2677">
        <v>4549.7689931721789</v>
      </c>
    </row>
    <row r="2678" spans="1:11" x14ac:dyDescent="0.35">
      <c r="A2678" s="1">
        <v>43101</v>
      </c>
      <c r="B2678" t="s">
        <v>12</v>
      </c>
      <c r="C2678" t="s">
        <v>38</v>
      </c>
      <c r="D2678">
        <v>12420</v>
      </c>
      <c r="E2678">
        <v>78998.000000000015</v>
      </c>
      <c r="F2678">
        <f t="shared" si="272"/>
        <v>6.3605475040257664</v>
      </c>
      <c r="G2678">
        <f t="shared" si="274"/>
        <v>288.51443478260876</v>
      </c>
      <c r="H2678">
        <v>950.98437500000011</v>
      </c>
      <c r="I2678" t="s">
        <v>38</v>
      </c>
      <c r="J2678">
        <f t="shared" si="273"/>
        <v>20.965263999118168</v>
      </c>
      <c r="K2678">
        <v>1733.52094425</v>
      </c>
    </row>
    <row r="2679" spans="1:11" x14ac:dyDescent="0.35">
      <c r="A2679" s="1">
        <v>43132</v>
      </c>
      <c r="B2679" t="s">
        <v>12</v>
      </c>
      <c r="C2679" t="s">
        <v>38</v>
      </c>
      <c r="D2679">
        <v>12012.000000000002</v>
      </c>
      <c r="E2679">
        <v>78990</v>
      </c>
      <c r="F2679">
        <f t="shared" si="272"/>
        <v>6.5759240759240747</v>
      </c>
      <c r="G2679">
        <f t="shared" si="274"/>
        <v>298.28391608391604</v>
      </c>
      <c r="H2679">
        <v>1078.2797619047617</v>
      </c>
      <c r="I2679" t="s">
        <v>38</v>
      </c>
      <c r="J2679">
        <f t="shared" si="273"/>
        <v>23.771599689258416</v>
      </c>
      <c r="K2679">
        <v>1733.52094425</v>
      </c>
    </row>
    <row r="2680" spans="1:11" x14ac:dyDescent="0.35">
      <c r="A2680" s="1">
        <v>43160</v>
      </c>
      <c r="B2680" t="s">
        <v>12</v>
      </c>
      <c r="C2680" t="s">
        <v>38</v>
      </c>
      <c r="D2680">
        <v>15021</v>
      </c>
      <c r="E2680">
        <v>85475</v>
      </c>
      <c r="F2680">
        <f t="shared" si="272"/>
        <v>5.6903668197856332</v>
      </c>
      <c r="G2680">
        <f t="shared" si="274"/>
        <v>258.11503894547633</v>
      </c>
      <c r="H2680">
        <v>1022.0052083333334</v>
      </c>
      <c r="I2680" t="s">
        <v>38</v>
      </c>
      <c r="J2680">
        <f t="shared" si="273"/>
        <v>22.5309790196943</v>
      </c>
      <c r="K2680">
        <v>1733.52094425</v>
      </c>
    </row>
    <row r="2681" spans="1:11" x14ac:dyDescent="0.35">
      <c r="A2681" s="1">
        <v>43191</v>
      </c>
      <c r="B2681" t="s">
        <v>12</v>
      </c>
      <c r="C2681" t="s">
        <v>38</v>
      </c>
      <c r="D2681">
        <v>8541</v>
      </c>
      <c r="E2681">
        <v>63052</v>
      </c>
      <c r="F2681">
        <f t="shared" si="272"/>
        <v>7.3822737384381218</v>
      </c>
      <c r="G2681">
        <f t="shared" si="274"/>
        <v>334.85993677555319</v>
      </c>
      <c r="H2681">
        <v>1007.4401041666666</v>
      </c>
      <c r="I2681" t="s">
        <v>38</v>
      </c>
      <c r="J2681">
        <f t="shared" si="273"/>
        <v>22.209878839653143</v>
      </c>
      <c r="K2681">
        <v>1733.52094425</v>
      </c>
    </row>
    <row r="2682" spans="1:11" x14ac:dyDescent="0.35">
      <c r="A2682" s="1">
        <v>43221</v>
      </c>
      <c r="B2682" t="s">
        <v>12</v>
      </c>
      <c r="C2682" t="s">
        <v>38</v>
      </c>
      <c r="D2682">
        <v>9521</v>
      </c>
      <c r="E2682">
        <v>65870</v>
      </c>
      <c r="F2682">
        <f t="shared" si="272"/>
        <v>6.9183909253229698</v>
      </c>
      <c r="G2682">
        <f t="shared" si="274"/>
        <v>313.8182123726499</v>
      </c>
      <c r="H2682">
        <v>1139.239583333333</v>
      </c>
      <c r="I2682" t="s">
        <v>38</v>
      </c>
      <c r="J2682">
        <f t="shared" si="273"/>
        <v>25.115511096413869</v>
      </c>
      <c r="K2682">
        <v>1733.52094425</v>
      </c>
    </row>
    <row r="2683" spans="1:11" x14ac:dyDescent="0.35">
      <c r="A2683" s="1">
        <v>43252</v>
      </c>
      <c r="B2683" t="s">
        <v>12</v>
      </c>
      <c r="C2683" t="s">
        <v>38</v>
      </c>
      <c r="D2683">
        <v>11021.000000000002</v>
      </c>
      <c r="E2683">
        <v>67549.202668397236</v>
      </c>
      <c r="F2683">
        <f t="shared" si="272"/>
        <v>6.1291355292983596</v>
      </c>
      <c r="G2683">
        <f t="shared" si="274"/>
        <v>278.0175876089736</v>
      </c>
      <c r="H2683">
        <v>1204.3072916666667</v>
      </c>
      <c r="I2683" t="s">
        <v>38</v>
      </c>
      <c r="J2683">
        <f t="shared" si="273"/>
        <v>26.549984384185777</v>
      </c>
      <c r="K2683">
        <v>1733.52094425</v>
      </c>
    </row>
    <row r="2684" spans="1:11" x14ac:dyDescent="0.35">
      <c r="A2684" s="1">
        <v>43282</v>
      </c>
      <c r="B2684" t="s">
        <v>12</v>
      </c>
      <c r="C2684" t="s">
        <v>38</v>
      </c>
      <c r="D2684">
        <v>10244.999999999998</v>
      </c>
      <c r="E2684">
        <v>54213.999999999993</v>
      </c>
      <c r="F2684">
        <f t="shared" si="272"/>
        <v>5.2917520741825284</v>
      </c>
      <c r="G2684">
        <f t="shared" si="274"/>
        <v>240.03387408491949</v>
      </c>
      <c r="H2684">
        <v>912.86535714285708</v>
      </c>
      <c r="I2684" t="s">
        <v>38</v>
      </c>
      <c r="J2684">
        <f t="shared" si="273"/>
        <v>20.124897644242882</v>
      </c>
      <c r="K2684">
        <v>1733.52094425</v>
      </c>
    </row>
    <row r="2685" spans="1:11" x14ac:dyDescent="0.35">
      <c r="A2685" s="1">
        <v>43313</v>
      </c>
      <c r="B2685" t="s">
        <v>12</v>
      </c>
      <c r="C2685" t="s">
        <v>38</v>
      </c>
      <c r="D2685">
        <v>9142</v>
      </c>
      <c r="E2685">
        <v>81021</v>
      </c>
      <c r="F2685">
        <f t="shared" si="272"/>
        <v>8.8625027346313718</v>
      </c>
      <c r="G2685">
        <f t="shared" si="274"/>
        <v>402.00312404287899</v>
      </c>
      <c r="H2685">
        <v>815.33293809523809</v>
      </c>
      <c r="I2685" t="s">
        <v>38</v>
      </c>
      <c r="J2685">
        <f t="shared" si="273"/>
        <v>17.974712039136641</v>
      </c>
      <c r="K2685">
        <v>1733.52094425</v>
      </c>
    </row>
    <row r="2686" spans="1:11" x14ac:dyDescent="0.35">
      <c r="A2686" s="1">
        <v>43344</v>
      </c>
      <c r="B2686" t="s">
        <v>12</v>
      </c>
      <c r="C2686" t="s">
        <v>38</v>
      </c>
      <c r="D2686">
        <v>10354</v>
      </c>
      <c r="E2686">
        <v>64590</v>
      </c>
      <c r="F2686">
        <f t="shared" si="272"/>
        <v>6.2381688236430364</v>
      </c>
      <c r="G2686">
        <f t="shared" si="274"/>
        <v>282.9633378404481</v>
      </c>
      <c r="H2686">
        <v>966.5625</v>
      </c>
      <c r="I2686" t="s">
        <v>38</v>
      </c>
      <c r="J2686">
        <f t="shared" si="273"/>
        <v>21.308697089947088</v>
      </c>
      <c r="K2686">
        <v>1733.52094425</v>
      </c>
    </row>
    <row r="2687" spans="1:11" x14ac:dyDescent="0.35">
      <c r="A2687" s="1">
        <v>43374</v>
      </c>
      <c r="B2687" t="s">
        <v>12</v>
      </c>
      <c r="C2687" t="s">
        <v>38</v>
      </c>
      <c r="D2687">
        <v>9652</v>
      </c>
      <c r="E2687">
        <v>61602</v>
      </c>
      <c r="F2687">
        <f t="shared" si="272"/>
        <v>6.3823041856610025</v>
      </c>
      <c r="G2687">
        <f t="shared" si="274"/>
        <v>289.50131786158306</v>
      </c>
      <c r="H2687">
        <v>952.18229166666663</v>
      </c>
      <c r="I2687" t="s">
        <v>38</v>
      </c>
      <c r="J2687">
        <f t="shared" si="273"/>
        <v>20.991673096707817</v>
      </c>
      <c r="K2687">
        <v>1733.52094425</v>
      </c>
    </row>
    <row r="2688" spans="1:11" x14ac:dyDescent="0.35">
      <c r="A2688" s="1">
        <v>43405</v>
      </c>
      <c r="B2688" t="s">
        <v>12</v>
      </c>
      <c r="C2688" t="s">
        <v>38</v>
      </c>
      <c r="D2688">
        <v>13214</v>
      </c>
      <c r="E2688">
        <v>86602</v>
      </c>
      <c r="F2688">
        <f t="shared" si="272"/>
        <v>6.5538065687906766</v>
      </c>
      <c r="G2688">
        <f t="shared" si="274"/>
        <v>297.28066596034506</v>
      </c>
      <c r="H2688">
        <v>935.38020833333337</v>
      </c>
      <c r="I2688" t="s">
        <v>38</v>
      </c>
      <c r="J2688">
        <f t="shared" si="273"/>
        <v>20.621256797472075</v>
      </c>
      <c r="K2688">
        <v>1733.52094425</v>
      </c>
    </row>
    <row r="2689" spans="1:11" x14ac:dyDescent="0.35">
      <c r="A2689" s="1">
        <v>43435</v>
      </c>
      <c r="B2689" t="s">
        <v>12</v>
      </c>
      <c r="C2689" t="s">
        <v>38</v>
      </c>
      <c r="D2689">
        <v>14201</v>
      </c>
      <c r="E2689">
        <v>98998.000000000015</v>
      </c>
      <c r="F2689">
        <f t="shared" si="272"/>
        <v>6.9711992113231469</v>
      </c>
      <c r="G2689">
        <f t="shared" si="274"/>
        <v>316.21359622561795</v>
      </c>
      <c r="H2689">
        <v>942.5238095238094</v>
      </c>
      <c r="I2689" t="s">
        <v>38</v>
      </c>
      <c r="J2689">
        <f t="shared" si="273"/>
        <v>20.77874359620391</v>
      </c>
      <c r="K2689">
        <v>1733.52094425</v>
      </c>
    </row>
    <row r="2690" spans="1:11" x14ac:dyDescent="0.35">
      <c r="A2690" s="1">
        <v>43101</v>
      </c>
      <c r="B2690" t="s">
        <v>13</v>
      </c>
      <c r="C2690" t="s">
        <v>38</v>
      </c>
      <c r="D2690">
        <v>7011.9999999999991</v>
      </c>
      <c r="E2690">
        <v>60124.000000000007</v>
      </c>
      <c r="F2690">
        <f t="shared" si="272"/>
        <v>8.5744438106103846</v>
      </c>
      <c r="G2690">
        <f t="shared" si="274"/>
        <v>388.93677124928706</v>
      </c>
      <c r="H2690">
        <v>677.2875761904761</v>
      </c>
      <c r="I2690" t="s">
        <v>38</v>
      </c>
      <c r="J2690">
        <f t="shared" si="273"/>
        <v>14.931383954816493</v>
      </c>
      <c r="K2690">
        <v>9289.5754777799993</v>
      </c>
    </row>
    <row r="2691" spans="1:11" x14ac:dyDescent="0.35">
      <c r="A2691" s="1">
        <v>43132</v>
      </c>
      <c r="B2691" t="s">
        <v>13</v>
      </c>
      <c r="C2691" t="s">
        <v>38</v>
      </c>
      <c r="D2691">
        <v>5854.0000000000009</v>
      </c>
      <c r="E2691">
        <v>49899</v>
      </c>
      <c r="F2691">
        <f t="shared" si="272"/>
        <v>8.5239152716091553</v>
      </c>
      <c r="G2691">
        <f t="shared" si="274"/>
        <v>386.64479672019127</v>
      </c>
      <c r="H2691">
        <v>787.6388888888888</v>
      </c>
      <c r="I2691" t="s">
        <v>38</v>
      </c>
      <c r="J2691">
        <f t="shared" si="273"/>
        <v>17.364173035469332</v>
      </c>
      <c r="K2691">
        <v>9289.5754777799993</v>
      </c>
    </row>
    <row r="2692" spans="1:11" x14ac:dyDescent="0.35">
      <c r="A2692" s="1">
        <v>43160</v>
      </c>
      <c r="B2692" t="s">
        <v>13</v>
      </c>
      <c r="C2692" t="s">
        <v>38</v>
      </c>
      <c r="D2692">
        <v>6214</v>
      </c>
      <c r="E2692">
        <v>58421</v>
      </c>
      <c r="F2692">
        <f t="shared" si="272"/>
        <v>9.401512713228195</v>
      </c>
      <c r="G2692">
        <f t="shared" si="274"/>
        <v>426.4526166720309</v>
      </c>
      <c r="H2692">
        <v>799.63357142857137</v>
      </c>
      <c r="I2692" t="s">
        <v>38</v>
      </c>
      <c r="J2692">
        <f t="shared" si="273"/>
        <v>17.628606072058453</v>
      </c>
      <c r="K2692">
        <v>9289.5754777799993</v>
      </c>
    </row>
    <row r="2693" spans="1:11" x14ac:dyDescent="0.35">
      <c r="A2693" s="1">
        <v>43191</v>
      </c>
      <c r="B2693" t="s">
        <v>13</v>
      </c>
      <c r="C2693" t="s">
        <v>38</v>
      </c>
      <c r="D2693">
        <v>2104</v>
      </c>
      <c r="E2693">
        <v>53252</v>
      </c>
      <c r="F2693">
        <f t="shared" si="272"/>
        <v>25.309885931558934</v>
      </c>
      <c r="G2693">
        <f t="shared" si="274"/>
        <v>1148.0564258555132</v>
      </c>
      <c r="H2693">
        <v>726.33981481481487</v>
      </c>
      <c r="I2693" t="s">
        <v>38</v>
      </c>
      <c r="J2693">
        <f t="shared" si="273"/>
        <v>16.012782513554122</v>
      </c>
      <c r="K2693">
        <v>9289.5754777799993</v>
      </c>
    </row>
    <row r="2694" spans="1:11" x14ac:dyDescent="0.35">
      <c r="A2694" s="1">
        <v>43221</v>
      </c>
      <c r="B2694" t="s">
        <v>13</v>
      </c>
      <c r="C2694" t="s">
        <v>38</v>
      </c>
      <c r="D2694">
        <v>4521</v>
      </c>
      <c r="E2694">
        <v>49852</v>
      </c>
      <c r="F2694">
        <f t="shared" si="272"/>
        <v>11.026763990267639</v>
      </c>
      <c r="G2694">
        <f t="shared" si="274"/>
        <v>500.17401459854011</v>
      </c>
      <c r="H2694">
        <v>795.79888888888888</v>
      </c>
      <c r="I2694" t="s">
        <v>38</v>
      </c>
      <c r="J2694">
        <f t="shared" si="273"/>
        <v>17.544067215363512</v>
      </c>
      <c r="K2694">
        <v>9289.5754777799993</v>
      </c>
    </row>
    <row r="2695" spans="1:11" x14ac:dyDescent="0.35">
      <c r="A2695" s="1">
        <v>43252</v>
      </c>
      <c r="B2695" t="s">
        <v>13</v>
      </c>
      <c r="C2695" t="s">
        <v>38</v>
      </c>
      <c r="D2695">
        <v>8214</v>
      </c>
      <c r="E2695">
        <v>57401</v>
      </c>
      <c r="F2695">
        <f t="shared" si="272"/>
        <v>6.9881908935962986</v>
      </c>
      <c r="G2695">
        <f t="shared" si="274"/>
        <v>316.98433893352808</v>
      </c>
      <c r="H2695">
        <v>577.72916666666663</v>
      </c>
      <c r="I2695" t="s">
        <v>38</v>
      </c>
      <c r="J2695">
        <f t="shared" si="273"/>
        <v>12.736533656672545</v>
      </c>
      <c r="K2695">
        <v>9289.5754777799993</v>
      </c>
    </row>
    <row r="2696" spans="1:11" x14ac:dyDescent="0.35">
      <c r="A2696" s="1">
        <v>43282</v>
      </c>
      <c r="B2696" t="s">
        <v>13</v>
      </c>
      <c r="C2696" t="s">
        <v>38</v>
      </c>
      <c r="D2696">
        <v>5312</v>
      </c>
      <c r="E2696">
        <v>53214</v>
      </c>
      <c r="F2696">
        <f t="shared" si="272"/>
        <v>10.017695783132529</v>
      </c>
      <c r="G2696">
        <f t="shared" si="274"/>
        <v>454.40268072289155</v>
      </c>
      <c r="H2696">
        <v>640.69999999999993</v>
      </c>
      <c r="I2696" t="s">
        <v>38</v>
      </c>
      <c r="J2696">
        <f t="shared" si="273"/>
        <v>14.124779541446207</v>
      </c>
      <c r="K2696">
        <v>9289.5754777799993</v>
      </c>
    </row>
    <row r="2697" spans="1:11" x14ac:dyDescent="0.35">
      <c r="A2697" s="1">
        <v>43313</v>
      </c>
      <c r="B2697" t="s">
        <v>13</v>
      </c>
      <c r="C2697" t="s">
        <v>38</v>
      </c>
      <c r="D2697">
        <v>4752</v>
      </c>
      <c r="E2697">
        <v>47685</v>
      </c>
      <c r="F2697">
        <f t="shared" si="272"/>
        <v>10.034722222222221</v>
      </c>
      <c r="G2697">
        <f t="shared" si="274"/>
        <v>455.17499999999995</v>
      </c>
      <c r="H2697">
        <v>716.23958333333326</v>
      </c>
      <c r="I2697" t="s">
        <v>38</v>
      </c>
      <c r="J2697">
        <f t="shared" si="273"/>
        <v>15.790114271017048</v>
      </c>
      <c r="K2697">
        <v>9289.5754777799993</v>
      </c>
    </row>
    <row r="2698" spans="1:11" x14ac:dyDescent="0.35">
      <c r="A2698" s="1">
        <v>43344</v>
      </c>
      <c r="B2698" t="s">
        <v>13</v>
      </c>
      <c r="C2698" t="s">
        <v>38</v>
      </c>
      <c r="D2698">
        <v>4659.0000000000009</v>
      </c>
      <c r="E2698">
        <v>43211.000000000007</v>
      </c>
      <c r="F2698">
        <f t="shared" si="272"/>
        <v>9.274737068040352</v>
      </c>
      <c r="G2698">
        <f t="shared" si="274"/>
        <v>420.70207340631038</v>
      </c>
      <c r="H2698">
        <v>772.23125000000005</v>
      </c>
      <c r="I2698" t="s">
        <v>38</v>
      </c>
      <c r="J2698">
        <f t="shared" si="273"/>
        <v>17.024498456790123</v>
      </c>
      <c r="K2698">
        <v>9289.5754777799993</v>
      </c>
    </row>
    <row r="2699" spans="1:11" x14ac:dyDescent="0.35">
      <c r="A2699" s="1">
        <v>43374</v>
      </c>
      <c r="B2699" t="s">
        <v>13</v>
      </c>
      <c r="C2699" t="s">
        <v>38</v>
      </c>
      <c r="D2699">
        <v>3320</v>
      </c>
      <c r="E2699">
        <v>35261</v>
      </c>
      <c r="F2699">
        <f t="shared" si="272"/>
        <v>10.62078313253012</v>
      </c>
      <c r="G2699">
        <f t="shared" si="274"/>
        <v>481.75872289156621</v>
      </c>
      <c r="H2699">
        <v>755.43124999999998</v>
      </c>
      <c r="I2699" t="s">
        <v>38</v>
      </c>
      <c r="J2699">
        <f t="shared" si="273"/>
        <v>16.654128086419753</v>
      </c>
      <c r="K2699">
        <v>9289.5754777799993</v>
      </c>
    </row>
    <row r="2700" spans="1:11" x14ac:dyDescent="0.35">
      <c r="A2700" s="1">
        <v>43405</v>
      </c>
      <c r="B2700" t="s">
        <v>13</v>
      </c>
      <c r="C2700" t="s">
        <v>38</v>
      </c>
      <c r="D2700">
        <v>6353.9999999999991</v>
      </c>
      <c r="E2700">
        <v>36547</v>
      </c>
      <c r="F2700">
        <f t="shared" si="272"/>
        <v>5.7518098835379297</v>
      </c>
      <c r="G2700">
        <f t="shared" si="274"/>
        <v>260.9020963172805</v>
      </c>
      <c r="H2700">
        <v>868.19047619047626</v>
      </c>
      <c r="I2700" t="s">
        <v>38</v>
      </c>
      <c r="J2700">
        <f t="shared" si="273"/>
        <v>19.140001679684222</v>
      </c>
      <c r="K2700">
        <v>9289.5754777799993</v>
      </c>
    </row>
    <row r="2701" spans="1:11" x14ac:dyDescent="0.35">
      <c r="A2701" s="1">
        <v>43435</v>
      </c>
      <c r="B2701" t="s">
        <v>13</v>
      </c>
      <c r="C2701" t="s">
        <v>38</v>
      </c>
      <c r="D2701">
        <v>7674</v>
      </c>
      <c r="E2701">
        <v>47087</v>
      </c>
      <c r="F2701">
        <f t="shared" si="272"/>
        <v>6.1359134740682828</v>
      </c>
      <c r="G2701">
        <f t="shared" si="274"/>
        <v>278.32503518373733</v>
      </c>
      <c r="H2701">
        <v>788.83333333333326</v>
      </c>
      <c r="I2701" t="s">
        <v>38</v>
      </c>
      <c r="J2701">
        <f t="shared" si="273"/>
        <v>17.390505584950027</v>
      </c>
      <c r="K2701">
        <v>9289.5754777799993</v>
      </c>
    </row>
    <row r="2702" spans="1:11" x14ac:dyDescent="0.35">
      <c r="A2702" s="1">
        <v>43101</v>
      </c>
      <c r="B2702" t="s">
        <v>14</v>
      </c>
      <c r="C2702" t="s">
        <v>38</v>
      </c>
      <c r="D2702">
        <v>73011.999999999985</v>
      </c>
      <c r="E2702">
        <v>1345308</v>
      </c>
      <c r="F2702">
        <f t="shared" si="272"/>
        <v>18.425847805840139</v>
      </c>
      <c r="G2702">
        <f t="shared" si="274"/>
        <v>835.79645647290863</v>
      </c>
      <c r="H2702">
        <v>7864.7916666666679</v>
      </c>
      <c r="I2702" t="s">
        <v>40</v>
      </c>
      <c r="J2702">
        <f>(H2702/1000)/0.56234</f>
        <v>13.985830043508676</v>
      </c>
      <c r="K2702">
        <v>7167.6799321206563</v>
      </c>
    </row>
    <row r="2703" spans="1:11" x14ac:dyDescent="0.35">
      <c r="A2703" s="1">
        <v>43132</v>
      </c>
      <c r="B2703" t="s">
        <v>14</v>
      </c>
      <c r="C2703" t="s">
        <v>38</v>
      </c>
      <c r="D2703">
        <v>91254</v>
      </c>
      <c r="E2703">
        <v>1839048</v>
      </c>
      <c r="F2703">
        <f t="shared" si="272"/>
        <v>20.153067262804917</v>
      </c>
      <c r="G2703">
        <f t="shared" si="274"/>
        <v>914.14313104083101</v>
      </c>
      <c r="H2703">
        <v>8979.1666666666661</v>
      </c>
      <c r="I2703" t="s">
        <v>40</v>
      </c>
      <c r="J2703">
        <f t="shared" ref="J2703:J2713" si="275">(H2703/1000)/0.56234</f>
        <v>15.967504831003783</v>
      </c>
      <c r="K2703">
        <v>7167.6799321206563</v>
      </c>
    </row>
    <row r="2704" spans="1:11" x14ac:dyDescent="0.35">
      <c r="A2704" s="1">
        <v>43160</v>
      </c>
      <c r="B2704" t="s">
        <v>14</v>
      </c>
      <c r="C2704" t="s">
        <v>38</v>
      </c>
      <c r="D2704">
        <v>66540.999999999985</v>
      </c>
      <c r="E2704">
        <v>1063164</v>
      </c>
      <c r="F2704">
        <f t="shared" si="272"/>
        <v>15.977577734028648</v>
      </c>
      <c r="G2704">
        <f t="shared" si="274"/>
        <v>724.74292601553941</v>
      </c>
      <c r="H2704">
        <v>9833.3333333333321</v>
      </c>
      <c r="I2704" t="s">
        <v>40</v>
      </c>
      <c r="J2704">
        <f t="shared" si="275"/>
        <v>17.486455406574908</v>
      </c>
      <c r="K2704">
        <v>7167.6799321206563</v>
      </c>
    </row>
    <row r="2705" spans="1:11" x14ac:dyDescent="0.35">
      <c r="A2705" s="1">
        <v>43191</v>
      </c>
      <c r="B2705" t="s">
        <v>14</v>
      </c>
      <c r="C2705" t="s">
        <v>38</v>
      </c>
      <c r="D2705">
        <v>10214</v>
      </c>
      <c r="E2705">
        <v>138504</v>
      </c>
      <c r="F2705">
        <f t="shared" si="272"/>
        <v>13.560211474446838</v>
      </c>
      <c r="G2705">
        <f t="shared" si="274"/>
        <v>615.0911924809086</v>
      </c>
      <c r="H2705">
        <v>10000</v>
      </c>
      <c r="I2705" t="s">
        <v>40</v>
      </c>
      <c r="J2705">
        <f t="shared" si="275"/>
        <v>17.782836006686349</v>
      </c>
      <c r="K2705">
        <v>7167.6799321206563</v>
      </c>
    </row>
    <row r="2706" spans="1:11" x14ac:dyDescent="0.35">
      <c r="A2706" s="1">
        <v>43221</v>
      </c>
      <c r="B2706" t="s">
        <v>14</v>
      </c>
      <c r="C2706" t="s">
        <v>38</v>
      </c>
      <c r="D2706">
        <v>11012.000000000002</v>
      </c>
      <c r="E2706">
        <v>318144</v>
      </c>
      <c r="F2706">
        <f t="shared" si="272"/>
        <v>28.890664729386121</v>
      </c>
      <c r="G2706">
        <f t="shared" si="274"/>
        <v>1310.4805521249543</v>
      </c>
      <c r="H2706">
        <v>17642.3</v>
      </c>
      <c r="I2706" t="s">
        <v>40</v>
      </c>
      <c r="J2706">
        <f t="shared" si="275"/>
        <v>31.373012768076254</v>
      </c>
      <c r="K2706">
        <v>7167.6799321206563</v>
      </c>
    </row>
    <row r="2707" spans="1:11" x14ac:dyDescent="0.35">
      <c r="A2707" s="1">
        <v>43252</v>
      </c>
      <c r="B2707" t="s">
        <v>14</v>
      </c>
      <c r="C2707" t="s">
        <v>38</v>
      </c>
      <c r="D2707">
        <v>43523.999999999993</v>
      </c>
      <c r="E2707">
        <v>1198464</v>
      </c>
      <c r="F2707">
        <f t="shared" si="272"/>
        <v>27.535704438930249</v>
      </c>
      <c r="G2707">
        <f t="shared" si="274"/>
        <v>1249.0195533498761</v>
      </c>
      <c r="H2707">
        <v>9000</v>
      </c>
      <c r="I2707" t="s">
        <v>40</v>
      </c>
      <c r="J2707">
        <f t="shared" si="275"/>
        <v>16.004552406017712</v>
      </c>
      <c r="K2707">
        <v>7167.6799321206563</v>
      </c>
    </row>
    <row r="2708" spans="1:11" x14ac:dyDescent="0.35">
      <c r="A2708" s="1">
        <v>43282</v>
      </c>
      <c r="B2708" t="s">
        <v>14</v>
      </c>
      <c r="C2708" t="s">
        <v>38</v>
      </c>
      <c r="D2708">
        <v>32422</v>
      </c>
      <c r="E2708">
        <v>1130520.0000000002</v>
      </c>
      <c r="F2708">
        <f t="shared" si="272"/>
        <v>34.868916168034055</v>
      </c>
      <c r="G2708">
        <f t="shared" si="274"/>
        <v>1581.6540373820246</v>
      </c>
      <c r="H2708">
        <v>9052.7777777777774</v>
      </c>
      <c r="I2708" t="s">
        <v>40</v>
      </c>
      <c r="J2708">
        <f t="shared" si="275"/>
        <v>16.098406262719667</v>
      </c>
      <c r="K2708">
        <v>7167.6799321206563</v>
      </c>
    </row>
    <row r="2709" spans="1:11" x14ac:dyDescent="0.35">
      <c r="A2709" s="1">
        <v>43313</v>
      </c>
      <c r="B2709" t="s">
        <v>14</v>
      </c>
      <c r="C2709" t="s">
        <v>38</v>
      </c>
      <c r="D2709">
        <v>52124.000000000007</v>
      </c>
      <c r="E2709">
        <v>1356216</v>
      </c>
      <c r="F2709">
        <f t="shared" si="272"/>
        <v>26.01903154017343</v>
      </c>
      <c r="G2709">
        <f t="shared" si="274"/>
        <v>1180.2232706622667</v>
      </c>
      <c r="H2709">
        <v>6647.895833333333</v>
      </c>
      <c r="I2709" t="s">
        <v>40</v>
      </c>
      <c r="J2709">
        <f t="shared" si="275"/>
        <v>11.821844139370015</v>
      </c>
      <c r="K2709">
        <v>7167.6799321206563</v>
      </c>
    </row>
    <row r="2710" spans="1:11" x14ac:dyDescent="0.35">
      <c r="A2710" s="1">
        <v>43344</v>
      </c>
      <c r="B2710" t="s">
        <v>14</v>
      </c>
      <c r="C2710" t="s">
        <v>38</v>
      </c>
      <c r="D2710">
        <v>73213.999999999985</v>
      </c>
      <c r="E2710">
        <v>1651068</v>
      </c>
      <c r="F2710">
        <f t="shared" ref="F2710:F2774" si="276">E2710/D2710</f>
        <v>22.55126068784659</v>
      </c>
      <c r="G2710">
        <f t="shared" si="274"/>
        <v>1022.9251848007212</v>
      </c>
      <c r="H2710">
        <v>5543.2559523809523</v>
      </c>
      <c r="I2710" t="s">
        <v>40</v>
      </c>
      <c r="J2710">
        <f t="shared" si="275"/>
        <v>9.8574811544278411</v>
      </c>
      <c r="K2710">
        <v>7167.6799321206563</v>
      </c>
    </row>
    <row r="2711" spans="1:11" x14ac:dyDescent="0.35">
      <c r="A2711" s="1">
        <v>43374</v>
      </c>
      <c r="B2711" t="s">
        <v>14</v>
      </c>
      <c r="C2711" t="s">
        <v>38</v>
      </c>
      <c r="D2711">
        <v>76989</v>
      </c>
      <c r="E2711">
        <v>1801848</v>
      </c>
      <c r="F2711">
        <f t="shared" si="276"/>
        <v>23.403966800452011</v>
      </c>
      <c r="G2711">
        <f t="shared" si="274"/>
        <v>1061.6039340685031</v>
      </c>
      <c r="H2711">
        <v>5107.5729166666661</v>
      </c>
      <c r="I2711" t="s">
        <v>40</v>
      </c>
      <c r="J2711">
        <f t="shared" si="275"/>
        <v>9.0827131569275998</v>
      </c>
      <c r="K2711">
        <v>7167.6799321206563</v>
      </c>
    </row>
    <row r="2712" spans="1:11" x14ac:dyDescent="0.35">
      <c r="A2712" s="1">
        <v>43405</v>
      </c>
      <c r="B2712" t="s">
        <v>14</v>
      </c>
      <c r="C2712" t="s">
        <v>38</v>
      </c>
      <c r="D2712">
        <v>65389.000000000007</v>
      </c>
      <c r="E2712">
        <v>985740</v>
      </c>
      <c r="F2712">
        <f t="shared" si="276"/>
        <v>15.07501261680099</v>
      </c>
      <c r="G2712">
        <f t="shared" si="274"/>
        <v>683.80257229809285</v>
      </c>
      <c r="H2712">
        <v>5573.7827380952376</v>
      </c>
      <c r="I2712" t="s">
        <v>40</v>
      </c>
      <c r="J2712">
        <f t="shared" si="275"/>
        <v>9.9117664368446814</v>
      </c>
      <c r="K2712">
        <v>7167.6799321206563</v>
      </c>
    </row>
    <row r="2713" spans="1:11" x14ac:dyDescent="0.35">
      <c r="A2713" s="1">
        <v>43435</v>
      </c>
      <c r="B2713" t="s">
        <v>14</v>
      </c>
      <c r="C2713" t="s">
        <v>38</v>
      </c>
      <c r="D2713">
        <v>67845</v>
      </c>
      <c r="E2713">
        <v>1382892</v>
      </c>
      <c r="F2713">
        <f t="shared" si="276"/>
        <v>20.383108556267963</v>
      </c>
      <c r="G2713">
        <f t="shared" si="274"/>
        <v>924.57780411231477</v>
      </c>
      <c r="H2713">
        <v>6563.3866666666672</v>
      </c>
      <c r="I2713" t="s">
        <v>40</v>
      </c>
      <c r="J2713">
        <f t="shared" si="275"/>
        <v>11.671562874180509</v>
      </c>
      <c r="K2713">
        <v>7167.6799321206563</v>
      </c>
    </row>
    <row r="2714" spans="1:11" x14ac:dyDescent="0.35">
      <c r="A2714" s="1">
        <v>43101</v>
      </c>
      <c r="B2714" t="s">
        <v>15</v>
      </c>
      <c r="C2714" t="s">
        <v>38</v>
      </c>
      <c r="D2714">
        <v>401244</v>
      </c>
      <c r="E2714">
        <v>1817075.4</v>
      </c>
      <c r="F2714">
        <f t="shared" si="276"/>
        <v>4.5286045398809698</v>
      </c>
      <c r="G2714">
        <f t="shared" si="274"/>
        <v>205.41750192900079</v>
      </c>
      <c r="H2714">
        <v>182.76458333333332</v>
      </c>
      <c r="I2714" t="s">
        <v>58</v>
      </c>
      <c r="J2714">
        <f>H2714/27.21</f>
        <v>6.7168167340438556</v>
      </c>
      <c r="K2714">
        <f>13813.436088+20256.226308</f>
        <v>34069.662396</v>
      </c>
    </row>
    <row r="2715" spans="1:11" x14ac:dyDescent="0.35">
      <c r="A2715" s="1">
        <v>43132</v>
      </c>
      <c r="B2715" t="s">
        <v>15</v>
      </c>
      <c r="C2715" t="s">
        <v>38</v>
      </c>
      <c r="D2715">
        <v>467381</v>
      </c>
      <c r="E2715">
        <v>2093712.5999999999</v>
      </c>
      <c r="F2715">
        <f t="shared" si="276"/>
        <v>4.4796699052807023</v>
      </c>
      <c r="G2715">
        <f t="shared" si="274"/>
        <v>203.19782690353264</v>
      </c>
      <c r="H2715">
        <v>167.97023809523807</v>
      </c>
      <c r="I2715" t="s">
        <v>58</v>
      </c>
      <c r="J2715">
        <f t="shared" ref="J2715:J2725" si="277">H2715/27.21</f>
        <v>6.1731068759734677</v>
      </c>
      <c r="K2715">
        <f t="shared" ref="K2715:K2726" si="278">13813.436088+20256.226308</f>
        <v>34069.662396</v>
      </c>
    </row>
    <row r="2716" spans="1:11" x14ac:dyDescent="0.35">
      <c r="A2716" s="1">
        <v>43160</v>
      </c>
      <c r="B2716" t="s">
        <v>15</v>
      </c>
      <c r="C2716" t="s">
        <v>38</v>
      </c>
      <c r="D2716">
        <v>478551.99999999988</v>
      </c>
      <c r="E2716">
        <v>2198526.6</v>
      </c>
      <c r="F2716">
        <f t="shared" si="276"/>
        <v>4.5941226867717626</v>
      </c>
      <c r="G2716">
        <f t="shared" si="274"/>
        <v>208.38940507196716</v>
      </c>
      <c r="H2716">
        <v>154.95208333333335</v>
      </c>
      <c r="I2716" t="s">
        <v>58</v>
      </c>
      <c r="J2716">
        <f t="shared" si="277"/>
        <v>5.694674139409531</v>
      </c>
      <c r="K2716">
        <f t="shared" si="278"/>
        <v>34069.662396</v>
      </c>
    </row>
    <row r="2717" spans="1:11" x14ac:dyDescent="0.35">
      <c r="A2717" s="1">
        <v>43191</v>
      </c>
      <c r="B2717" t="s">
        <v>15</v>
      </c>
      <c r="C2717" t="s">
        <v>38</v>
      </c>
      <c r="D2717">
        <v>463425</v>
      </c>
      <c r="E2717">
        <v>2279993.4</v>
      </c>
      <c r="F2717">
        <f t="shared" si="276"/>
        <v>4.9198757080433726</v>
      </c>
      <c r="G2717">
        <f t="shared" si="274"/>
        <v>223.16556211684738</v>
      </c>
      <c r="H2717">
        <v>160.81927083333335</v>
      </c>
      <c r="I2717" t="s">
        <v>58</v>
      </c>
      <c r="J2717">
        <f t="shared" si="277"/>
        <v>5.9103002878843567</v>
      </c>
      <c r="K2717">
        <f t="shared" si="278"/>
        <v>34069.662396</v>
      </c>
    </row>
    <row r="2718" spans="1:11" x14ac:dyDescent="0.35">
      <c r="A2718" s="1">
        <v>43221</v>
      </c>
      <c r="B2718" t="s">
        <v>15</v>
      </c>
      <c r="C2718" t="s">
        <v>38</v>
      </c>
      <c r="D2718">
        <v>485647</v>
      </c>
      <c r="E2718">
        <v>2233875</v>
      </c>
      <c r="F2718">
        <f t="shared" si="276"/>
        <v>4.5997916181918139</v>
      </c>
      <c r="G2718">
        <f t="shared" si="274"/>
        <v>208.64654780118067</v>
      </c>
      <c r="H2718">
        <v>147.35520833333334</v>
      </c>
      <c r="I2718" t="s">
        <v>58</v>
      </c>
      <c r="J2718">
        <f t="shared" si="277"/>
        <v>5.415479909347054</v>
      </c>
      <c r="K2718">
        <f t="shared" si="278"/>
        <v>34069.662396</v>
      </c>
    </row>
    <row r="2719" spans="1:11" x14ac:dyDescent="0.35">
      <c r="A2719" s="1">
        <v>43252</v>
      </c>
      <c r="B2719" t="s">
        <v>15</v>
      </c>
      <c r="C2719" t="s">
        <v>38</v>
      </c>
      <c r="D2719">
        <v>462153.99999999994</v>
      </c>
      <c r="E2719">
        <v>2318529</v>
      </c>
      <c r="F2719">
        <f t="shared" si="276"/>
        <v>5.0167887760356944</v>
      </c>
      <c r="G2719">
        <f t="shared" si="274"/>
        <v>227.5615388809791</v>
      </c>
      <c r="H2719">
        <v>146.00520833333331</v>
      </c>
      <c r="I2719" t="s">
        <v>58</v>
      </c>
      <c r="J2719">
        <f t="shared" si="277"/>
        <v>5.3658657968883983</v>
      </c>
      <c r="K2719">
        <f t="shared" si="278"/>
        <v>34069.662396</v>
      </c>
    </row>
    <row r="2720" spans="1:11" x14ac:dyDescent="0.35">
      <c r="A2720" s="1">
        <v>43282</v>
      </c>
      <c r="B2720" t="s">
        <v>15</v>
      </c>
      <c r="C2720" t="s">
        <v>38</v>
      </c>
      <c r="D2720">
        <v>460124.00000000006</v>
      </c>
      <c r="E2720">
        <v>2414463</v>
      </c>
      <c r="F2720">
        <f t="shared" si="276"/>
        <v>5.2474180872982057</v>
      </c>
      <c r="G2720">
        <f t="shared" si="274"/>
        <v>238.02288443984662</v>
      </c>
      <c r="H2720">
        <v>135.6484375</v>
      </c>
      <c r="I2720" t="s">
        <v>58</v>
      </c>
      <c r="J2720">
        <f t="shared" si="277"/>
        <v>4.9852420984932007</v>
      </c>
      <c r="K2720">
        <f t="shared" si="278"/>
        <v>34069.662396</v>
      </c>
    </row>
    <row r="2721" spans="1:11" x14ac:dyDescent="0.35">
      <c r="A2721" s="1">
        <v>43313</v>
      </c>
      <c r="B2721" t="s">
        <v>15</v>
      </c>
      <c r="C2721" t="s">
        <v>38</v>
      </c>
      <c r="D2721">
        <v>452154</v>
      </c>
      <c r="E2721">
        <v>2393852.4</v>
      </c>
      <c r="F2721">
        <f t="shared" si="276"/>
        <v>5.2943298079857746</v>
      </c>
      <c r="G2721">
        <f t="shared" si="274"/>
        <v>240.15080009023472</v>
      </c>
      <c r="H2721">
        <v>129.51041666666669</v>
      </c>
      <c r="I2721" t="s">
        <v>58</v>
      </c>
      <c r="J2721">
        <f t="shared" si="277"/>
        <v>4.7596625015313005</v>
      </c>
      <c r="K2721">
        <f t="shared" si="278"/>
        <v>34069.662396</v>
      </c>
    </row>
    <row r="2722" spans="1:11" x14ac:dyDescent="0.35">
      <c r="A2722" s="1">
        <v>43344</v>
      </c>
      <c r="B2722" t="s">
        <v>15</v>
      </c>
      <c r="C2722" t="s">
        <v>38</v>
      </c>
      <c r="D2722">
        <v>425177.99999999994</v>
      </c>
      <c r="E2722">
        <v>2112984.6</v>
      </c>
      <c r="F2722">
        <f t="shared" si="276"/>
        <v>4.9696470654643479</v>
      </c>
      <c r="G2722">
        <f t="shared" si="274"/>
        <v>225.42319088946283</v>
      </c>
      <c r="H2722">
        <v>137.85416666666666</v>
      </c>
      <c r="I2722" t="s">
        <v>58</v>
      </c>
      <c r="J2722">
        <f t="shared" si="277"/>
        <v>5.0663052799215968</v>
      </c>
      <c r="K2722">
        <f t="shared" si="278"/>
        <v>34069.662396</v>
      </c>
    </row>
    <row r="2723" spans="1:11" x14ac:dyDescent="0.35">
      <c r="A2723" s="1">
        <v>43374</v>
      </c>
      <c r="B2723" t="s">
        <v>15</v>
      </c>
      <c r="C2723" t="s">
        <v>38</v>
      </c>
      <c r="D2723">
        <v>452149</v>
      </c>
      <c r="E2723">
        <v>2322614.4</v>
      </c>
      <c r="F2723">
        <f t="shared" si="276"/>
        <v>5.1368340967247521</v>
      </c>
      <c r="G2723">
        <f t="shared" si="274"/>
        <v>233.00679462743474</v>
      </c>
      <c r="H2723">
        <v>136.20833333333331</v>
      </c>
      <c r="I2723" t="s">
        <v>58</v>
      </c>
      <c r="J2723">
        <f t="shared" si="277"/>
        <v>5.0058189391155201</v>
      </c>
      <c r="K2723">
        <f t="shared" si="278"/>
        <v>34069.662396</v>
      </c>
    </row>
    <row r="2724" spans="1:11" x14ac:dyDescent="0.35">
      <c r="A2724" s="1">
        <v>43405</v>
      </c>
      <c r="B2724" t="s">
        <v>15</v>
      </c>
      <c r="C2724" t="s">
        <v>38</v>
      </c>
      <c r="D2724">
        <v>400100</v>
      </c>
      <c r="E2724">
        <v>1652909.4</v>
      </c>
      <c r="F2724">
        <f t="shared" si="276"/>
        <v>4.1312406898275427</v>
      </c>
      <c r="G2724">
        <f t="shared" si="274"/>
        <v>187.39307769057734</v>
      </c>
      <c r="H2724">
        <v>131.40625</v>
      </c>
      <c r="I2724" t="s">
        <v>58</v>
      </c>
      <c r="J2724">
        <f t="shared" si="277"/>
        <v>4.8293366409408307</v>
      </c>
      <c r="K2724">
        <f t="shared" si="278"/>
        <v>34069.662396</v>
      </c>
    </row>
    <row r="2725" spans="1:11" x14ac:dyDescent="0.35">
      <c r="A2725" s="1">
        <v>43435</v>
      </c>
      <c r="B2725" t="s">
        <v>15</v>
      </c>
      <c r="C2725" t="s">
        <v>38</v>
      </c>
      <c r="D2725">
        <v>398021</v>
      </c>
      <c r="E2725">
        <v>2081164.7999999998</v>
      </c>
      <c r="F2725">
        <f t="shared" si="276"/>
        <v>5.2287813959564939</v>
      </c>
      <c r="G2725">
        <f t="shared" si="274"/>
        <v>237.17752412058655</v>
      </c>
      <c r="H2725">
        <v>141.5654761904762</v>
      </c>
      <c r="I2725" t="s">
        <v>58</v>
      </c>
      <c r="J2725">
        <f t="shared" si="277"/>
        <v>5.2027003377609775</v>
      </c>
      <c r="K2725">
        <f t="shared" si="278"/>
        <v>34069.662396</v>
      </c>
    </row>
    <row r="2726" spans="1:11" x14ac:dyDescent="0.35">
      <c r="A2726" s="1">
        <v>43101</v>
      </c>
      <c r="B2726" t="s">
        <v>18</v>
      </c>
      <c r="C2726" t="s">
        <v>38</v>
      </c>
      <c r="D2726">
        <v>694578</v>
      </c>
      <c r="E2726">
        <v>1230750</v>
      </c>
      <c r="F2726">
        <f t="shared" si="276"/>
        <v>1.7719392206490847</v>
      </c>
      <c r="G2726">
        <f t="shared" si="274"/>
        <v>80.375163048642477</v>
      </c>
      <c r="H2726">
        <v>9398.6197916666679</v>
      </c>
      <c r="I2726" t="s">
        <v>40</v>
      </c>
      <c r="J2726">
        <f>(H2726/1000)/0.40815</f>
        <v>23.027366879006905</v>
      </c>
      <c r="K2726">
        <f>9439.29680710291+13492.8495288279</f>
        <v>22932.146335930811</v>
      </c>
    </row>
    <row r="2727" spans="1:11" x14ac:dyDescent="0.35">
      <c r="A2727" s="1">
        <v>43132</v>
      </c>
      <c r="B2727" t="s">
        <v>18</v>
      </c>
      <c r="C2727" t="s">
        <v>38</v>
      </c>
      <c r="D2727">
        <v>775241</v>
      </c>
      <c r="E2727">
        <v>1452780</v>
      </c>
      <c r="F2727">
        <f t="shared" si="276"/>
        <v>1.8739720938392062</v>
      </c>
      <c r="G2727">
        <f t="shared" si="274"/>
        <v>85.003374176546387</v>
      </c>
      <c r="H2727">
        <v>8062.3452380952376</v>
      </c>
      <c r="I2727" t="s">
        <v>40</v>
      </c>
      <c r="J2727">
        <f t="shared" ref="J2727:J2737" si="279">(H2727/1000)/0.40815</f>
        <v>19.753387818437432</v>
      </c>
      <c r="K2727">
        <f t="shared" ref="K2727:K2738" si="280">9439.29680710291+13492.8495288279</f>
        <v>22932.146335930811</v>
      </c>
    </row>
    <row r="2728" spans="1:11" x14ac:dyDescent="0.35">
      <c r="A2728" s="1">
        <v>43160</v>
      </c>
      <c r="B2728" t="s">
        <v>18</v>
      </c>
      <c r="C2728" t="s">
        <v>38</v>
      </c>
      <c r="D2728">
        <v>733458.99999999977</v>
      </c>
      <c r="E2728">
        <v>1621115.9999999998</v>
      </c>
      <c r="F2728">
        <f t="shared" si="276"/>
        <v>2.2102339735418073</v>
      </c>
      <c r="G2728">
        <f t="shared" si="274"/>
        <v>100.25621303985638</v>
      </c>
      <c r="H2728">
        <v>6383.2630208333339</v>
      </c>
      <c r="I2728" t="s">
        <v>40</v>
      </c>
      <c r="J2728">
        <f t="shared" si="279"/>
        <v>15.639502684878925</v>
      </c>
      <c r="K2728">
        <f t="shared" si="280"/>
        <v>22932.146335930811</v>
      </c>
    </row>
    <row r="2729" spans="1:11" x14ac:dyDescent="0.35">
      <c r="A2729" s="1">
        <v>43191</v>
      </c>
      <c r="B2729" t="s">
        <v>18</v>
      </c>
      <c r="C2729" t="s">
        <v>38</v>
      </c>
      <c r="D2729">
        <v>766985</v>
      </c>
      <c r="E2729">
        <v>3167883</v>
      </c>
      <c r="F2729">
        <f t="shared" si="276"/>
        <v>4.1303063293284747</v>
      </c>
      <c r="G2729">
        <f t="shared" si="274"/>
        <v>187.3506950983396</v>
      </c>
      <c r="H2729">
        <v>5815.747395833333</v>
      </c>
      <c r="I2729" t="s">
        <v>40</v>
      </c>
      <c r="J2729">
        <f t="shared" si="279"/>
        <v>14.249044213728611</v>
      </c>
      <c r="K2729">
        <f t="shared" si="280"/>
        <v>22932.146335930811</v>
      </c>
    </row>
    <row r="2730" spans="1:11" x14ac:dyDescent="0.35">
      <c r="A2730" s="1">
        <v>43221</v>
      </c>
      <c r="B2730" t="s">
        <v>18</v>
      </c>
      <c r="C2730" t="s">
        <v>38</v>
      </c>
      <c r="D2730">
        <v>785547</v>
      </c>
      <c r="E2730">
        <v>2727801</v>
      </c>
      <c r="F2730">
        <f t="shared" si="276"/>
        <v>3.472486051121066</v>
      </c>
      <c r="G2730">
        <f t="shared" si="274"/>
        <v>157.51196727885156</v>
      </c>
      <c r="H2730">
        <v>5438.7947916666672</v>
      </c>
      <c r="I2730" t="s">
        <v>40</v>
      </c>
      <c r="J2730">
        <f t="shared" si="279"/>
        <v>13.325480317693659</v>
      </c>
      <c r="K2730">
        <f t="shared" si="280"/>
        <v>22932.146335930811</v>
      </c>
    </row>
    <row r="2731" spans="1:11" x14ac:dyDescent="0.35">
      <c r="A2731" s="1">
        <v>43252</v>
      </c>
      <c r="B2731" t="s">
        <v>18</v>
      </c>
      <c r="C2731" t="s">
        <v>38</v>
      </c>
      <c r="D2731">
        <v>798395</v>
      </c>
      <c r="E2731">
        <v>1815390</v>
      </c>
      <c r="F2731">
        <f t="shared" si="276"/>
        <v>2.2737993098654177</v>
      </c>
      <c r="G2731">
        <f t="shared" si="274"/>
        <v>103.13953669549534</v>
      </c>
      <c r="H2731">
        <v>5566.940104166667</v>
      </c>
      <c r="I2731" t="s">
        <v>40</v>
      </c>
      <c r="J2731">
        <f t="shared" si="279"/>
        <v>13.639446537220794</v>
      </c>
      <c r="K2731">
        <f t="shared" si="280"/>
        <v>22932.146335930811</v>
      </c>
    </row>
    <row r="2732" spans="1:11" x14ac:dyDescent="0.35">
      <c r="A2732" s="1">
        <v>43282</v>
      </c>
      <c r="B2732" t="s">
        <v>18</v>
      </c>
      <c r="C2732" t="s">
        <v>38</v>
      </c>
      <c r="D2732">
        <v>798546</v>
      </c>
      <c r="E2732">
        <v>2095065.0000000002</v>
      </c>
      <c r="F2732">
        <f t="shared" si="276"/>
        <v>2.6235996423499715</v>
      </c>
      <c r="G2732">
        <f t="shared" si="274"/>
        <v>119.00647977699471</v>
      </c>
      <c r="H2732">
        <v>5319.856770833333</v>
      </c>
      <c r="I2732" t="s">
        <v>40</v>
      </c>
      <c r="J2732">
        <f t="shared" si="279"/>
        <v>13.034072695904282</v>
      </c>
      <c r="K2732">
        <f t="shared" si="280"/>
        <v>22932.146335930811</v>
      </c>
    </row>
    <row r="2733" spans="1:11" x14ac:dyDescent="0.35">
      <c r="A2733" s="1">
        <v>43313</v>
      </c>
      <c r="B2733" t="s">
        <v>18</v>
      </c>
      <c r="C2733" t="s">
        <v>38</v>
      </c>
      <c r="D2733">
        <v>792458</v>
      </c>
      <c r="E2733">
        <v>2391201</v>
      </c>
      <c r="F2733">
        <f t="shared" si="276"/>
        <v>3.0174482433138414</v>
      </c>
      <c r="G2733">
        <f t="shared" si="274"/>
        <v>136.87145231671585</v>
      </c>
      <c r="H2733">
        <v>5290.291666666667</v>
      </c>
      <c r="I2733" t="s">
        <v>40</v>
      </c>
      <c r="J2733">
        <f t="shared" si="279"/>
        <v>12.961635836498019</v>
      </c>
      <c r="K2733">
        <f t="shared" si="280"/>
        <v>22932.146335930811</v>
      </c>
    </row>
    <row r="2734" spans="1:11" x14ac:dyDescent="0.35">
      <c r="A2734" s="1">
        <v>43344</v>
      </c>
      <c r="B2734" t="s">
        <v>18</v>
      </c>
      <c r="C2734" t="s">
        <v>38</v>
      </c>
      <c r="D2734">
        <v>749854.00000000012</v>
      </c>
      <c r="E2734">
        <v>1841301</v>
      </c>
      <c r="F2734">
        <f t="shared" si="276"/>
        <v>2.4555460129571887</v>
      </c>
      <c r="G2734">
        <f t="shared" si="274"/>
        <v>111.38356714773808</v>
      </c>
      <c r="H2734">
        <v>5565.497395833333</v>
      </c>
      <c r="I2734" t="s">
        <v>40</v>
      </c>
      <c r="J2734">
        <f t="shared" si="279"/>
        <v>13.635911786924741</v>
      </c>
      <c r="K2734">
        <f t="shared" si="280"/>
        <v>22932.146335930811</v>
      </c>
    </row>
    <row r="2735" spans="1:11" x14ac:dyDescent="0.35">
      <c r="A2735" s="1">
        <v>43374</v>
      </c>
      <c r="B2735" t="s">
        <v>18</v>
      </c>
      <c r="C2735" t="s">
        <v>38</v>
      </c>
      <c r="D2735">
        <v>785484</v>
      </c>
      <c r="E2735">
        <v>1441926.0000000002</v>
      </c>
      <c r="F2735">
        <f t="shared" si="276"/>
        <v>1.8357165772950184</v>
      </c>
      <c r="G2735">
        <f t="shared" si="274"/>
        <v>83.26810394610203</v>
      </c>
      <c r="H2735">
        <v>6445.127604166667</v>
      </c>
      <c r="I2735" t="s">
        <v>40</v>
      </c>
      <c r="J2735">
        <f t="shared" si="279"/>
        <v>15.791075840173139</v>
      </c>
      <c r="K2735">
        <f t="shared" si="280"/>
        <v>22932.146335930811</v>
      </c>
    </row>
    <row r="2736" spans="1:11" x14ac:dyDescent="0.35">
      <c r="A2736" s="1">
        <v>43405</v>
      </c>
      <c r="B2736" t="s">
        <v>18</v>
      </c>
      <c r="C2736" t="s">
        <v>38</v>
      </c>
      <c r="D2736">
        <v>755421</v>
      </c>
      <c r="E2736">
        <v>1269189</v>
      </c>
      <c r="F2736">
        <f t="shared" si="276"/>
        <v>1.6801081780887743</v>
      </c>
      <c r="G2736">
        <f t="shared" si="274"/>
        <v>76.209706958106807</v>
      </c>
      <c r="H2736">
        <v>6619.934895833333</v>
      </c>
      <c r="I2736" t="s">
        <v>40</v>
      </c>
      <c r="J2736">
        <f t="shared" si="279"/>
        <v>16.219367624239453</v>
      </c>
      <c r="K2736">
        <f t="shared" si="280"/>
        <v>22932.146335930811</v>
      </c>
    </row>
    <row r="2737" spans="1:11" x14ac:dyDescent="0.35">
      <c r="A2737" s="1">
        <v>43435</v>
      </c>
      <c r="B2737" t="s">
        <v>18</v>
      </c>
      <c r="C2737" t="s">
        <v>38</v>
      </c>
      <c r="D2737">
        <v>789541.00000000023</v>
      </c>
      <c r="E2737">
        <v>1387943.8965952373</v>
      </c>
      <c r="F2737">
        <f t="shared" si="276"/>
        <v>1.7579123776918955</v>
      </c>
      <c r="G2737">
        <f t="shared" si="274"/>
        <v>79.738905452104376</v>
      </c>
      <c r="H2737">
        <v>6962.1785714285725</v>
      </c>
      <c r="I2737" t="s">
        <v>40</v>
      </c>
      <c r="J2737">
        <f>(H2737/1000)/0.40815</f>
        <v>17.05789188148615</v>
      </c>
      <c r="K2737">
        <f t="shared" si="280"/>
        <v>22932.146335930811</v>
      </c>
    </row>
    <row r="2738" spans="1:11" x14ac:dyDescent="0.35">
      <c r="A2738" s="1">
        <v>43466</v>
      </c>
      <c r="B2738" t="s">
        <v>2</v>
      </c>
      <c r="C2738" t="s">
        <v>38</v>
      </c>
      <c r="D2738">
        <v>21379</v>
      </c>
      <c r="E2738">
        <v>75147</v>
      </c>
      <c r="F2738">
        <f t="shared" si="276"/>
        <v>3.5149913466485803</v>
      </c>
      <c r="G2738">
        <f t="shared" si="274"/>
        <v>159.4400074839796</v>
      </c>
      <c r="H2738">
        <v>2202.1838864442002</v>
      </c>
      <c r="I2738" t="s">
        <v>59</v>
      </c>
      <c r="J2738">
        <f>H2738/110</f>
        <v>20.019853513129092</v>
      </c>
      <c r="K2738">
        <v>6284.7907932016951</v>
      </c>
    </row>
    <row r="2739" spans="1:11" x14ac:dyDescent="0.35">
      <c r="A2739" s="1">
        <v>43497</v>
      </c>
      <c r="B2739" t="s">
        <v>2</v>
      </c>
      <c r="C2739" t="s">
        <v>38</v>
      </c>
      <c r="D2739">
        <v>3361</v>
      </c>
      <c r="E2739">
        <v>11505</v>
      </c>
      <c r="F2739">
        <f t="shared" si="276"/>
        <v>3.4230883665575722</v>
      </c>
      <c r="G2739">
        <f t="shared" si="274"/>
        <v>155.27128830705146</v>
      </c>
      <c r="H2739">
        <v>2153.6777579146801</v>
      </c>
      <c r="I2739" t="s">
        <v>59</v>
      </c>
      <c r="J2739">
        <f t="shared" ref="J2739:J2749" si="281">H2739/110</f>
        <v>19.578888708315272</v>
      </c>
      <c r="K2739">
        <v>6284.7907932016951</v>
      </c>
    </row>
    <row r="2740" spans="1:11" x14ac:dyDescent="0.35">
      <c r="A2740" s="1">
        <v>43525</v>
      </c>
      <c r="B2740" t="s">
        <v>2</v>
      </c>
      <c r="C2740" t="s">
        <v>38</v>
      </c>
      <c r="D2740">
        <v>110572.00000000003</v>
      </c>
      <c r="E2740">
        <v>528128</v>
      </c>
      <c r="F2740">
        <f t="shared" si="276"/>
        <v>4.776326737329522</v>
      </c>
      <c r="G2740">
        <f t="shared" ref="G2740:G2803" si="282">F2740*45.36</f>
        <v>216.65418080526712</v>
      </c>
      <c r="H2740">
        <v>2278.2299411441145</v>
      </c>
      <c r="I2740" t="s">
        <v>59</v>
      </c>
      <c r="J2740">
        <f t="shared" si="281"/>
        <v>20.711181283128315</v>
      </c>
      <c r="K2740">
        <v>6284.7907932016951</v>
      </c>
    </row>
    <row r="2741" spans="1:11" x14ac:dyDescent="0.35">
      <c r="A2741" s="1">
        <v>43556</v>
      </c>
      <c r="B2741" t="s">
        <v>2</v>
      </c>
      <c r="C2741" t="s">
        <v>38</v>
      </c>
      <c r="D2741">
        <v>506059</v>
      </c>
      <c r="E2741">
        <v>2655471.9999999995</v>
      </c>
      <c r="F2741">
        <f t="shared" si="276"/>
        <v>5.2473565335267223</v>
      </c>
      <c r="G2741">
        <f t="shared" si="282"/>
        <v>238.02009236077211</v>
      </c>
      <c r="H2741">
        <v>2226.5812247891458</v>
      </c>
      <c r="I2741" t="s">
        <v>59</v>
      </c>
      <c r="J2741">
        <f t="shared" si="281"/>
        <v>20.241647498083143</v>
      </c>
      <c r="K2741">
        <v>6284.7907932016951</v>
      </c>
    </row>
    <row r="2742" spans="1:11" x14ac:dyDescent="0.35">
      <c r="A2742" s="1">
        <v>43586</v>
      </c>
      <c r="B2742" t="s">
        <v>2</v>
      </c>
      <c r="C2742" t="s">
        <v>38</v>
      </c>
      <c r="D2742">
        <v>485214</v>
      </c>
      <c r="E2742">
        <v>2546311</v>
      </c>
      <c r="F2742">
        <f t="shared" si="276"/>
        <v>5.2478102445518884</v>
      </c>
      <c r="G2742">
        <f t="shared" si="282"/>
        <v>238.04067269287364</v>
      </c>
      <c r="H2742">
        <v>2371.057968157927</v>
      </c>
      <c r="I2742" t="s">
        <v>59</v>
      </c>
      <c r="J2742">
        <f t="shared" si="281"/>
        <v>21.555072437799335</v>
      </c>
      <c r="K2742">
        <v>6284.7907932016951</v>
      </c>
    </row>
    <row r="2743" spans="1:11" x14ac:dyDescent="0.35">
      <c r="A2743" s="1">
        <v>43617</v>
      </c>
      <c r="B2743" t="s">
        <v>2</v>
      </c>
      <c r="C2743" t="s">
        <v>38</v>
      </c>
      <c r="D2743">
        <v>206245.00000000003</v>
      </c>
      <c r="E2743">
        <v>1032459</v>
      </c>
      <c r="F2743">
        <f t="shared" si="276"/>
        <v>5.005983175349705</v>
      </c>
      <c r="G2743">
        <f t="shared" si="282"/>
        <v>227.07139683386262</v>
      </c>
      <c r="H2743">
        <v>2364.5872853257551</v>
      </c>
      <c r="I2743" t="s">
        <v>59</v>
      </c>
      <c r="J2743">
        <f t="shared" si="281"/>
        <v>21.496248048415957</v>
      </c>
      <c r="K2743">
        <v>6284.7907932016951</v>
      </c>
    </row>
    <row r="2744" spans="1:11" x14ac:dyDescent="0.35">
      <c r="A2744" s="1">
        <v>43647</v>
      </c>
      <c r="B2744" t="s">
        <v>2</v>
      </c>
      <c r="C2744" t="s">
        <v>38</v>
      </c>
      <c r="D2744">
        <v>145245</v>
      </c>
      <c r="E2744">
        <v>517667</v>
      </c>
      <c r="F2744">
        <f t="shared" si="276"/>
        <v>3.5640951495748561</v>
      </c>
      <c r="G2744">
        <f t="shared" si="282"/>
        <v>161.66735598471547</v>
      </c>
      <c r="H2744">
        <v>2321.7988181884857</v>
      </c>
      <c r="I2744" t="s">
        <v>59</v>
      </c>
      <c r="J2744">
        <f t="shared" si="281"/>
        <v>21.107261983531689</v>
      </c>
      <c r="K2744">
        <v>6284.7907932016951</v>
      </c>
    </row>
    <row r="2745" spans="1:11" x14ac:dyDescent="0.35">
      <c r="A2745" s="1">
        <v>43678</v>
      </c>
      <c r="B2745" t="s">
        <v>2</v>
      </c>
      <c r="C2745" t="s">
        <v>38</v>
      </c>
      <c r="D2745">
        <v>285791</v>
      </c>
      <c r="E2745">
        <v>1184973</v>
      </c>
      <c r="F2745">
        <f t="shared" si="276"/>
        <v>4.1462922205387853</v>
      </c>
      <c r="G2745">
        <f t="shared" si="282"/>
        <v>188.0758151236393</v>
      </c>
      <c r="H2745">
        <v>2221.8814421372695</v>
      </c>
      <c r="I2745" t="s">
        <v>59</v>
      </c>
      <c r="J2745">
        <f t="shared" si="281"/>
        <v>20.198922201247903</v>
      </c>
      <c r="K2745">
        <v>6284.7907932016951</v>
      </c>
    </row>
    <row r="2746" spans="1:11" x14ac:dyDescent="0.35">
      <c r="A2746" s="1">
        <v>43709</v>
      </c>
      <c r="B2746" t="s">
        <v>2</v>
      </c>
      <c r="C2746" t="s">
        <v>38</v>
      </c>
      <c r="D2746">
        <v>337897.99999999994</v>
      </c>
      <c r="E2746">
        <v>1650188.0000000002</v>
      </c>
      <c r="F2746">
        <f t="shared" si="276"/>
        <v>4.8836867930558938</v>
      </c>
      <c r="G2746">
        <f t="shared" si="282"/>
        <v>221.52403293301535</v>
      </c>
      <c r="H2746">
        <v>2243.7463794921159</v>
      </c>
      <c r="I2746" t="s">
        <v>59</v>
      </c>
      <c r="J2746">
        <f t="shared" si="281"/>
        <v>20.397694359019237</v>
      </c>
      <c r="K2746">
        <v>6284.7907932016951</v>
      </c>
    </row>
    <row r="2747" spans="1:11" x14ac:dyDescent="0.35">
      <c r="A2747" s="1">
        <v>43739</v>
      </c>
      <c r="B2747" t="s">
        <v>2</v>
      </c>
      <c r="C2747" t="s">
        <v>38</v>
      </c>
      <c r="D2747">
        <v>322532</v>
      </c>
      <c r="E2747">
        <v>1324389</v>
      </c>
      <c r="F2747">
        <f t="shared" si="276"/>
        <v>4.1062251187479069</v>
      </c>
      <c r="G2747">
        <f t="shared" si="282"/>
        <v>186.25837138640506</v>
      </c>
      <c r="H2747">
        <v>2299.4618973230658</v>
      </c>
      <c r="I2747" t="s">
        <v>59</v>
      </c>
      <c r="J2747">
        <f t="shared" si="281"/>
        <v>20.904199066573327</v>
      </c>
      <c r="K2747">
        <v>6284.7907932016951</v>
      </c>
    </row>
    <row r="2748" spans="1:11" x14ac:dyDescent="0.35">
      <c r="A2748" s="1">
        <v>43770</v>
      </c>
      <c r="B2748" t="s">
        <v>2</v>
      </c>
      <c r="C2748" t="s">
        <v>38</v>
      </c>
      <c r="D2748">
        <v>302014</v>
      </c>
      <c r="E2748">
        <v>1197430</v>
      </c>
      <c r="F2748">
        <f t="shared" si="276"/>
        <v>3.9648162005734835</v>
      </c>
      <c r="G2748">
        <f t="shared" si="282"/>
        <v>179.84406285801322</v>
      </c>
      <c r="H2748">
        <v>2280.2363792629262</v>
      </c>
      <c r="I2748" t="s">
        <v>59</v>
      </c>
      <c r="J2748">
        <f t="shared" si="281"/>
        <v>20.729421629662966</v>
      </c>
      <c r="K2748">
        <v>6284.7907932016951</v>
      </c>
    </row>
    <row r="2749" spans="1:11" x14ac:dyDescent="0.35">
      <c r="A2749" s="1">
        <v>43800</v>
      </c>
      <c r="B2749" t="s">
        <v>2</v>
      </c>
      <c r="C2749" t="s">
        <v>38</v>
      </c>
      <c r="D2749">
        <v>115457</v>
      </c>
      <c r="E2749">
        <v>452154.00000000006</v>
      </c>
      <c r="F2749">
        <f t="shared" si="276"/>
        <v>3.9162112301549499</v>
      </c>
      <c r="G2749">
        <f t="shared" si="282"/>
        <v>177.63934139982854</v>
      </c>
      <c r="H2749">
        <v>2257.1615190685739</v>
      </c>
      <c r="I2749" t="s">
        <v>59</v>
      </c>
      <c r="J2749">
        <f t="shared" si="281"/>
        <v>20.519650173350673</v>
      </c>
      <c r="K2749">
        <v>6284.7907932016951</v>
      </c>
    </row>
    <row r="2750" spans="1:11" x14ac:dyDescent="0.35">
      <c r="A2750" s="1">
        <v>43466</v>
      </c>
      <c r="B2750" t="s">
        <v>5</v>
      </c>
      <c r="C2750" t="s">
        <v>38</v>
      </c>
      <c r="D2750">
        <v>54602</v>
      </c>
      <c r="E2750">
        <v>101201</v>
      </c>
      <c r="F2750">
        <f t="shared" si="276"/>
        <v>1.8534302772792206</v>
      </c>
      <c r="G2750">
        <f t="shared" si="282"/>
        <v>84.071597377385444</v>
      </c>
      <c r="H2750">
        <v>941.22018229166667</v>
      </c>
      <c r="I2750" t="s">
        <v>38</v>
      </c>
      <c r="J2750">
        <f>H2750/45.36</f>
        <v>20.750004018775719</v>
      </c>
      <c r="K2750">
        <v>2409.2436004449601</v>
      </c>
    </row>
    <row r="2751" spans="1:11" x14ac:dyDescent="0.35">
      <c r="A2751" s="1">
        <v>43497</v>
      </c>
      <c r="B2751" t="s">
        <v>5</v>
      </c>
      <c r="C2751" t="s">
        <v>38</v>
      </c>
      <c r="D2751">
        <v>32002.999999999996</v>
      </c>
      <c r="E2751">
        <v>79566</v>
      </c>
      <c r="F2751">
        <f t="shared" si="276"/>
        <v>2.4862044183357814</v>
      </c>
      <c r="G2751">
        <f t="shared" si="282"/>
        <v>112.77423241571104</v>
      </c>
      <c r="H2751">
        <v>981.84114583333337</v>
      </c>
      <c r="I2751" t="s">
        <v>38</v>
      </c>
      <c r="J2751">
        <f t="shared" ref="J2751:J2814" si="283">H2751/45.36</f>
        <v>21.645527906378604</v>
      </c>
      <c r="K2751">
        <v>2409.2436004449601</v>
      </c>
    </row>
    <row r="2752" spans="1:11" x14ac:dyDescent="0.35">
      <c r="A2752" s="1">
        <v>43525</v>
      </c>
      <c r="B2752" t="s">
        <v>5</v>
      </c>
      <c r="C2752" t="s">
        <v>38</v>
      </c>
      <c r="D2752">
        <v>29898.999999999996</v>
      </c>
      <c r="E2752">
        <v>73011.999999999942</v>
      </c>
      <c r="F2752">
        <f t="shared" si="276"/>
        <v>2.4419545804207483</v>
      </c>
      <c r="G2752">
        <f t="shared" si="282"/>
        <v>110.76705976788514</v>
      </c>
      <c r="H2752">
        <v>1089.4609375</v>
      </c>
      <c r="I2752" t="s">
        <v>38</v>
      </c>
      <c r="J2752">
        <f t="shared" si="283"/>
        <v>24.018098269400355</v>
      </c>
      <c r="K2752">
        <v>2409.2436004449601</v>
      </c>
    </row>
    <row r="2753" spans="1:11" x14ac:dyDescent="0.35">
      <c r="A2753" s="1">
        <v>43556</v>
      </c>
      <c r="B2753" t="s">
        <v>5</v>
      </c>
      <c r="C2753" t="s">
        <v>38</v>
      </c>
      <c r="D2753">
        <v>28147.000000000007</v>
      </c>
      <c r="E2753">
        <v>68745.000000000044</v>
      </c>
      <c r="F2753">
        <f t="shared" si="276"/>
        <v>2.4423562013713727</v>
      </c>
      <c r="G2753">
        <f t="shared" si="282"/>
        <v>110.78527729420546</v>
      </c>
      <c r="H2753">
        <v>1063.8660416666667</v>
      </c>
      <c r="I2753" t="s">
        <v>38</v>
      </c>
      <c r="J2753">
        <f t="shared" si="283"/>
        <v>23.453836897413286</v>
      </c>
      <c r="K2753">
        <v>2409.2436004449601</v>
      </c>
    </row>
    <row r="2754" spans="1:11" x14ac:dyDescent="0.35">
      <c r="A2754" s="1">
        <v>43586</v>
      </c>
      <c r="B2754" t="s">
        <v>5</v>
      </c>
      <c r="C2754" t="s">
        <v>38</v>
      </c>
      <c r="D2754">
        <v>22140</v>
      </c>
      <c r="E2754">
        <v>78998</v>
      </c>
      <c r="F2754">
        <f t="shared" si="276"/>
        <v>3.5681120144534777</v>
      </c>
      <c r="G2754">
        <f t="shared" si="282"/>
        <v>161.84956097560973</v>
      </c>
      <c r="H2754">
        <v>1118.2072916666668</v>
      </c>
      <c r="I2754" t="s">
        <v>38</v>
      </c>
      <c r="J2754">
        <f t="shared" si="283"/>
        <v>24.651836236037628</v>
      </c>
      <c r="K2754">
        <v>2409.2436004449601</v>
      </c>
    </row>
    <row r="2755" spans="1:11" x14ac:dyDescent="0.35">
      <c r="A2755" s="1">
        <v>43617</v>
      </c>
      <c r="B2755" t="s">
        <v>5</v>
      </c>
      <c r="C2755" t="s">
        <v>38</v>
      </c>
      <c r="D2755">
        <v>39879</v>
      </c>
      <c r="E2755">
        <v>101289</v>
      </c>
      <c r="F2755">
        <f t="shared" si="276"/>
        <v>2.5399082223726772</v>
      </c>
      <c r="G2755">
        <f t="shared" si="282"/>
        <v>115.21023696682464</v>
      </c>
      <c r="H2755">
        <v>1097.5182291666665</v>
      </c>
      <c r="I2755" t="s">
        <v>38</v>
      </c>
      <c r="J2755">
        <f t="shared" si="283"/>
        <v>24.195728156231624</v>
      </c>
      <c r="K2755">
        <v>2409.2436004449601</v>
      </c>
    </row>
    <row r="2756" spans="1:11" x14ac:dyDescent="0.35">
      <c r="A2756" s="1">
        <v>43647</v>
      </c>
      <c r="B2756" t="s">
        <v>5</v>
      </c>
      <c r="C2756" t="s">
        <v>38</v>
      </c>
      <c r="D2756">
        <v>38749</v>
      </c>
      <c r="E2756">
        <v>123713</v>
      </c>
      <c r="F2756">
        <f t="shared" si="276"/>
        <v>3.1926759400242588</v>
      </c>
      <c r="G2756">
        <f t="shared" si="282"/>
        <v>144.81978063950038</v>
      </c>
      <c r="H2756">
        <v>1088.8226190476191</v>
      </c>
      <c r="I2756" t="s">
        <v>38</v>
      </c>
      <c r="J2756">
        <f t="shared" si="283"/>
        <v>24.004025993113295</v>
      </c>
      <c r="K2756">
        <v>2409.2436004449601</v>
      </c>
    </row>
    <row r="2757" spans="1:11" x14ac:dyDescent="0.35">
      <c r="A2757" s="1">
        <v>43678</v>
      </c>
      <c r="B2757" t="s">
        <v>5</v>
      </c>
      <c r="C2757" t="s">
        <v>38</v>
      </c>
      <c r="D2757">
        <v>40214</v>
      </c>
      <c r="E2757">
        <v>84598</v>
      </c>
      <c r="F2757">
        <f t="shared" si="276"/>
        <v>2.1036952305167356</v>
      </c>
      <c r="G2757">
        <f t="shared" si="282"/>
        <v>95.423615656239122</v>
      </c>
      <c r="H2757">
        <v>1039.3631249999999</v>
      </c>
      <c r="I2757" t="s">
        <v>38</v>
      </c>
      <c r="J2757">
        <f t="shared" si="283"/>
        <v>22.913649140211636</v>
      </c>
      <c r="K2757">
        <v>2409.2436004449601</v>
      </c>
    </row>
    <row r="2758" spans="1:11" x14ac:dyDescent="0.35">
      <c r="A2758" s="1">
        <v>43709</v>
      </c>
      <c r="B2758" t="s">
        <v>5</v>
      </c>
      <c r="C2758" t="s">
        <v>38</v>
      </c>
      <c r="D2758">
        <v>49954</v>
      </c>
      <c r="E2758">
        <v>125498.00000000001</v>
      </c>
      <c r="F2758">
        <f t="shared" si="276"/>
        <v>2.5122712895864199</v>
      </c>
      <c r="G2758">
        <f t="shared" si="282"/>
        <v>113.95662569564</v>
      </c>
      <c r="H2758">
        <v>988.97916666666674</v>
      </c>
      <c r="I2758" t="s">
        <v>38</v>
      </c>
      <c r="J2758">
        <f t="shared" si="283"/>
        <v>21.802891681363906</v>
      </c>
      <c r="K2758">
        <v>2409.2436004449601</v>
      </c>
    </row>
    <row r="2759" spans="1:11" x14ac:dyDescent="0.35">
      <c r="A2759" s="1">
        <v>43739</v>
      </c>
      <c r="B2759" t="s">
        <v>5</v>
      </c>
      <c r="C2759" t="s">
        <v>38</v>
      </c>
      <c r="D2759">
        <v>33245</v>
      </c>
      <c r="E2759">
        <v>87564</v>
      </c>
      <c r="F2759">
        <f t="shared" si="276"/>
        <v>2.6338998345615883</v>
      </c>
      <c r="G2759">
        <f t="shared" si="282"/>
        <v>119.47369649571364</v>
      </c>
      <c r="H2759">
        <v>942.13671875</v>
      </c>
      <c r="I2759" t="s">
        <v>38</v>
      </c>
      <c r="J2759">
        <f t="shared" si="283"/>
        <v>20.770209848985893</v>
      </c>
      <c r="K2759">
        <v>2409.2436004449601</v>
      </c>
    </row>
    <row r="2760" spans="1:11" x14ac:dyDescent="0.35">
      <c r="A2760" s="1">
        <v>43770</v>
      </c>
      <c r="B2760" t="s">
        <v>5</v>
      </c>
      <c r="C2760" t="s">
        <v>38</v>
      </c>
      <c r="D2760">
        <v>42658</v>
      </c>
      <c r="E2760">
        <v>72145</v>
      </c>
      <c r="F2760">
        <f t="shared" si="276"/>
        <v>1.6912419710253646</v>
      </c>
      <c r="G2760">
        <f t="shared" si="282"/>
        <v>76.714735805710532</v>
      </c>
      <c r="H2760">
        <v>929.50364583333328</v>
      </c>
      <c r="I2760" t="s">
        <v>38</v>
      </c>
      <c r="J2760">
        <f t="shared" si="283"/>
        <v>20.491702950470312</v>
      </c>
      <c r="K2760">
        <v>2409.2436004449601</v>
      </c>
    </row>
    <row r="2761" spans="1:11" x14ac:dyDescent="0.35">
      <c r="A2761" s="1">
        <v>43800</v>
      </c>
      <c r="B2761" t="s">
        <v>5</v>
      </c>
      <c r="C2761" t="s">
        <v>38</v>
      </c>
      <c r="D2761">
        <v>53854</v>
      </c>
      <c r="E2761">
        <v>102451</v>
      </c>
      <c r="F2761">
        <f t="shared" si="276"/>
        <v>1.9023842240130724</v>
      </c>
      <c r="G2761">
        <f t="shared" si="282"/>
        <v>86.292148401232964</v>
      </c>
      <c r="H2761">
        <v>939.35598958333333</v>
      </c>
      <c r="I2761" t="s">
        <v>38</v>
      </c>
      <c r="J2761">
        <f t="shared" si="283"/>
        <v>20.708906295928866</v>
      </c>
      <c r="K2761">
        <v>2409.2436004449601</v>
      </c>
    </row>
    <row r="2762" spans="1:11" x14ac:dyDescent="0.35">
      <c r="A2762" s="1">
        <v>43466</v>
      </c>
      <c r="B2762" t="s">
        <v>7</v>
      </c>
      <c r="C2762" t="s">
        <v>38</v>
      </c>
      <c r="D2762">
        <v>6098</v>
      </c>
      <c r="E2762">
        <v>82847</v>
      </c>
      <c r="F2762">
        <f t="shared" si="276"/>
        <v>13.585929813053459</v>
      </c>
      <c r="G2762">
        <f t="shared" si="282"/>
        <v>616.25777632010488</v>
      </c>
      <c r="H2762">
        <v>600.77678571428567</v>
      </c>
      <c r="I2762" t="s">
        <v>38</v>
      </c>
      <c r="J2762">
        <f t="shared" si="283"/>
        <v>13.244638133030989</v>
      </c>
      <c r="K2762">
        <v>5846.970079581999</v>
      </c>
    </row>
    <row r="2763" spans="1:11" x14ac:dyDescent="0.35">
      <c r="A2763" s="1">
        <v>43497</v>
      </c>
      <c r="B2763" t="s">
        <v>7</v>
      </c>
      <c r="C2763" t="s">
        <v>38</v>
      </c>
      <c r="D2763">
        <v>11204.000000000002</v>
      </c>
      <c r="E2763">
        <v>108977.99999999993</v>
      </c>
      <c r="F2763">
        <f t="shared" si="276"/>
        <v>9.7267047483041686</v>
      </c>
      <c r="G2763">
        <f t="shared" si="282"/>
        <v>441.20332738307707</v>
      </c>
      <c r="H2763">
        <v>540.93452380952374</v>
      </c>
      <c r="I2763" t="s">
        <v>38</v>
      </c>
      <c r="J2763">
        <f t="shared" si="283"/>
        <v>11.925364281515074</v>
      </c>
      <c r="K2763">
        <v>5846.970079581999</v>
      </c>
    </row>
    <row r="2764" spans="1:11" x14ac:dyDescent="0.35">
      <c r="A2764" s="1">
        <v>43525</v>
      </c>
      <c r="B2764" t="s">
        <v>7</v>
      </c>
      <c r="C2764" t="s">
        <v>38</v>
      </c>
      <c r="D2764">
        <v>10214</v>
      </c>
      <c r="E2764">
        <v>122144.99999999999</v>
      </c>
      <c r="F2764">
        <f t="shared" si="276"/>
        <v>11.958586254160954</v>
      </c>
      <c r="G2764">
        <f t="shared" si="282"/>
        <v>542.44147248874083</v>
      </c>
      <c r="H2764">
        <v>551.28571428571433</v>
      </c>
      <c r="I2764" t="s">
        <v>38</v>
      </c>
      <c r="J2764">
        <f t="shared" si="283"/>
        <v>12.153565129755608</v>
      </c>
      <c r="K2764">
        <v>5846.970079581999</v>
      </c>
    </row>
    <row r="2765" spans="1:11" x14ac:dyDescent="0.35">
      <c r="A2765" s="1">
        <v>43556</v>
      </c>
      <c r="B2765" t="s">
        <v>7</v>
      </c>
      <c r="C2765" t="s">
        <v>38</v>
      </c>
      <c r="D2765">
        <v>11983.999999999995</v>
      </c>
      <c r="E2765">
        <v>139586.99999999997</v>
      </c>
      <c r="F2765">
        <f t="shared" si="276"/>
        <v>11.647780373831779</v>
      </c>
      <c r="G2765">
        <f t="shared" si="282"/>
        <v>528.34331775700946</v>
      </c>
      <c r="H2765">
        <v>665.16406249999989</v>
      </c>
      <c r="I2765" t="s">
        <v>38</v>
      </c>
      <c r="J2765">
        <f t="shared" si="283"/>
        <v>14.664110725308639</v>
      </c>
      <c r="K2765">
        <v>5846.970079581999</v>
      </c>
    </row>
    <row r="2766" spans="1:11" x14ac:dyDescent="0.35">
      <c r="A2766" s="1">
        <v>43586</v>
      </c>
      <c r="B2766" t="s">
        <v>7</v>
      </c>
      <c r="C2766" t="s">
        <v>38</v>
      </c>
      <c r="D2766">
        <v>9540.9999999999982</v>
      </c>
      <c r="E2766">
        <v>109989.00000000003</v>
      </c>
      <c r="F2766">
        <f t="shared" si="276"/>
        <v>11.528036893407405</v>
      </c>
      <c r="G2766">
        <f t="shared" si="282"/>
        <v>522.91175348495995</v>
      </c>
      <c r="H2766">
        <v>743.97395833333337</v>
      </c>
      <c r="I2766" t="s">
        <v>38</v>
      </c>
      <c r="J2766">
        <f t="shared" si="283"/>
        <v>16.401542291299236</v>
      </c>
      <c r="K2766">
        <v>5846.970079581999</v>
      </c>
    </row>
    <row r="2767" spans="1:11" x14ac:dyDescent="0.35">
      <c r="A2767" s="1">
        <v>43617</v>
      </c>
      <c r="B2767" t="s">
        <v>7</v>
      </c>
      <c r="C2767" t="s">
        <v>38</v>
      </c>
      <c r="D2767">
        <v>8345</v>
      </c>
      <c r="E2767">
        <v>96898</v>
      </c>
      <c r="F2767">
        <f t="shared" si="276"/>
        <v>11.611503894547633</v>
      </c>
      <c r="G2767">
        <f t="shared" si="282"/>
        <v>526.69781665668063</v>
      </c>
      <c r="H2767">
        <v>844.01302083333348</v>
      </c>
      <c r="I2767" t="s">
        <v>38</v>
      </c>
      <c r="J2767">
        <f t="shared" si="283"/>
        <v>18.60698899544386</v>
      </c>
      <c r="K2767">
        <v>5846.970079581999</v>
      </c>
    </row>
    <row r="2768" spans="1:11" x14ac:dyDescent="0.35">
      <c r="A2768" s="1">
        <v>43647</v>
      </c>
      <c r="B2768" t="s">
        <v>7</v>
      </c>
      <c r="C2768" t="s">
        <v>38</v>
      </c>
      <c r="D2768">
        <v>7999</v>
      </c>
      <c r="E2768">
        <v>95986.999999999985</v>
      </c>
      <c r="F2768">
        <f t="shared" si="276"/>
        <v>11.999874984373045</v>
      </c>
      <c r="G2768">
        <f t="shared" si="282"/>
        <v>544.31432929116136</v>
      </c>
      <c r="H2768">
        <v>882.5486111111112</v>
      </c>
      <c r="I2768" t="s">
        <v>38</v>
      </c>
      <c r="J2768">
        <f t="shared" si="283"/>
        <v>19.456539045659419</v>
      </c>
      <c r="K2768">
        <v>5846.970079581999</v>
      </c>
    </row>
    <row r="2769" spans="1:11" x14ac:dyDescent="0.35">
      <c r="A2769" s="1">
        <v>43678</v>
      </c>
      <c r="B2769" t="s">
        <v>7</v>
      </c>
      <c r="C2769" t="s">
        <v>38</v>
      </c>
      <c r="D2769">
        <v>7214.0000000000009</v>
      </c>
      <c r="E2769">
        <v>86214</v>
      </c>
      <c r="F2769">
        <f t="shared" si="276"/>
        <v>11.95092874965345</v>
      </c>
      <c r="G2769">
        <f t="shared" si="282"/>
        <v>542.09412808428044</v>
      </c>
      <c r="H2769">
        <v>1084.612976190476</v>
      </c>
      <c r="I2769" t="s">
        <v>38</v>
      </c>
      <c r="J2769">
        <f t="shared" si="283"/>
        <v>23.911220815486686</v>
      </c>
      <c r="K2769">
        <v>5846.970079581999</v>
      </c>
    </row>
    <row r="2770" spans="1:11" x14ac:dyDescent="0.35">
      <c r="A2770" s="1">
        <v>43709</v>
      </c>
      <c r="B2770" t="s">
        <v>7</v>
      </c>
      <c r="C2770" t="s">
        <v>38</v>
      </c>
      <c r="D2770">
        <v>7420.9999999999982</v>
      </c>
      <c r="E2770">
        <v>75102.000000000015</v>
      </c>
      <c r="F2770">
        <f t="shared" si="276"/>
        <v>10.120199434038543</v>
      </c>
      <c r="G2770">
        <f t="shared" si="282"/>
        <v>459.05224632798831</v>
      </c>
      <c r="H2770">
        <v>1159.7222222222222</v>
      </c>
      <c r="I2770" t="s">
        <v>38</v>
      </c>
      <c r="J2770">
        <f t="shared" si="283"/>
        <v>25.567068391142463</v>
      </c>
      <c r="K2770">
        <v>5846.970079581999</v>
      </c>
    </row>
    <row r="2771" spans="1:11" x14ac:dyDescent="0.35">
      <c r="A2771" s="1">
        <v>43739</v>
      </c>
      <c r="B2771" t="s">
        <v>7</v>
      </c>
      <c r="C2771" t="s">
        <v>38</v>
      </c>
      <c r="D2771">
        <v>6201</v>
      </c>
      <c r="E2771">
        <v>79254</v>
      </c>
      <c r="F2771">
        <f t="shared" si="276"/>
        <v>12.780841799709725</v>
      </c>
      <c r="G2771">
        <f t="shared" si="282"/>
        <v>579.73898403483315</v>
      </c>
      <c r="H2771">
        <v>1155.4026190476191</v>
      </c>
      <c r="I2771" t="s">
        <v>38</v>
      </c>
      <c r="J2771">
        <f t="shared" si="283"/>
        <v>25.471839044259681</v>
      </c>
      <c r="K2771">
        <v>5846.970079581999</v>
      </c>
    </row>
    <row r="2772" spans="1:11" x14ac:dyDescent="0.35">
      <c r="A2772" s="1">
        <v>43770</v>
      </c>
      <c r="B2772" t="s">
        <v>7</v>
      </c>
      <c r="C2772" t="s">
        <v>38</v>
      </c>
      <c r="D2772">
        <v>14766.000000000002</v>
      </c>
      <c r="E2772">
        <v>114006</v>
      </c>
      <c r="F2772">
        <f t="shared" si="276"/>
        <v>7.7208451848841921</v>
      </c>
      <c r="G2772">
        <f t="shared" si="282"/>
        <v>350.21753758634696</v>
      </c>
      <c r="H2772">
        <v>752.06357142857144</v>
      </c>
      <c r="I2772" t="s">
        <v>38</v>
      </c>
      <c r="J2772">
        <f t="shared" si="283"/>
        <v>16.579884731670447</v>
      </c>
      <c r="K2772">
        <v>5846.970079581999</v>
      </c>
    </row>
    <row r="2773" spans="1:11" x14ac:dyDescent="0.35">
      <c r="A2773" s="1">
        <v>43800</v>
      </c>
      <c r="B2773" t="s">
        <v>7</v>
      </c>
      <c r="C2773" t="s">
        <v>38</v>
      </c>
      <c r="D2773">
        <v>8951</v>
      </c>
      <c r="E2773">
        <v>98323.000000000015</v>
      </c>
      <c r="F2773">
        <f t="shared" si="276"/>
        <v>10.984582728186796</v>
      </c>
      <c r="G2773">
        <f t="shared" si="282"/>
        <v>498.26067255055307</v>
      </c>
      <c r="H2773">
        <v>705.15499999999997</v>
      </c>
      <c r="I2773" t="s">
        <v>38</v>
      </c>
      <c r="J2773">
        <f t="shared" si="283"/>
        <v>15.545745149911816</v>
      </c>
      <c r="K2773">
        <v>5846.970079581999</v>
      </c>
    </row>
    <row r="2774" spans="1:11" x14ac:dyDescent="0.35">
      <c r="A2774" s="1">
        <v>43466</v>
      </c>
      <c r="B2774" t="s">
        <v>8</v>
      </c>
      <c r="C2774" t="s">
        <v>38</v>
      </c>
      <c r="D2774">
        <v>10214</v>
      </c>
      <c r="E2774">
        <v>85412</v>
      </c>
      <c r="F2774">
        <f t="shared" si="276"/>
        <v>8.362247895046016</v>
      </c>
      <c r="G2774">
        <f t="shared" si="282"/>
        <v>379.31156451928729</v>
      </c>
      <c r="H2774">
        <v>1255.2265625</v>
      </c>
      <c r="I2774" t="s">
        <v>38</v>
      </c>
      <c r="J2774">
        <f t="shared" si="283"/>
        <v>27.672543264991184</v>
      </c>
      <c r="K2774">
        <v>10137.37206528</v>
      </c>
    </row>
    <row r="2775" spans="1:11" x14ac:dyDescent="0.35">
      <c r="A2775" s="1">
        <v>43497</v>
      </c>
      <c r="B2775" t="s">
        <v>8</v>
      </c>
      <c r="C2775" t="s">
        <v>38</v>
      </c>
      <c r="D2775">
        <v>10241</v>
      </c>
      <c r="E2775">
        <v>91242</v>
      </c>
      <c r="F2775">
        <f t="shared" ref="F2775:F2838" si="284">E2775/D2775</f>
        <v>8.9094814959476611</v>
      </c>
      <c r="G2775">
        <f t="shared" si="282"/>
        <v>404.13408065618592</v>
      </c>
      <c r="H2775">
        <v>1341.8203125</v>
      </c>
      <c r="I2775" t="s">
        <v>38</v>
      </c>
      <c r="J2775">
        <f t="shared" si="283"/>
        <v>29.581576554232804</v>
      </c>
      <c r="K2775">
        <v>10137.37206528</v>
      </c>
    </row>
    <row r="2776" spans="1:11" x14ac:dyDescent="0.35">
      <c r="A2776" s="1">
        <v>43525</v>
      </c>
      <c r="B2776" t="s">
        <v>8</v>
      </c>
      <c r="C2776" t="s">
        <v>38</v>
      </c>
      <c r="D2776">
        <v>7452.0000000000009</v>
      </c>
      <c r="E2776">
        <v>75421</v>
      </c>
      <c r="F2776">
        <f t="shared" si="284"/>
        <v>10.12090713902308</v>
      </c>
      <c r="G2776">
        <f t="shared" si="282"/>
        <v>459.08434782608691</v>
      </c>
      <c r="H2776">
        <v>1360.296875</v>
      </c>
      <c r="I2776" t="s">
        <v>38</v>
      </c>
      <c r="J2776">
        <f t="shared" si="283"/>
        <v>29.988908179012345</v>
      </c>
      <c r="K2776">
        <v>10137.37206528</v>
      </c>
    </row>
    <row r="2777" spans="1:11" x14ac:dyDescent="0.35">
      <c r="A2777" s="1">
        <v>43556</v>
      </c>
      <c r="B2777" t="s">
        <v>8</v>
      </c>
      <c r="C2777" t="s">
        <v>38</v>
      </c>
      <c r="D2777">
        <v>9248.0000000000091</v>
      </c>
      <c r="E2777">
        <v>90561.200000000012</v>
      </c>
      <c r="F2777">
        <f t="shared" si="284"/>
        <v>9.7925173010380533</v>
      </c>
      <c r="G2777">
        <f t="shared" si="282"/>
        <v>444.1885847750861</v>
      </c>
      <c r="H2777">
        <v>1456.2135416666665</v>
      </c>
      <c r="I2777" t="s">
        <v>38</v>
      </c>
      <c r="J2777">
        <f t="shared" si="283"/>
        <v>32.10347314079953</v>
      </c>
      <c r="K2777">
        <v>10137.37206528</v>
      </c>
    </row>
    <row r="2778" spans="1:11" x14ac:dyDescent="0.35">
      <c r="A2778" s="1">
        <v>43586</v>
      </c>
      <c r="B2778" t="s">
        <v>8</v>
      </c>
      <c r="C2778" t="s">
        <v>38</v>
      </c>
      <c r="D2778">
        <v>5654</v>
      </c>
      <c r="E2778">
        <v>58410.999999999971</v>
      </c>
      <c r="F2778">
        <f t="shared" si="284"/>
        <v>10.33091616554651</v>
      </c>
      <c r="G2778">
        <f t="shared" si="282"/>
        <v>468.61035726918971</v>
      </c>
      <c r="H2778">
        <v>1446.8904761904762</v>
      </c>
      <c r="I2778" t="s">
        <v>38</v>
      </c>
      <c r="J2778">
        <f t="shared" si="283"/>
        <v>31.897938187620728</v>
      </c>
      <c r="K2778">
        <v>10137.37206528</v>
      </c>
    </row>
    <row r="2779" spans="1:11" x14ac:dyDescent="0.35">
      <c r="A2779" s="1">
        <v>43617</v>
      </c>
      <c r="B2779" t="s">
        <v>8</v>
      </c>
      <c r="C2779" t="s">
        <v>38</v>
      </c>
      <c r="D2779">
        <v>6621</v>
      </c>
      <c r="E2779">
        <v>48214</v>
      </c>
      <c r="F2779">
        <f t="shared" si="284"/>
        <v>7.2819815737803957</v>
      </c>
      <c r="G2779">
        <f t="shared" si="282"/>
        <v>330.31068418667877</v>
      </c>
      <c r="H2779">
        <v>1388.6607142857142</v>
      </c>
      <c r="I2779" t="s">
        <v>38</v>
      </c>
      <c r="J2779">
        <f t="shared" si="283"/>
        <v>30.614213277903755</v>
      </c>
      <c r="K2779">
        <v>10137.37206528</v>
      </c>
    </row>
    <row r="2780" spans="1:11" x14ac:dyDescent="0.35">
      <c r="A2780" s="1">
        <v>43647</v>
      </c>
      <c r="B2780" t="s">
        <v>8</v>
      </c>
      <c r="C2780" t="s">
        <v>38</v>
      </c>
      <c r="D2780">
        <v>4320</v>
      </c>
      <c r="E2780">
        <v>41899</v>
      </c>
      <c r="F2780">
        <f t="shared" si="284"/>
        <v>9.6988425925925927</v>
      </c>
      <c r="G2780">
        <f t="shared" si="282"/>
        <v>439.93950000000001</v>
      </c>
      <c r="H2780">
        <v>1870.1213333333333</v>
      </c>
      <c r="I2780" t="s">
        <v>38</v>
      </c>
      <c r="J2780">
        <f t="shared" si="283"/>
        <v>41.228424456202234</v>
      </c>
      <c r="K2780">
        <v>10137.37206528</v>
      </c>
    </row>
    <row r="2781" spans="1:11" x14ac:dyDescent="0.35">
      <c r="A2781" s="1">
        <v>43678</v>
      </c>
      <c r="B2781" t="s">
        <v>8</v>
      </c>
      <c r="C2781" t="s">
        <v>38</v>
      </c>
      <c r="D2781">
        <v>3864.9999999999995</v>
      </c>
      <c r="E2781">
        <v>31950</v>
      </c>
      <c r="F2781">
        <f t="shared" si="284"/>
        <v>8.2664941785252282</v>
      </c>
      <c r="G2781">
        <f t="shared" si="282"/>
        <v>374.96817593790433</v>
      </c>
      <c r="H2781">
        <v>1780.3041666666668</v>
      </c>
      <c r="I2781" t="s">
        <v>38</v>
      </c>
      <c r="J2781">
        <f t="shared" si="283"/>
        <v>39.248328189300416</v>
      </c>
      <c r="K2781">
        <v>10137.37206528</v>
      </c>
    </row>
    <row r="2782" spans="1:11" x14ac:dyDescent="0.35">
      <c r="A2782" s="1">
        <v>43709</v>
      </c>
      <c r="B2782" t="s">
        <v>8</v>
      </c>
      <c r="C2782" t="s">
        <v>38</v>
      </c>
      <c r="D2782">
        <v>4852</v>
      </c>
      <c r="E2782">
        <v>43011</v>
      </c>
      <c r="F2782">
        <f t="shared" si="284"/>
        <v>8.8645919208573787</v>
      </c>
      <c r="G2782">
        <f t="shared" si="282"/>
        <v>402.0978895300907</v>
      </c>
      <c r="H2782">
        <v>2183.0124999999998</v>
      </c>
      <c r="I2782" t="s">
        <v>38</v>
      </c>
      <c r="J2782">
        <f t="shared" si="283"/>
        <v>48.126377865961196</v>
      </c>
      <c r="K2782">
        <v>10137.37206528</v>
      </c>
    </row>
    <row r="2783" spans="1:11" x14ac:dyDescent="0.35">
      <c r="A2783" s="1">
        <v>43739</v>
      </c>
      <c r="B2783" t="s">
        <v>8</v>
      </c>
      <c r="C2783" t="s">
        <v>38</v>
      </c>
      <c r="D2783">
        <v>3214</v>
      </c>
      <c r="E2783">
        <v>33541</v>
      </c>
      <c r="F2783">
        <f t="shared" si="284"/>
        <v>10.435905413814561</v>
      </c>
      <c r="G2783">
        <f t="shared" si="282"/>
        <v>473.37266957062849</v>
      </c>
      <c r="H2783">
        <v>1660.3125</v>
      </c>
      <c r="I2783" t="s">
        <v>38</v>
      </c>
      <c r="J2783">
        <f t="shared" si="283"/>
        <v>36.60300925925926</v>
      </c>
      <c r="K2783">
        <v>10137.37206528</v>
      </c>
    </row>
    <row r="2784" spans="1:11" x14ac:dyDescent="0.35">
      <c r="A2784" s="1">
        <v>43770</v>
      </c>
      <c r="B2784" t="s">
        <v>8</v>
      </c>
      <c r="C2784" t="s">
        <v>38</v>
      </c>
      <c r="D2784">
        <v>5484</v>
      </c>
      <c r="E2784">
        <v>48962.000000000015</v>
      </c>
      <c r="F2784">
        <f t="shared" si="284"/>
        <v>8.9281546316557279</v>
      </c>
      <c r="G2784">
        <f t="shared" si="282"/>
        <v>404.9810940919038</v>
      </c>
      <c r="H2784">
        <v>1809.375</v>
      </c>
      <c r="I2784" t="s">
        <v>38</v>
      </c>
      <c r="J2784">
        <f t="shared" si="283"/>
        <v>39.889219576719576</v>
      </c>
      <c r="K2784">
        <v>10137.37206528</v>
      </c>
    </row>
    <row r="2785" spans="1:11" x14ac:dyDescent="0.35">
      <c r="A2785" s="1">
        <v>43800</v>
      </c>
      <c r="B2785" t="s">
        <v>8</v>
      </c>
      <c r="C2785" t="s">
        <v>38</v>
      </c>
      <c r="D2785">
        <v>7120.0000000000009</v>
      </c>
      <c r="E2785">
        <v>64305</v>
      </c>
      <c r="F2785">
        <f t="shared" si="284"/>
        <v>9.0316011235955038</v>
      </c>
      <c r="G2785">
        <f t="shared" si="282"/>
        <v>409.67342696629203</v>
      </c>
      <c r="H2785">
        <v>1679.3576388888889</v>
      </c>
      <c r="I2785" t="s">
        <v>38</v>
      </c>
      <c r="J2785">
        <f t="shared" si="283"/>
        <v>37.022875636880265</v>
      </c>
      <c r="K2785">
        <v>10137.37206528</v>
      </c>
    </row>
    <row r="2786" spans="1:11" x14ac:dyDescent="0.35">
      <c r="A2786" s="1">
        <v>43466</v>
      </c>
      <c r="B2786" t="s">
        <v>9</v>
      </c>
      <c r="C2786" t="s">
        <v>38</v>
      </c>
      <c r="D2786">
        <v>5001</v>
      </c>
      <c r="E2786">
        <v>142578</v>
      </c>
      <c r="F2786">
        <f t="shared" si="284"/>
        <v>28.509898020395919</v>
      </c>
      <c r="G2786">
        <f t="shared" si="282"/>
        <v>1293.2089742051589</v>
      </c>
      <c r="H2786">
        <v>925.16666666666663</v>
      </c>
      <c r="I2786" t="s">
        <v>38</v>
      </c>
      <c r="J2786">
        <f t="shared" si="283"/>
        <v>20.396090534979422</v>
      </c>
      <c r="K2786">
        <v>26088.26000808728</v>
      </c>
    </row>
    <row r="2787" spans="1:11" x14ac:dyDescent="0.35">
      <c r="A2787" s="1">
        <v>43497</v>
      </c>
      <c r="B2787" t="s">
        <v>9</v>
      </c>
      <c r="C2787" t="s">
        <v>38</v>
      </c>
      <c r="D2787">
        <v>5512</v>
      </c>
      <c r="E2787">
        <v>189875</v>
      </c>
      <c r="F2787">
        <f t="shared" si="284"/>
        <v>34.447568940493468</v>
      </c>
      <c r="G2787">
        <f t="shared" si="282"/>
        <v>1562.5417271407837</v>
      </c>
      <c r="H2787">
        <v>1039.1666666666667</v>
      </c>
      <c r="I2787" t="s">
        <v>38</v>
      </c>
      <c r="J2787">
        <f t="shared" si="283"/>
        <v>22.909318048206938</v>
      </c>
      <c r="K2787">
        <v>26088.26000808728</v>
      </c>
    </row>
    <row r="2788" spans="1:11" x14ac:dyDescent="0.35">
      <c r="A2788" s="1">
        <v>43525</v>
      </c>
      <c r="B2788" t="s">
        <v>9</v>
      </c>
      <c r="C2788" t="s">
        <v>38</v>
      </c>
      <c r="D2788">
        <v>4683.4699999999993</v>
      </c>
      <c r="E2788">
        <v>210250</v>
      </c>
      <c r="F2788">
        <f t="shared" si="284"/>
        <v>44.891928420594141</v>
      </c>
      <c r="G2788">
        <f t="shared" si="282"/>
        <v>2036.2978731581502</v>
      </c>
      <c r="H2788">
        <v>908.33333333333337</v>
      </c>
      <c r="I2788" t="s">
        <v>38</v>
      </c>
      <c r="J2788">
        <f t="shared" si="283"/>
        <v>20.024985302763081</v>
      </c>
      <c r="K2788">
        <v>26088.26000808728</v>
      </c>
    </row>
    <row r="2789" spans="1:11" x14ac:dyDescent="0.35">
      <c r="A2789" s="1">
        <v>43556</v>
      </c>
      <c r="B2789" t="s">
        <v>9</v>
      </c>
      <c r="C2789" t="s">
        <v>38</v>
      </c>
      <c r="D2789">
        <v>4344.9999999999991</v>
      </c>
      <c r="E2789">
        <v>165471</v>
      </c>
      <c r="F2789">
        <f t="shared" si="284"/>
        <v>38.083084004603002</v>
      </c>
      <c r="G2789">
        <f t="shared" si="282"/>
        <v>1727.4486904487921</v>
      </c>
      <c r="H2789">
        <v>969.33333333333337</v>
      </c>
      <c r="I2789" t="s">
        <v>38</v>
      </c>
      <c r="J2789">
        <f t="shared" si="283"/>
        <v>21.369782480893594</v>
      </c>
      <c r="K2789">
        <v>26088.26000808728</v>
      </c>
    </row>
    <row r="2790" spans="1:11" x14ac:dyDescent="0.35">
      <c r="A2790" s="1">
        <v>43586</v>
      </c>
      <c r="B2790" t="s">
        <v>9</v>
      </c>
      <c r="C2790" t="s">
        <v>38</v>
      </c>
      <c r="D2790">
        <v>5235</v>
      </c>
      <c r="E2790">
        <v>206544</v>
      </c>
      <c r="F2790">
        <f t="shared" si="284"/>
        <v>39.454441260744986</v>
      </c>
      <c r="G2790">
        <f t="shared" si="282"/>
        <v>1789.6534555873925</v>
      </c>
      <c r="H2790">
        <v>972.375</v>
      </c>
      <c r="I2790" t="s">
        <v>38</v>
      </c>
      <c r="J2790">
        <f t="shared" si="283"/>
        <v>21.436838624338623</v>
      </c>
      <c r="K2790">
        <v>26088.26000808728</v>
      </c>
    </row>
    <row r="2791" spans="1:11" x14ac:dyDescent="0.35">
      <c r="A2791" s="1">
        <v>43617</v>
      </c>
      <c r="B2791" t="s">
        <v>9</v>
      </c>
      <c r="C2791" t="s">
        <v>38</v>
      </c>
      <c r="D2791">
        <v>4165</v>
      </c>
      <c r="E2791">
        <v>159668</v>
      </c>
      <c r="F2791">
        <f t="shared" si="284"/>
        <v>38.335654261704683</v>
      </c>
      <c r="G2791">
        <f t="shared" si="282"/>
        <v>1738.9052773109245</v>
      </c>
      <c r="H2791">
        <v>1070.5</v>
      </c>
      <c r="I2791" t="s">
        <v>38</v>
      </c>
      <c r="J2791">
        <f t="shared" si="283"/>
        <v>23.600088183421516</v>
      </c>
      <c r="K2791">
        <v>26088.26000808728</v>
      </c>
    </row>
    <row r="2792" spans="1:11" x14ac:dyDescent="0.35">
      <c r="A2792" s="1">
        <v>43647</v>
      </c>
      <c r="B2792" t="s">
        <v>9</v>
      </c>
      <c r="C2792" t="s">
        <v>38</v>
      </c>
      <c r="D2792">
        <v>3547.0000000000005</v>
      </c>
      <c r="E2792">
        <v>125987.00000000001</v>
      </c>
      <c r="F2792">
        <f t="shared" si="284"/>
        <v>35.519312094727937</v>
      </c>
      <c r="G2792">
        <f t="shared" si="282"/>
        <v>1611.1559966168593</v>
      </c>
      <c r="H2792">
        <v>1145</v>
      </c>
      <c r="I2792" t="s">
        <v>38</v>
      </c>
      <c r="J2792">
        <f t="shared" si="283"/>
        <v>25.242504409171076</v>
      </c>
      <c r="K2792">
        <v>26088.26000808728</v>
      </c>
    </row>
    <row r="2793" spans="1:11" x14ac:dyDescent="0.35">
      <c r="A2793" s="1">
        <v>43678</v>
      </c>
      <c r="B2793" t="s">
        <v>9</v>
      </c>
      <c r="C2793" t="s">
        <v>38</v>
      </c>
      <c r="D2793">
        <v>4215</v>
      </c>
      <c r="E2793">
        <v>159680</v>
      </c>
      <c r="F2793">
        <f t="shared" si="284"/>
        <v>37.883748517200473</v>
      </c>
      <c r="G2793">
        <f t="shared" si="282"/>
        <v>1718.4068327402135</v>
      </c>
      <c r="H2793">
        <v>1173.3888888888887</v>
      </c>
      <c r="I2793" t="s">
        <v>38</v>
      </c>
      <c r="J2793">
        <f t="shared" si="283"/>
        <v>25.868361747991372</v>
      </c>
      <c r="K2793">
        <v>26088.26000808728</v>
      </c>
    </row>
    <row r="2794" spans="1:11" x14ac:dyDescent="0.35">
      <c r="A2794" s="1">
        <v>43709</v>
      </c>
      <c r="B2794" t="s">
        <v>9</v>
      </c>
      <c r="C2794" t="s">
        <v>38</v>
      </c>
      <c r="D2794">
        <v>4658</v>
      </c>
      <c r="E2794">
        <v>193241.00000000003</v>
      </c>
      <c r="F2794">
        <f t="shared" si="284"/>
        <v>41.485830828681841</v>
      </c>
      <c r="G2794">
        <f t="shared" si="282"/>
        <v>1881.7972863890084</v>
      </c>
      <c r="H2794">
        <v>988</v>
      </c>
      <c r="I2794" t="s">
        <v>38</v>
      </c>
      <c r="J2794">
        <f t="shared" si="283"/>
        <v>21.78130511463845</v>
      </c>
      <c r="K2794">
        <v>26088.26000808728</v>
      </c>
    </row>
    <row r="2795" spans="1:11" x14ac:dyDescent="0.35">
      <c r="A2795" s="1">
        <v>43739</v>
      </c>
      <c r="B2795" t="s">
        <v>9</v>
      </c>
      <c r="C2795" t="s">
        <v>38</v>
      </c>
      <c r="D2795">
        <v>3875.0000000000005</v>
      </c>
      <c r="E2795">
        <v>154521</v>
      </c>
      <c r="F2795">
        <f t="shared" si="284"/>
        <v>39.876387096774188</v>
      </c>
      <c r="G2795">
        <f t="shared" si="282"/>
        <v>1808.7929187096772</v>
      </c>
      <c r="H2795">
        <v>1099</v>
      </c>
      <c r="I2795" t="s">
        <v>38</v>
      </c>
      <c r="J2795">
        <f t="shared" si="283"/>
        <v>24.228395061728396</v>
      </c>
      <c r="K2795">
        <v>26088.26000808728</v>
      </c>
    </row>
    <row r="2796" spans="1:11" x14ac:dyDescent="0.35">
      <c r="A2796" s="1">
        <v>43770</v>
      </c>
      <c r="B2796" t="s">
        <v>9</v>
      </c>
      <c r="C2796" t="s">
        <v>38</v>
      </c>
      <c r="D2796">
        <v>5501</v>
      </c>
      <c r="E2796">
        <v>183990</v>
      </c>
      <c r="F2796">
        <f t="shared" si="284"/>
        <v>33.446646064351938</v>
      </c>
      <c r="G2796">
        <f t="shared" si="282"/>
        <v>1517.1398654790039</v>
      </c>
      <c r="H2796">
        <v>1218.75</v>
      </c>
      <c r="I2796" t="s">
        <v>38</v>
      </c>
      <c r="J2796">
        <f t="shared" si="283"/>
        <v>26.868386243386244</v>
      </c>
      <c r="K2796">
        <v>26088.26000808728</v>
      </c>
    </row>
    <row r="2797" spans="1:11" x14ac:dyDescent="0.35">
      <c r="A2797" s="1">
        <v>43800</v>
      </c>
      <c r="B2797" t="s">
        <v>9</v>
      </c>
      <c r="C2797" t="s">
        <v>38</v>
      </c>
      <c r="D2797">
        <v>4956</v>
      </c>
      <c r="E2797">
        <v>181750</v>
      </c>
      <c r="F2797">
        <f t="shared" si="284"/>
        <v>36.6727199354318</v>
      </c>
      <c r="G2797">
        <f t="shared" si="282"/>
        <v>1663.4745762711864</v>
      </c>
      <c r="H2797">
        <v>1106.6666666666665</v>
      </c>
      <c r="I2797" t="s">
        <v>38</v>
      </c>
      <c r="J2797">
        <f t="shared" si="283"/>
        <v>24.397413286302172</v>
      </c>
      <c r="K2797">
        <v>26088.26000808728</v>
      </c>
    </row>
    <row r="2798" spans="1:11" x14ac:dyDescent="0.35">
      <c r="A2798" s="1">
        <v>43466</v>
      </c>
      <c r="B2798" t="s">
        <v>10</v>
      </c>
      <c r="C2798" t="s">
        <v>38</v>
      </c>
      <c r="D2798">
        <v>5421</v>
      </c>
      <c r="E2798">
        <v>65214</v>
      </c>
      <c r="F2798">
        <f t="shared" si="284"/>
        <v>12.029883785279468</v>
      </c>
      <c r="G2798">
        <f t="shared" si="282"/>
        <v>545.67552850027664</v>
      </c>
      <c r="H2798">
        <v>2439.6942708333336</v>
      </c>
      <c r="I2798" t="s">
        <v>38</v>
      </c>
      <c r="J2798">
        <f t="shared" si="283"/>
        <v>53.785147064226933</v>
      </c>
      <c r="K2798">
        <v>8388.8026628831994</v>
      </c>
    </row>
    <row r="2799" spans="1:11" x14ac:dyDescent="0.35">
      <c r="A2799" s="1">
        <v>43497</v>
      </c>
      <c r="B2799" t="s">
        <v>10</v>
      </c>
      <c r="C2799" t="s">
        <v>38</v>
      </c>
      <c r="D2799">
        <v>7308</v>
      </c>
      <c r="E2799">
        <v>69215</v>
      </c>
      <c r="F2799">
        <f t="shared" si="284"/>
        <v>9.4711275314723586</v>
      </c>
      <c r="G2799">
        <f t="shared" si="282"/>
        <v>429.61034482758618</v>
      </c>
      <c r="H2799">
        <v>2509.4906249999999</v>
      </c>
      <c r="I2799" t="s">
        <v>38</v>
      </c>
      <c r="J2799">
        <f t="shared" si="283"/>
        <v>55.323867394179892</v>
      </c>
      <c r="K2799">
        <v>8388.8026628831994</v>
      </c>
    </row>
    <row r="2800" spans="1:11" x14ac:dyDescent="0.35">
      <c r="A2800" s="1">
        <v>43525</v>
      </c>
      <c r="B2800" t="s">
        <v>10</v>
      </c>
      <c r="C2800" t="s">
        <v>38</v>
      </c>
      <c r="D2800">
        <v>6214.0000000000009</v>
      </c>
      <c r="E2800">
        <v>52141.000000000022</v>
      </c>
      <c r="F2800">
        <f t="shared" si="284"/>
        <v>8.3908915352430018</v>
      </c>
      <c r="G2800">
        <f t="shared" si="282"/>
        <v>380.61084003862254</v>
      </c>
      <c r="H2800">
        <v>2680.296875</v>
      </c>
      <c r="I2800" t="s">
        <v>38</v>
      </c>
      <c r="J2800">
        <f t="shared" si="283"/>
        <v>59.08943727954145</v>
      </c>
      <c r="K2800">
        <v>8388.8026628831994</v>
      </c>
    </row>
    <row r="2801" spans="1:11" x14ac:dyDescent="0.35">
      <c r="A2801" s="1">
        <v>43556</v>
      </c>
      <c r="B2801" t="s">
        <v>10</v>
      </c>
      <c r="C2801" t="s">
        <v>38</v>
      </c>
      <c r="D2801">
        <v>6587</v>
      </c>
      <c r="E2801">
        <v>62627.4</v>
      </c>
      <c r="F2801">
        <f t="shared" si="284"/>
        <v>9.5077273417337178</v>
      </c>
      <c r="G2801">
        <f t="shared" si="282"/>
        <v>431.27051222104143</v>
      </c>
      <c r="H2801">
        <v>2575.234375</v>
      </c>
      <c r="I2801" t="s">
        <v>38</v>
      </c>
      <c r="J2801">
        <f t="shared" si="283"/>
        <v>56.77324459876543</v>
      </c>
      <c r="K2801">
        <v>8388.8026628831994</v>
      </c>
    </row>
    <row r="2802" spans="1:11" x14ac:dyDescent="0.35">
      <c r="A2802" s="1">
        <v>43586</v>
      </c>
      <c r="B2802" t="s">
        <v>10</v>
      </c>
      <c r="C2802" t="s">
        <v>38</v>
      </c>
      <c r="D2802">
        <v>5745</v>
      </c>
      <c r="E2802">
        <v>36214</v>
      </c>
      <c r="F2802">
        <f t="shared" si="284"/>
        <v>6.3035683202785027</v>
      </c>
      <c r="G2802">
        <f t="shared" si="282"/>
        <v>285.92985900783287</v>
      </c>
      <c r="H2802">
        <v>2740.6453124999998</v>
      </c>
      <c r="I2802" t="s">
        <v>38</v>
      </c>
      <c r="J2802">
        <f t="shared" si="283"/>
        <v>60.419870205026449</v>
      </c>
      <c r="K2802">
        <v>8388.8026628831994</v>
      </c>
    </row>
    <row r="2803" spans="1:11" x14ac:dyDescent="0.35">
      <c r="A2803" s="1">
        <v>43617</v>
      </c>
      <c r="B2803" t="s">
        <v>10</v>
      </c>
      <c r="C2803" t="s">
        <v>38</v>
      </c>
      <c r="D2803">
        <v>6012</v>
      </c>
      <c r="E2803">
        <v>57899</v>
      </c>
      <c r="F2803">
        <f t="shared" si="284"/>
        <v>9.6305721889554228</v>
      </c>
      <c r="G2803">
        <f t="shared" si="282"/>
        <v>436.84275449101796</v>
      </c>
      <c r="H2803">
        <v>2824.434895833333</v>
      </c>
      <c r="I2803" t="s">
        <v>38</v>
      </c>
      <c r="J2803">
        <f t="shared" si="283"/>
        <v>62.267083241475596</v>
      </c>
      <c r="K2803">
        <v>8388.8026628831994</v>
      </c>
    </row>
    <row r="2804" spans="1:11" x14ac:dyDescent="0.35">
      <c r="A2804" s="1">
        <v>43647</v>
      </c>
      <c r="B2804" t="s">
        <v>10</v>
      </c>
      <c r="C2804" t="s">
        <v>38</v>
      </c>
      <c r="D2804">
        <v>4698.9999999999991</v>
      </c>
      <c r="E2804">
        <v>44010</v>
      </c>
      <c r="F2804">
        <f t="shared" si="284"/>
        <v>9.3658225154288157</v>
      </c>
      <c r="G2804">
        <f t="shared" ref="G2804:G2867" si="285">F2804*45.36</f>
        <v>424.83370929985108</v>
      </c>
      <c r="H2804">
        <v>2984.1447619047617</v>
      </c>
      <c r="I2804" t="s">
        <v>38</v>
      </c>
      <c r="J2804">
        <f t="shared" si="283"/>
        <v>65.788023851515916</v>
      </c>
      <c r="K2804">
        <v>8388.8026628831994</v>
      </c>
    </row>
    <row r="2805" spans="1:11" x14ac:dyDescent="0.35">
      <c r="A2805" s="1">
        <v>43678</v>
      </c>
      <c r="B2805" t="s">
        <v>10</v>
      </c>
      <c r="C2805" t="s">
        <v>38</v>
      </c>
      <c r="D2805">
        <v>4601.0000000000009</v>
      </c>
      <c r="E2805">
        <v>47521.000000000007</v>
      </c>
      <c r="F2805">
        <f t="shared" si="284"/>
        <v>10.328406868072157</v>
      </c>
      <c r="G2805">
        <f t="shared" si="285"/>
        <v>468.49653553575308</v>
      </c>
      <c r="H2805">
        <v>3158.424479166667</v>
      </c>
      <c r="I2805" t="s">
        <v>38</v>
      </c>
      <c r="J2805">
        <f t="shared" si="283"/>
        <v>69.630169293797778</v>
      </c>
      <c r="K2805">
        <v>8388.8026628831994</v>
      </c>
    </row>
    <row r="2806" spans="1:11" x14ac:dyDescent="0.35">
      <c r="A2806" s="1">
        <v>43709</v>
      </c>
      <c r="B2806" t="s">
        <v>10</v>
      </c>
      <c r="C2806" t="s">
        <v>38</v>
      </c>
      <c r="D2806">
        <v>4524</v>
      </c>
      <c r="E2806">
        <v>43124</v>
      </c>
      <c r="F2806">
        <f t="shared" si="284"/>
        <v>9.5322723253757733</v>
      </c>
      <c r="G2806">
        <f t="shared" si="285"/>
        <v>432.38387267904506</v>
      </c>
      <c r="H2806">
        <v>3384.5972222222226</v>
      </c>
      <c r="I2806" t="s">
        <v>38</v>
      </c>
      <c r="J2806">
        <f t="shared" si="283"/>
        <v>74.616340877914965</v>
      </c>
      <c r="K2806">
        <v>8388.8026628831994</v>
      </c>
    </row>
    <row r="2807" spans="1:11" x14ac:dyDescent="0.35">
      <c r="A2807" s="1">
        <v>43739</v>
      </c>
      <c r="B2807" t="s">
        <v>10</v>
      </c>
      <c r="C2807" t="s">
        <v>38</v>
      </c>
      <c r="D2807">
        <v>5420.9999999999991</v>
      </c>
      <c r="E2807">
        <v>53014</v>
      </c>
      <c r="F2807">
        <f t="shared" si="284"/>
        <v>9.7793764988009606</v>
      </c>
      <c r="G2807">
        <f t="shared" si="285"/>
        <v>443.59251798561155</v>
      </c>
      <c r="H2807">
        <v>3381.9642857142858</v>
      </c>
      <c r="I2807" t="s">
        <v>38</v>
      </c>
      <c r="J2807">
        <f t="shared" si="283"/>
        <v>74.558295540438394</v>
      </c>
      <c r="K2807">
        <v>8388.8026628831994</v>
      </c>
    </row>
    <row r="2808" spans="1:11" x14ac:dyDescent="0.35">
      <c r="A2808" s="1">
        <v>43770</v>
      </c>
      <c r="B2808" t="s">
        <v>10</v>
      </c>
      <c r="C2808" t="s">
        <v>38</v>
      </c>
      <c r="D2808">
        <v>6954</v>
      </c>
      <c r="E2808">
        <v>52141</v>
      </c>
      <c r="F2808">
        <f t="shared" si="284"/>
        <v>7.4979867702041991</v>
      </c>
      <c r="G2808">
        <f t="shared" si="285"/>
        <v>340.10867989646249</v>
      </c>
      <c r="H2808">
        <v>3239.3845486111113</v>
      </c>
      <c r="I2808" t="s">
        <v>38</v>
      </c>
      <c r="J2808">
        <f t="shared" si="283"/>
        <v>71.415003276259071</v>
      </c>
      <c r="K2808">
        <v>8388.8026628831994</v>
      </c>
    </row>
    <row r="2809" spans="1:11" x14ac:dyDescent="0.35">
      <c r="A2809" s="1">
        <v>43800</v>
      </c>
      <c r="B2809" t="s">
        <v>10</v>
      </c>
      <c r="C2809" t="s">
        <v>38</v>
      </c>
      <c r="D2809">
        <v>8608.2000000000007</v>
      </c>
      <c r="E2809">
        <v>86148</v>
      </c>
      <c r="F2809">
        <f t="shared" si="284"/>
        <v>10.007667108106224</v>
      </c>
      <c r="G2809">
        <f t="shared" si="285"/>
        <v>453.94778002369833</v>
      </c>
      <c r="H2809">
        <v>3248.0894097222222</v>
      </c>
      <c r="I2809" t="s">
        <v>38</v>
      </c>
      <c r="J2809">
        <f t="shared" si="283"/>
        <v>71.606909385410546</v>
      </c>
      <c r="K2809">
        <v>8388.8026628831994</v>
      </c>
    </row>
    <row r="2810" spans="1:11" x14ac:dyDescent="0.35">
      <c r="A2810" s="1">
        <v>43466</v>
      </c>
      <c r="B2810" t="s">
        <v>11</v>
      </c>
      <c r="C2810" t="s">
        <v>38</v>
      </c>
      <c r="D2810">
        <v>25640.999999999996</v>
      </c>
      <c r="E2810">
        <v>271548</v>
      </c>
      <c r="F2810">
        <f t="shared" si="284"/>
        <v>10.590382590382593</v>
      </c>
      <c r="G2810">
        <f t="shared" si="285"/>
        <v>480.37975429975438</v>
      </c>
      <c r="H2810">
        <v>835.75739583333325</v>
      </c>
      <c r="I2810" t="s">
        <v>38</v>
      </c>
      <c r="J2810">
        <f t="shared" si="283"/>
        <v>18.42498668062904</v>
      </c>
      <c r="K2810">
        <v>4718.2914901260783</v>
      </c>
    </row>
    <row r="2811" spans="1:11" x14ac:dyDescent="0.35">
      <c r="A2811" s="1">
        <v>43497</v>
      </c>
      <c r="B2811" t="s">
        <v>11</v>
      </c>
      <c r="C2811" t="s">
        <v>38</v>
      </c>
      <c r="D2811">
        <v>35541.999999999993</v>
      </c>
      <c r="E2811">
        <v>397548</v>
      </c>
      <c r="F2811">
        <f t="shared" si="284"/>
        <v>11.185301896347985</v>
      </c>
      <c r="G2811">
        <f t="shared" si="285"/>
        <v>507.36529401834457</v>
      </c>
      <c r="H2811">
        <v>807.10390416666667</v>
      </c>
      <c r="I2811" t="s">
        <v>38</v>
      </c>
      <c r="J2811">
        <f t="shared" si="283"/>
        <v>17.793295947236921</v>
      </c>
      <c r="K2811">
        <v>4718.2914901260783</v>
      </c>
    </row>
    <row r="2812" spans="1:11" x14ac:dyDescent="0.35">
      <c r="A2812" s="1">
        <v>43525</v>
      </c>
      <c r="B2812" t="s">
        <v>11</v>
      </c>
      <c r="C2812" t="s">
        <v>38</v>
      </c>
      <c r="D2812">
        <v>28145</v>
      </c>
      <c r="E2812">
        <v>269841</v>
      </c>
      <c r="F2812">
        <f t="shared" si="284"/>
        <v>9.5875288683602768</v>
      </c>
      <c r="G2812">
        <f t="shared" si="285"/>
        <v>434.89030946882212</v>
      </c>
      <c r="H2812">
        <v>805.39171666666664</v>
      </c>
      <c r="I2812" t="s">
        <v>38</v>
      </c>
      <c r="J2812">
        <f t="shared" si="283"/>
        <v>17.755549309229863</v>
      </c>
      <c r="K2812">
        <v>4718.2914901260783</v>
      </c>
    </row>
    <row r="2813" spans="1:11" x14ac:dyDescent="0.35">
      <c r="A2813" s="1">
        <v>43556</v>
      </c>
      <c r="B2813" t="s">
        <v>11</v>
      </c>
      <c r="C2813" t="s">
        <v>38</v>
      </c>
      <c r="D2813">
        <v>29456.799999999999</v>
      </c>
      <c r="E2813">
        <v>282954.99999999988</v>
      </c>
      <c r="F2813">
        <f t="shared" si="284"/>
        <v>9.6057616577496496</v>
      </c>
      <c r="G2813">
        <f t="shared" si="285"/>
        <v>435.71734879552412</v>
      </c>
      <c r="H2813">
        <v>867.57302083333332</v>
      </c>
      <c r="I2813" t="s">
        <v>38</v>
      </c>
      <c r="J2813">
        <f t="shared" si="283"/>
        <v>19.126389348177543</v>
      </c>
      <c r="K2813">
        <v>4718.2914901260783</v>
      </c>
    </row>
    <row r="2814" spans="1:11" x14ac:dyDescent="0.35">
      <c r="A2814" s="1">
        <v>43586</v>
      </c>
      <c r="B2814" t="s">
        <v>11</v>
      </c>
      <c r="C2814" t="s">
        <v>38</v>
      </c>
      <c r="D2814">
        <v>25643.999999999996</v>
      </c>
      <c r="E2814">
        <v>262487</v>
      </c>
      <c r="F2814">
        <f t="shared" si="284"/>
        <v>10.235805646545002</v>
      </c>
      <c r="G2814">
        <f t="shared" si="285"/>
        <v>464.29614412728125</v>
      </c>
      <c r="H2814">
        <v>933.2887847222222</v>
      </c>
      <c r="I2814" t="s">
        <v>38</v>
      </c>
      <c r="J2814">
        <f t="shared" si="283"/>
        <v>20.5751495750049</v>
      </c>
      <c r="K2814">
        <v>4718.2914901260783</v>
      </c>
    </row>
    <row r="2815" spans="1:11" x14ac:dyDescent="0.35">
      <c r="A2815" s="1">
        <v>43617</v>
      </c>
      <c r="B2815" t="s">
        <v>11</v>
      </c>
      <c r="C2815" t="s">
        <v>38</v>
      </c>
      <c r="D2815">
        <v>30853.999999999996</v>
      </c>
      <c r="E2815">
        <v>295487</v>
      </c>
      <c r="F2815">
        <f t="shared" si="284"/>
        <v>9.5769430219744613</v>
      </c>
      <c r="G2815">
        <f t="shared" si="285"/>
        <v>434.41013547676158</v>
      </c>
      <c r="H2815">
        <v>927.71416666666664</v>
      </c>
      <c r="I2815" t="s">
        <v>38</v>
      </c>
      <c r="J2815">
        <f t="shared" ref="J2815:J2844" si="286">H2815/45.36</f>
        <v>20.452252351557906</v>
      </c>
      <c r="K2815">
        <v>4718.2914901260783</v>
      </c>
    </row>
    <row r="2816" spans="1:11" x14ac:dyDescent="0.35">
      <c r="A2816" s="1">
        <v>43647</v>
      </c>
      <c r="B2816" t="s">
        <v>11</v>
      </c>
      <c r="C2816" t="s">
        <v>38</v>
      </c>
      <c r="D2816">
        <v>22144</v>
      </c>
      <c r="E2816">
        <v>221998</v>
      </c>
      <c r="F2816">
        <f t="shared" si="284"/>
        <v>10.025198699421965</v>
      </c>
      <c r="G2816">
        <f t="shared" si="285"/>
        <v>454.74301300578031</v>
      </c>
      <c r="H2816">
        <v>984.29165476190485</v>
      </c>
      <c r="I2816" t="s">
        <v>38</v>
      </c>
      <c r="J2816">
        <f t="shared" si="286"/>
        <v>21.699551471823298</v>
      </c>
      <c r="K2816">
        <v>4718.2914901260783</v>
      </c>
    </row>
    <row r="2817" spans="1:11" x14ac:dyDescent="0.35">
      <c r="A2817" s="1">
        <v>43678</v>
      </c>
      <c r="B2817" t="s">
        <v>11</v>
      </c>
      <c r="C2817" t="s">
        <v>38</v>
      </c>
      <c r="D2817">
        <v>30124.000000000004</v>
      </c>
      <c r="E2817">
        <v>320123.99999999994</v>
      </c>
      <c r="F2817">
        <f t="shared" si="284"/>
        <v>10.626875580932143</v>
      </c>
      <c r="G2817">
        <f t="shared" si="285"/>
        <v>482.03507635108201</v>
      </c>
      <c r="H2817">
        <v>1000.1008333333334</v>
      </c>
      <c r="I2817" t="s">
        <v>38</v>
      </c>
      <c r="J2817">
        <f t="shared" si="286"/>
        <v>22.048078336272784</v>
      </c>
      <c r="K2817">
        <v>4718.2914901260783</v>
      </c>
    </row>
    <row r="2818" spans="1:11" x14ac:dyDescent="0.35">
      <c r="A2818" s="1">
        <v>43709</v>
      </c>
      <c r="B2818" t="s">
        <v>11</v>
      </c>
      <c r="C2818" t="s">
        <v>38</v>
      </c>
      <c r="D2818">
        <v>29245.000000000004</v>
      </c>
      <c r="E2818">
        <v>332540.99999999994</v>
      </c>
      <c r="F2818">
        <f t="shared" si="284"/>
        <v>11.37086681484014</v>
      </c>
      <c r="G2818">
        <f t="shared" si="285"/>
        <v>515.78251872114868</v>
      </c>
      <c r="H2818">
        <v>939.00297619047615</v>
      </c>
      <c r="I2818" t="s">
        <v>38</v>
      </c>
      <c r="J2818">
        <f t="shared" si="286"/>
        <v>20.701123813723019</v>
      </c>
      <c r="K2818">
        <v>4718.2914901260783</v>
      </c>
    </row>
    <row r="2819" spans="1:11" x14ac:dyDescent="0.35">
      <c r="A2819" s="1">
        <v>43739</v>
      </c>
      <c r="B2819" t="s">
        <v>11</v>
      </c>
      <c r="C2819" t="s">
        <v>38</v>
      </c>
      <c r="D2819">
        <v>32689</v>
      </c>
      <c r="E2819">
        <v>354123.99999999994</v>
      </c>
      <c r="F2819">
        <f t="shared" si="284"/>
        <v>10.833124292575482</v>
      </c>
      <c r="G2819">
        <f t="shared" si="285"/>
        <v>491.39051791122387</v>
      </c>
      <c r="H2819">
        <v>950.06968749999999</v>
      </c>
      <c r="I2819" t="s">
        <v>38</v>
      </c>
      <c r="J2819">
        <f t="shared" si="286"/>
        <v>20.945098930776012</v>
      </c>
      <c r="K2819">
        <v>4718.2914901260783</v>
      </c>
    </row>
    <row r="2820" spans="1:11" x14ac:dyDescent="0.35">
      <c r="A2820" s="1">
        <v>43770</v>
      </c>
      <c r="B2820" t="s">
        <v>11</v>
      </c>
      <c r="C2820" t="s">
        <v>38</v>
      </c>
      <c r="D2820">
        <v>48395</v>
      </c>
      <c r="E2820">
        <v>498544</v>
      </c>
      <c r="F2820">
        <f t="shared" si="284"/>
        <v>10.301560078520508</v>
      </c>
      <c r="G2820">
        <f t="shared" si="285"/>
        <v>467.27876516169022</v>
      </c>
      <c r="H2820">
        <v>919.82286458333328</v>
      </c>
      <c r="I2820" t="s">
        <v>38</v>
      </c>
      <c r="J2820">
        <f t="shared" si="286"/>
        <v>20.278281847075249</v>
      </c>
      <c r="K2820">
        <v>4718.2914901260783</v>
      </c>
    </row>
    <row r="2821" spans="1:11" x14ac:dyDescent="0.35">
      <c r="A2821" s="1">
        <v>43800</v>
      </c>
      <c r="B2821" t="s">
        <v>11</v>
      </c>
      <c r="C2821" t="s">
        <v>38</v>
      </c>
      <c r="D2821">
        <v>31001.000000000004</v>
      </c>
      <c r="E2821">
        <v>363707</v>
      </c>
      <c r="F2821">
        <f t="shared" si="284"/>
        <v>11.732105415954322</v>
      </c>
      <c r="G2821">
        <f t="shared" si="285"/>
        <v>532.16830166768807</v>
      </c>
      <c r="H2821">
        <v>751.41675486111103</v>
      </c>
      <c r="I2821" t="s">
        <v>38</v>
      </c>
      <c r="J2821">
        <f t="shared" si="286"/>
        <v>16.565625107167349</v>
      </c>
      <c r="K2821">
        <v>4718.2914901260783</v>
      </c>
    </row>
    <row r="2822" spans="1:11" x14ac:dyDescent="0.35">
      <c r="A2822" s="1">
        <v>43466</v>
      </c>
      <c r="B2822" t="s">
        <v>12</v>
      </c>
      <c r="C2822" t="s">
        <v>38</v>
      </c>
      <c r="D2822">
        <v>13542</v>
      </c>
      <c r="E2822">
        <v>87524</v>
      </c>
      <c r="F2822">
        <f t="shared" si="284"/>
        <v>6.4631516762664303</v>
      </c>
      <c r="G2822">
        <f t="shared" si="285"/>
        <v>293.1685600354453</v>
      </c>
      <c r="H2822">
        <v>908.92669583333338</v>
      </c>
      <c r="I2822" t="s">
        <v>38</v>
      </c>
      <c r="J2822">
        <f t="shared" si="286"/>
        <v>20.038066486625517</v>
      </c>
      <c r="K2822">
        <v>1668.6966112895</v>
      </c>
    </row>
    <row r="2823" spans="1:11" x14ac:dyDescent="0.35">
      <c r="A2823" s="1">
        <v>43497</v>
      </c>
      <c r="B2823" t="s">
        <v>12</v>
      </c>
      <c r="C2823" t="s">
        <v>38</v>
      </c>
      <c r="D2823">
        <v>11454.000000000002</v>
      </c>
      <c r="E2823">
        <v>74864</v>
      </c>
      <c r="F2823">
        <f t="shared" si="284"/>
        <v>6.5360572725685344</v>
      </c>
      <c r="G2823">
        <f t="shared" si="285"/>
        <v>296.47555788370875</v>
      </c>
      <c r="H2823">
        <v>940.38541666666674</v>
      </c>
      <c r="I2823" t="s">
        <v>38</v>
      </c>
      <c r="J2823">
        <f t="shared" si="286"/>
        <v>20.731600896531454</v>
      </c>
      <c r="K2823">
        <v>1668.6966112895</v>
      </c>
    </row>
    <row r="2824" spans="1:11" x14ac:dyDescent="0.35">
      <c r="A2824" s="1">
        <v>43525</v>
      </c>
      <c r="B2824" t="s">
        <v>12</v>
      </c>
      <c r="C2824" t="s">
        <v>38</v>
      </c>
      <c r="D2824">
        <v>14201.999999999998</v>
      </c>
      <c r="E2824">
        <v>79541.999999999971</v>
      </c>
      <c r="F2824">
        <f t="shared" si="284"/>
        <v>5.600760456273763</v>
      </c>
      <c r="G2824">
        <f t="shared" si="285"/>
        <v>254.05049429657788</v>
      </c>
      <c r="H2824">
        <v>1018.6536458333334</v>
      </c>
      <c r="I2824" t="s">
        <v>38</v>
      </c>
      <c r="J2824">
        <f t="shared" si="286"/>
        <v>22.457090957524986</v>
      </c>
      <c r="K2824">
        <v>1668.6966112895</v>
      </c>
    </row>
    <row r="2825" spans="1:11" x14ac:dyDescent="0.35">
      <c r="A2825" s="1">
        <v>43556</v>
      </c>
      <c r="B2825" t="s">
        <v>12</v>
      </c>
      <c r="C2825" t="s">
        <v>38</v>
      </c>
      <c r="D2825">
        <v>8251.7999999999902</v>
      </c>
      <c r="E2825">
        <v>60741.599999999999</v>
      </c>
      <c r="F2825">
        <f t="shared" si="284"/>
        <v>7.3610121428052144</v>
      </c>
      <c r="G2825">
        <f t="shared" si="285"/>
        <v>333.89551079764453</v>
      </c>
      <c r="H2825">
        <v>1167.4375</v>
      </c>
      <c r="I2825" t="s">
        <v>38</v>
      </c>
      <c r="J2825">
        <f t="shared" si="286"/>
        <v>25.737158289241624</v>
      </c>
      <c r="K2825">
        <v>1668.6966112895</v>
      </c>
    </row>
    <row r="2826" spans="1:11" x14ac:dyDescent="0.35">
      <c r="A2826" s="1">
        <v>43586</v>
      </c>
      <c r="B2826" t="s">
        <v>12</v>
      </c>
      <c r="C2826" t="s">
        <v>38</v>
      </c>
      <c r="D2826">
        <v>9879</v>
      </c>
      <c r="E2826">
        <v>68985.000000000044</v>
      </c>
      <c r="F2826">
        <f t="shared" si="284"/>
        <v>6.9829942301852457</v>
      </c>
      <c r="G2826">
        <f t="shared" si="285"/>
        <v>316.74861828120277</v>
      </c>
      <c r="H2826">
        <v>1183.1583333333333</v>
      </c>
      <c r="I2826" t="s">
        <v>38</v>
      </c>
      <c r="J2826">
        <f t="shared" si="286"/>
        <v>26.083737507348619</v>
      </c>
      <c r="K2826">
        <v>1668.6966112895</v>
      </c>
    </row>
    <row r="2827" spans="1:11" x14ac:dyDescent="0.35">
      <c r="A2827" s="1">
        <v>43617</v>
      </c>
      <c r="B2827" t="s">
        <v>12</v>
      </c>
      <c r="C2827" t="s">
        <v>38</v>
      </c>
      <c r="D2827">
        <v>11321.000000000002</v>
      </c>
      <c r="E2827">
        <v>68954</v>
      </c>
      <c r="F2827">
        <f t="shared" si="284"/>
        <v>6.0908046992315157</v>
      </c>
      <c r="G2827">
        <f t="shared" si="285"/>
        <v>276.27890115714155</v>
      </c>
      <c r="H2827">
        <v>1152.2214583333334</v>
      </c>
      <c r="I2827" t="s">
        <v>38</v>
      </c>
      <c r="J2827">
        <f t="shared" si="286"/>
        <v>25.401707635214581</v>
      </c>
      <c r="K2827">
        <v>1668.6966112895</v>
      </c>
    </row>
    <row r="2828" spans="1:11" x14ac:dyDescent="0.35">
      <c r="A2828" s="1">
        <v>43647</v>
      </c>
      <c r="B2828" t="s">
        <v>12</v>
      </c>
      <c r="C2828" t="s">
        <v>38</v>
      </c>
      <c r="D2828">
        <v>11874</v>
      </c>
      <c r="E2828">
        <v>62705</v>
      </c>
      <c r="F2828">
        <f t="shared" si="284"/>
        <v>5.2808657571163886</v>
      </c>
      <c r="G2828">
        <f t="shared" si="285"/>
        <v>239.54007074279937</v>
      </c>
      <c r="H2828">
        <v>940.38571428571436</v>
      </c>
      <c r="I2828" t="s">
        <v>38</v>
      </c>
      <c r="J2828">
        <f t="shared" si="286"/>
        <v>20.731607457797935</v>
      </c>
      <c r="K2828">
        <v>1668.6966112895</v>
      </c>
    </row>
    <row r="2829" spans="1:11" x14ac:dyDescent="0.35">
      <c r="A2829" s="1">
        <v>43678</v>
      </c>
      <c r="B2829" t="s">
        <v>12</v>
      </c>
      <c r="C2829" t="s">
        <v>38</v>
      </c>
      <c r="D2829">
        <v>9654</v>
      </c>
      <c r="E2829">
        <v>85241</v>
      </c>
      <c r="F2829">
        <f t="shared" si="284"/>
        <v>8.829604309094675</v>
      </c>
      <c r="G2829">
        <f t="shared" si="285"/>
        <v>400.51085146053447</v>
      </c>
      <c r="H2829">
        <v>843.05770833333327</v>
      </c>
      <c r="I2829" t="s">
        <v>38</v>
      </c>
      <c r="J2829">
        <f t="shared" si="286"/>
        <v>18.585928314226923</v>
      </c>
      <c r="K2829">
        <v>1668.6966112895</v>
      </c>
    </row>
    <row r="2830" spans="1:11" x14ac:dyDescent="0.35">
      <c r="A2830" s="1">
        <v>43709</v>
      </c>
      <c r="B2830" t="s">
        <v>12</v>
      </c>
      <c r="C2830" t="s">
        <v>38</v>
      </c>
      <c r="D2830">
        <v>10654</v>
      </c>
      <c r="E2830">
        <v>66985</v>
      </c>
      <c r="F2830">
        <f t="shared" si="284"/>
        <v>6.2873099305425191</v>
      </c>
      <c r="G2830">
        <f t="shared" si="285"/>
        <v>285.19237844940864</v>
      </c>
      <c r="H2830">
        <v>852.88988095238085</v>
      </c>
      <c r="I2830" t="s">
        <v>38</v>
      </c>
      <c r="J2830">
        <f t="shared" si="286"/>
        <v>18.802686969849667</v>
      </c>
      <c r="K2830">
        <v>1668.6966112895</v>
      </c>
    </row>
    <row r="2831" spans="1:11" x14ac:dyDescent="0.35">
      <c r="A2831" s="1">
        <v>43739</v>
      </c>
      <c r="B2831" t="s">
        <v>12</v>
      </c>
      <c r="C2831" t="s">
        <v>38</v>
      </c>
      <c r="D2831">
        <v>9875</v>
      </c>
      <c r="E2831">
        <v>63214</v>
      </c>
      <c r="F2831">
        <f t="shared" si="284"/>
        <v>6.4014177215189871</v>
      </c>
      <c r="G2831">
        <f t="shared" si="285"/>
        <v>290.36830784810127</v>
      </c>
      <c r="H2831">
        <v>1093.1796875</v>
      </c>
      <c r="I2831" t="s">
        <v>38</v>
      </c>
      <c r="J2831">
        <f t="shared" si="286"/>
        <v>24.100081294091712</v>
      </c>
      <c r="K2831">
        <v>1668.6966112895</v>
      </c>
    </row>
    <row r="2832" spans="1:11" x14ac:dyDescent="0.35">
      <c r="A2832" s="1">
        <v>43770</v>
      </c>
      <c r="B2832" t="s">
        <v>12</v>
      </c>
      <c r="C2832" t="s">
        <v>38</v>
      </c>
      <c r="D2832">
        <v>13488</v>
      </c>
      <c r="E2832">
        <v>91948.000000000015</v>
      </c>
      <c r="F2832">
        <f t="shared" si="284"/>
        <v>6.8170225385527887</v>
      </c>
      <c r="G2832">
        <f t="shared" si="285"/>
        <v>309.22014234875451</v>
      </c>
      <c r="H2832">
        <v>973.71875</v>
      </c>
      <c r="I2832" t="s">
        <v>38</v>
      </c>
      <c r="J2832">
        <f t="shared" si="286"/>
        <v>21.466462742504408</v>
      </c>
      <c r="K2832">
        <v>1668.6966112895</v>
      </c>
    </row>
    <row r="2833" spans="1:11" x14ac:dyDescent="0.35">
      <c r="A2833" s="1">
        <v>43800</v>
      </c>
      <c r="B2833" t="s">
        <v>12</v>
      </c>
      <c r="C2833" t="s">
        <v>38</v>
      </c>
      <c r="D2833">
        <v>14347.000000000002</v>
      </c>
      <c r="E2833">
        <v>98559</v>
      </c>
      <c r="F2833">
        <f t="shared" si="284"/>
        <v>6.8696591621941865</v>
      </c>
      <c r="G2833">
        <f t="shared" si="285"/>
        <v>311.60773959712827</v>
      </c>
      <c r="H2833">
        <v>957.60069444444434</v>
      </c>
      <c r="I2833" t="s">
        <v>38</v>
      </c>
      <c r="J2833">
        <f t="shared" si="286"/>
        <v>21.111126420732901</v>
      </c>
      <c r="K2833">
        <v>1668.6966112895</v>
      </c>
    </row>
    <row r="2834" spans="1:11" x14ac:dyDescent="0.35">
      <c r="A2834" s="1">
        <v>43466</v>
      </c>
      <c r="B2834" t="s">
        <v>13</v>
      </c>
      <c r="C2834" t="s">
        <v>38</v>
      </c>
      <c r="D2834">
        <v>7120</v>
      </c>
      <c r="E2834">
        <v>61424</v>
      </c>
      <c r="F2834">
        <f t="shared" si="284"/>
        <v>8.6269662921348313</v>
      </c>
      <c r="G2834">
        <f t="shared" si="285"/>
        <v>391.31919101123594</v>
      </c>
      <c r="H2834">
        <v>707.91510416666665</v>
      </c>
      <c r="I2834" t="s">
        <v>38</v>
      </c>
      <c r="J2834">
        <f t="shared" si="286"/>
        <v>15.606594007201647</v>
      </c>
      <c r="K2834">
        <v>9222.1943510245001</v>
      </c>
    </row>
    <row r="2835" spans="1:11" x14ac:dyDescent="0.35">
      <c r="A2835" s="1">
        <v>43497</v>
      </c>
      <c r="B2835" t="s">
        <v>13</v>
      </c>
      <c r="C2835" t="s">
        <v>38</v>
      </c>
      <c r="D2835">
        <v>6925</v>
      </c>
      <c r="E2835">
        <v>61983</v>
      </c>
      <c r="F2835">
        <f t="shared" si="284"/>
        <v>8.9506137184115531</v>
      </c>
      <c r="G2835">
        <f t="shared" si="285"/>
        <v>405.99983826714805</v>
      </c>
      <c r="H2835">
        <v>726.92780000000005</v>
      </c>
      <c r="I2835" t="s">
        <v>38</v>
      </c>
      <c r="J2835">
        <f t="shared" si="286"/>
        <v>16.025745149911817</v>
      </c>
      <c r="K2835">
        <v>9222.1943510245001</v>
      </c>
    </row>
    <row r="2836" spans="1:11" x14ac:dyDescent="0.35">
      <c r="A2836" s="1">
        <v>43525</v>
      </c>
      <c r="B2836" t="s">
        <v>13</v>
      </c>
      <c r="C2836" t="s">
        <v>38</v>
      </c>
      <c r="D2836">
        <v>5985</v>
      </c>
      <c r="E2836">
        <v>56253.999999999993</v>
      </c>
      <c r="F2836">
        <f t="shared" si="284"/>
        <v>9.3991645781119448</v>
      </c>
      <c r="G2836">
        <f t="shared" si="285"/>
        <v>426.34610526315782</v>
      </c>
      <c r="H2836">
        <v>801.38888888888903</v>
      </c>
      <c r="I2836" t="s">
        <v>38</v>
      </c>
      <c r="J2836">
        <f t="shared" si="286"/>
        <v>17.66730354693318</v>
      </c>
      <c r="K2836">
        <v>9222.1943510245001</v>
      </c>
    </row>
    <row r="2837" spans="1:11" x14ac:dyDescent="0.35">
      <c r="A2837" s="1">
        <v>43556</v>
      </c>
      <c r="B2837" t="s">
        <v>13</v>
      </c>
      <c r="C2837" t="s">
        <v>38</v>
      </c>
      <c r="D2837">
        <v>2076.2000000000003</v>
      </c>
      <c r="E2837">
        <v>52031.999999999978</v>
      </c>
      <c r="F2837">
        <f t="shared" si="284"/>
        <v>25.061169444176848</v>
      </c>
      <c r="G2837">
        <f t="shared" si="285"/>
        <v>1136.7746459878617</v>
      </c>
      <c r="H2837">
        <v>786.6423611111112</v>
      </c>
      <c r="I2837" t="s">
        <v>38</v>
      </c>
      <c r="J2837">
        <f t="shared" si="286"/>
        <v>17.342203728199102</v>
      </c>
      <c r="K2837">
        <v>9222.1943510245001</v>
      </c>
    </row>
    <row r="2838" spans="1:11" x14ac:dyDescent="0.35">
      <c r="A2838" s="1">
        <v>43586</v>
      </c>
      <c r="B2838" t="s">
        <v>13</v>
      </c>
      <c r="C2838" t="s">
        <v>38</v>
      </c>
      <c r="D2838">
        <v>4820.9999999999991</v>
      </c>
      <c r="E2838">
        <v>53214.000000000015</v>
      </c>
      <c r="F2838">
        <f t="shared" si="284"/>
        <v>11.037958929682643</v>
      </c>
      <c r="G2838">
        <f t="shared" si="285"/>
        <v>500.68181705040467</v>
      </c>
      <c r="H2838">
        <v>693.73490476190477</v>
      </c>
      <c r="I2838" t="s">
        <v>38</v>
      </c>
      <c r="J2838">
        <f t="shared" si="286"/>
        <v>15.293979381876207</v>
      </c>
      <c r="K2838">
        <v>9222.1943510245001</v>
      </c>
    </row>
    <row r="2839" spans="1:11" x14ac:dyDescent="0.35">
      <c r="A2839" s="1">
        <v>43617</v>
      </c>
      <c r="B2839" t="s">
        <v>13</v>
      </c>
      <c r="C2839" t="s">
        <v>38</v>
      </c>
      <c r="D2839">
        <v>8452</v>
      </c>
      <c r="E2839">
        <v>58954</v>
      </c>
      <c r="F2839">
        <f t="shared" ref="F2839:F2857" si="287">E2839/D2839</f>
        <v>6.9751538097491714</v>
      </c>
      <c r="G2839">
        <f t="shared" si="285"/>
        <v>316.39297681022242</v>
      </c>
      <c r="H2839">
        <v>719.63238095238091</v>
      </c>
      <c r="I2839" t="s">
        <v>38</v>
      </c>
      <c r="J2839">
        <f t="shared" si="286"/>
        <v>15.864911396657428</v>
      </c>
      <c r="K2839">
        <v>9222.1943510245001</v>
      </c>
    </row>
    <row r="2840" spans="1:11" x14ac:dyDescent="0.35">
      <c r="A2840" s="1">
        <v>43647</v>
      </c>
      <c r="B2840" t="s">
        <v>13</v>
      </c>
      <c r="C2840" t="s">
        <v>38</v>
      </c>
      <c r="D2840">
        <v>5201.0000000000009</v>
      </c>
      <c r="E2840">
        <v>52142</v>
      </c>
      <c r="F2840">
        <f t="shared" si="287"/>
        <v>10.025379734666409</v>
      </c>
      <c r="G2840">
        <f t="shared" si="285"/>
        <v>454.7512247644683</v>
      </c>
      <c r="H2840">
        <v>753.03044444444447</v>
      </c>
      <c r="I2840" t="s">
        <v>38</v>
      </c>
      <c r="J2840">
        <f t="shared" si="286"/>
        <v>16.601200274348422</v>
      </c>
      <c r="K2840">
        <v>9222.1943510245001</v>
      </c>
    </row>
    <row r="2841" spans="1:11" x14ac:dyDescent="0.35">
      <c r="A2841" s="1">
        <v>43678</v>
      </c>
      <c r="B2841" t="s">
        <v>13</v>
      </c>
      <c r="C2841" t="s">
        <v>38</v>
      </c>
      <c r="D2841">
        <v>4874</v>
      </c>
      <c r="E2841">
        <v>48959</v>
      </c>
      <c r="F2841">
        <f t="shared" si="287"/>
        <v>10.044932293803857</v>
      </c>
      <c r="G2841">
        <f t="shared" si="285"/>
        <v>455.63812884694295</v>
      </c>
      <c r="H2841">
        <v>927.26785714285722</v>
      </c>
      <c r="I2841" t="s">
        <v>38</v>
      </c>
      <c r="J2841">
        <f t="shared" si="286"/>
        <v>20.442413076341651</v>
      </c>
      <c r="K2841">
        <v>9222.1943510245001</v>
      </c>
    </row>
    <row r="2842" spans="1:11" x14ac:dyDescent="0.35">
      <c r="A2842" s="1">
        <v>43709</v>
      </c>
      <c r="B2842" t="s">
        <v>13</v>
      </c>
      <c r="C2842" t="s">
        <v>38</v>
      </c>
      <c r="D2842">
        <v>4995</v>
      </c>
      <c r="E2842">
        <v>45698</v>
      </c>
      <c r="F2842">
        <f t="shared" si="287"/>
        <v>9.1487487487487495</v>
      </c>
      <c r="G2842">
        <f t="shared" si="285"/>
        <v>414.98724324324326</v>
      </c>
      <c r="H2842">
        <v>1175.5324074074074</v>
      </c>
      <c r="I2842" t="s">
        <v>38</v>
      </c>
      <c r="J2842">
        <f t="shared" si="286"/>
        <v>25.915617447253251</v>
      </c>
      <c r="K2842">
        <v>9222.1943510245001</v>
      </c>
    </row>
    <row r="2843" spans="1:11" x14ac:dyDescent="0.35">
      <c r="A2843" s="1">
        <v>43739</v>
      </c>
      <c r="B2843" t="s">
        <v>13</v>
      </c>
      <c r="C2843" t="s">
        <v>38</v>
      </c>
      <c r="D2843">
        <v>3456</v>
      </c>
      <c r="E2843">
        <v>36544</v>
      </c>
      <c r="F2843">
        <f t="shared" si="287"/>
        <v>10.574074074074074</v>
      </c>
      <c r="G2843">
        <f t="shared" si="285"/>
        <v>479.64</v>
      </c>
      <c r="H2843">
        <v>946.484375</v>
      </c>
      <c r="I2843" t="s">
        <v>38</v>
      </c>
      <c r="J2843">
        <f t="shared" si="286"/>
        <v>20.866057649911816</v>
      </c>
      <c r="K2843">
        <v>9222.1943510245001</v>
      </c>
    </row>
    <row r="2844" spans="1:11" x14ac:dyDescent="0.35">
      <c r="A2844" s="1">
        <v>43770</v>
      </c>
      <c r="B2844" t="s">
        <v>13</v>
      </c>
      <c r="C2844" t="s">
        <v>38</v>
      </c>
      <c r="D2844">
        <v>6541.9999999999991</v>
      </c>
      <c r="E2844">
        <v>39541</v>
      </c>
      <c r="F2844">
        <f t="shared" si="287"/>
        <v>6.0441760929379402</v>
      </c>
      <c r="G2844">
        <f t="shared" si="285"/>
        <v>274.16382757566498</v>
      </c>
      <c r="H2844">
        <v>911.66468253968264</v>
      </c>
      <c r="I2844" t="s">
        <v>38</v>
      </c>
      <c r="J2844">
        <f t="shared" si="286"/>
        <v>20.098427745583834</v>
      </c>
      <c r="K2844">
        <v>9222.1943510245001</v>
      </c>
    </row>
    <row r="2845" spans="1:11" x14ac:dyDescent="0.35">
      <c r="A2845" s="1">
        <v>43800</v>
      </c>
      <c r="B2845" t="s">
        <v>13</v>
      </c>
      <c r="C2845" t="s">
        <v>38</v>
      </c>
      <c r="D2845">
        <v>7644</v>
      </c>
      <c r="E2845">
        <v>46598</v>
      </c>
      <c r="F2845">
        <f t="shared" si="287"/>
        <v>6.0960230245944533</v>
      </c>
      <c r="G2845">
        <f t="shared" si="285"/>
        <v>276.51560439560438</v>
      </c>
      <c r="H2845">
        <v>898.16190476190479</v>
      </c>
      <c r="I2845" t="s">
        <v>38</v>
      </c>
      <c r="J2845">
        <f>H2845/45.36</f>
        <v>19.80074745947762</v>
      </c>
      <c r="K2845">
        <v>9222.1943510245001</v>
      </c>
    </row>
    <row r="2846" spans="1:11" x14ac:dyDescent="0.35">
      <c r="A2846" s="1">
        <v>43466</v>
      </c>
      <c r="B2846" t="s">
        <v>14</v>
      </c>
      <c r="C2846" t="s">
        <v>38</v>
      </c>
      <c r="D2846">
        <v>68878</v>
      </c>
      <c r="E2846">
        <v>1229448</v>
      </c>
      <c r="F2846">
        <f t="shared" si="287"/>
        <v>17.849647202299717</v>
      </c>
      <c r="G2846">
        <f t="shared" si="285"/>
        <v>809.65999709631512</v>
      </c>
      <c r="H2846">
        <v>7223.75</v>
      </c>
      <c r="I2846" t="s">
        <v>40</v>
      </c>
      <c r="J2846">
        <f>(H2846/1000)/0.56234</f>
        <v>12.84587616033005</v>
      </c>
      <c r="K2846">
        <v>7149.939817716504</v>
      </c>
    </row>
    <row r="2847" spans="1:11" x14ac:dyDescent="0.35">
      <c r="A2847" s="1">
        <v>43497</v>
      </c>
      <c r="B2847" t="s">
        <v>14</v>
      </c>
      <c r="C2847" t="s">
        <v>38</v>
      </c>
      <c r="D2847">
        <v>92301</v>
      </c>
      <c r="E2847">
        <v>1875384</v>
      </c>
      <c r="F2847">
        <f t="shared" si="287"/>
        <v>20.318133064647188</v>
      </c>
      <c r="G2847">
        <f t="shared" si="285"/>
        <v>921.63051581239642</v>
      </c>
      <c r="H2847">
        <v>4250</v>
      </c>
      <c r="I2847" t="s">
        <v>40</v>
      </c>
      <c r="J2847">
        <f t="shared" ref="J2847:J2857" si="288">(H2847/1000)/0.56234</f>
        <v>7.5577053028416978</v>
      </c>
      <c r="K2847">
        <v>7149.939817716504</v>
      </c>
    </row>
    <row r="2848" spans="1:11" x14ac:dyDescent="0.35">
      <c r="A2848" s="1">
        <v>43525</v>
      </c>
      <c r="B2848" t="s">
        <v>14</v>
      </c>
      <c r="C2848" t="s">
        <v>38</v>
      </c>
      <c r="D2848">
        <v>73328.182000000001</v>
      </c>
      <c r="E2848">
        <v>1182238.3680000002</v>
      </c>
      <c r="F2848">
        <f t="shared" si="287"/>
        <v>16.122564827803863</v>
      </c>
      <c r="G2848">
        <f t="shared" si="285"/>
        <v>731.31954058918325</v>
      </c>
      <c r="H2848">
        <v>23177.083333333332</v>
      </c>
      <c r="I2848" t="s">
        <v>40</v>
      </c>
      <c r="J2848">
        <f t="shared" si="288"/>
        <v>41.215427202996999</v>
      </c>
      <c r="K2848">
        <v>7149.939817716504</v>
      </c>
    </row>
    <row r="2849" spans="1:11" x14ac:dyDescent="0.35">
      <c r="A2849" s="1">
        <v>43556</v>
      </c>
      <c r="B2849" t="s">
        <v>14</v>
      </c>
      <c r="C2849" t="s">
        <v>38</v>
      </c>
      <c r="D2849">
        <v>12245</v>
      </c>
      <c r="E2849">
        <v>162492</v>
      </c>
      <c r="F2849">
        <f t="shared" si="287"/>
        <v>13.2700694160882</v>
      </c>
      <c r="G2849">
        <f t="shared" si="285"/>
        <v>601.93034871376074</v>
      </c>
      <c r="H2849">
        <v>5666.666666666667</v>
      </c>
      <c r="I2849" t="s">
        <v>40</v>
      </c>
      <c r="J2849">
        <f t="shared" si="288"/>
        <v>10.076940403788932</v>
      </c>
      <c r="K2849">
        <v>7149.939817716504</v>
      </c>
    </row>
    <row r="2850" spans="1:11" x14ac:dyDescent="0.35">
      <c r="A2850" s="1">
        <v>43586</v>
      </c>
      <c r="B2850" t="s">
        <v>14</v>
      </c>
      <c r="C2850" t="s">
        <v>38</v>
      </c>
      <c r="D2850">
        <v>11452</v>
      </c>
      <c r="E2850">
        <v>331008</v>
      </c>
      <c r="F2850">
        <f t="shared" si="287"/>
        <v>28.903946908836886</v>
      </c>
      <c r="G2850">
        <f t="shared" si="285"/>
        <v>1311.0830317848411</v>
      </c>
      <c r="H2850">
        <v>12567.200000000003</v>
      </c>
      <c r="I2850" t="s">
        <v>40</v>
      </c>
      <c r="J2850">
        <f t="shared" si="288"/>
        <v>22.348045666322871</v>
      </c>
      <c r="K2850">
        <v>7149.939817716504</v>
      </c>
    </row>
    <row r="2851" spans="1:11" x14ac:dyDescent="0.35">
      <c r="A2851" s="1">
        <v>43617</v>
      </c>
      <c r="B2851" t="s">
        <v>14</v>
      </c>
      <c r="C2851" t="s">
        <v>38</v>
      </c>
      <c r="D2851">
        <v>44899</v>
      </c>
      <c r="E2851">
        <v>1255176</v>
      </c>
      <c r="F2851">
        <f t="shared" si="287"/>
        <v>27.955544666919085</v>
      </c>
      <c r="G2851">
        <f t="shared" si="285"/>
        <v>1268.0635060914497</v>
      </c>
      <c r="H2851">
        <v>9167.9166666666661</v>
      </c>
      <c r="I2851" t="s">
        <v>40</v>
      </c>
      <c r="J2851">
        <f t="shared" si="288"/>
        <v>16.303155860629989</v>
      </c>
      <c r="K2851">
        <v>7149.939817716504</v>
      </c>
    </row>
    <row r="2852" spans="1:11" x14ac:dyDescent="0.35">
      <c r="A2852" s="1">
        <v>43647</v>
      </c>
      <c r="B2852" t="s">
        <v>14</v>
      </c>
      <c r="C2852" t="s">
        <v>38</v>
      </c>
      <c r="D2852">
        <v>33021</v>
      </c>
      <c r="E2852">
        <v>1182480</v>
      </c>
      <c r="F2852">
        <f t="shared" si="287"/>
        <v>35.809939129644775</v>
      </c>
      <c r="G2852">
        <f t="shared" si="285"/>
        <v>1624.3388389206871</v>
      </c>
      <c r="H2852">
        <v>6710</v>
      </c>
      <c r="I2852" t="s">
        <v>40</v>
      </c>
      <c r="J2852">
        <f t="shared" si="288"/>
        <v>11.932282960486539</v>
      </c>
      <c r="K2852">
        <v>7149.939817716504</v>
      </c>
    </row>
    <row r="2853" spans="1:11" x14ac:dyDescent="0.35">
      <c r="A2853" s="1">
        <v>43678</v>
      </c>
      <c r="B2853" t="s">
        <v>14</v>
      </c>
      <c r="C2853" t="s">
        <v>38</v>
      </c>
      <c r="D2853">
        <v>54212</v>
      </c>
      <c r="E2853">
        <v>1427988</v>
      </c>
      <c r="F2853">
        <f t="shared" si="287"/>
        <v>26.340810152733713</v>
      </c>
      <c r="G2853">
        <f t="shared" si="285"/>
        <v>1194.8191485280013</v>
      </c>
      <c r="H2853">
        <v>6074.5659722222226</v>
      </c>
      <c r="I2853" t="s">
        <v>40</v>
      </c>
      <c r="J2853">
        <f t="shared" si="288"/>
        <v>10.8023010495825</v>
      </c>
      <c r="K2853">
        <v>7149.939817716504</v>
      </c>
    </row>
    <row r="2854" spans="1:11" x14ac:dyDescent="0.35">
      <c r="A2854" s="1">
        <v>43709</v>
      </c>
      <c r="B2854" t="s">
        <v>14</v>
      </c>
      <c r="C2854" t="s">
        <v>38</v>
      </c>
      <c r="D2854">
        <v>76521.000000000015</v>
      </c>
      <c r="E2854">
        <v>1727819.9999999995</v>
      </c>
      <c r="F2854">
        <f t="shared" si="287"/>
        <v>22.579684008311432</v>
      </c>
      <c r="G2854">
        <f t="shared" si="285"/>
        <v>1024.2144666170066</v>
      </c>
      <c r="H2854">
        <v>6436.9958333333334</v>
      </c>
      <c r="I2854" t="s">
        <v>40</v>
      </c>
      <c r="J2854">
        <f t="shared" si="288"/>
        <v>11.446804127988999</v>
      </c>
      <c r="K2854">
        <v>7149.939817716504</v>
      </c>
    </row>
    <row r="2855" spans="1:11" x14ac:dyDescent="0.35">
      <c r="A2855" s="1">
        <v>43739</v>
      </c>
      <c r="B2855" t="s">
        <v>14</v>
      </c>
      <c r="C2855" t="s">
        <v>38</v>
      </c>
      <c r="D2855">
        <v>77567.999999999985</v>
      </c>
      <c r="E2855">
        <v>1838568</v>
      </c>
      <c r="F2855">
        <f t="shared" si="287"/>
        <v>23.702660891089113</v>
      </c>
      <c r="G2855">
        <f t="shared" si="285"/>
        <v>1075.1526980198021</v>
      </c>
      <c r="H2855">
        <v>6055.1076388888878</v>
      </c>
      <c r="I2855" t="s">
        <v>40</v>
      </c>
      <c r="J2855">
        <f t="shared" si="288"/>
        <v>10.767698614519487</v>
      </c>
      <c r="K2855">
        <v>7149.939817716504</v>
      </c>
    </row>
    <row r="2856" spans="1:11" x14ac:dyDescent="0.35">
      <c r="A2856" s="1">
        <v>43770</v>
      </c>
      <c r="B2856" t="s">
        <v>14</v>
      </c>
      <c r="C2856" t="s">
        <v>38</v>
      </c>
      <c r="D2856">
        <v>65214</v>
      </c>
      <c r="E2856">
        <v>1007424.0000000002</v>
      </c>
      <c r="F2856">
        <f t="shared" si="287"/>
        <v>15.447971294507317</v>
      </c>
      <c r="G2856">
        <f t="shared" si="285"/>
        <v>700.7199779188519</v>
      </c>
      <c r="H2856">
        <v>6137.4305555555547</v>
      </c>
      <c r="I2856" t="s">
        <v>40</v>
      </c>
      <c r="J2856">
        <f t="shared" si="288"/>
        <v>10.914092107187031</v>
      </c>
      <c r="K2856">
        <v>7149.939817716504</v>
      </c>
    </row>
    <row r="2857" spans="1:11" x14ac:dyDescent="0.35">
      <c r="A2857" s="1">
        <v>43800</v>
      </c>
      <c r="B2857" t="s">
        <v>14</v>
      </c>
      <c r="C2857" t="s">
        <v>38</v>
      </c>
      <c r="D2857">
        <v>67246</v>
      </c>
      <c r="E2857">
        <v>1454940</v>
      </c>
      <c r="F2857">
        <f>E2857/D2857</f>
        <v>21.636082443565417</v>
      </c>
      <c r="G2857">
        <f t="shared" si="285"/>
        <v>981.41269964012736</v>
      </c>
      <c r="H2857">
        <v>6977.020833333333</v>
      </c>
      <c r="I2857" t="s">
        <v>40</v>
      </c>
      <c r="J2857">
        <f t="shared" si="288"/>
        <v>12.407121729440078</v>
      </c>
      <c r="K2857">
        <v>7149.939817716504</v>
      </c>
    </row>
    <row r="2858" spans="1:11" x14ac:dyDescent="0.35">
      <c r="A2858" s="1">
        <v>43466</v>
      </c>
      <c r="B2858" t="s">
        <v>15</v>
      </c>
      <c r="C2858" t="s">
        <v>38</v>
      </c>
      <c r="D2858">
        <v>410214</v>
      </c>
      <c r="E2858">
        <v>1872272.4</v>
      </c>
      <c r="F2858">
        <f t="shared" ref="F2858:F2869" si="289">E2858/D2858</f>
        <v>4.5641357925375532</v>
      </c>
      <c r="G2858">
        <f t="shared" si="285"/>
        <v>207.0291995495034</v>
      </c>
      <c r="H2858">
        <v>164.67291666666668</v>
      </c>
      <c r="I2858" t="s">
        <v>58</v>
      </c>
      <c r="J2858">
        <f>H2858/27.21</f>
        <v>6.0519263751071914</v>
      </c>
      <c r="K2858">
        <f>14567.14814121+20878.56980721</f>
        <v>35445.717948420002</v>
      </c>
    </row>
    <row r="2859" spans="1:11" x14ac:dyDescent="0.35">
      <c r="A2859" s="1">
        <v>43497</v>
      </c>
      <c r="B2859" t="s">
        <v>15</v>
      </c>
      <c r="C2859" t="s">
        <v>38</v>
      </c>
      <c r="D2859">
        <v>472690</v>
      </c>
      <c r="E2859">
        <v>2125844.4</v>
      </c>
      <c r="F2859">
        <f t="shared" si="289"/>
        <v>4.4973331358818678</v>
      </c>
      <c r="G2859">
        <f t="shared" si="285"/>
        <v>203.99903104360152</v>
      </c>
      <c r="H2859">
        <v>134.61302083333334</v>
      </c>
      <c r="I2859" t="s">
        <v>58</v>
      </c>
      <c r="J2859">
        <f t="shared" ref="J2859:J2869" si="290">H2859/27.21</f>
        <v>4.9471892992772268</v>
      </c>
      <c r="K2859">
        <f t="shared" ref="K2859:K2869" si="291">14567.14814121+20878.56980721</f>
        <v>35445.717948420002</v>
      </c>
    </row>
    <row r="2860" spans="1:11" x14ac:dyDescent="0.35">
      <c r="A2860" s="1">
        <v>43525</v>
      </c>
      <c r="B2860" t="s">
        <v>15</v>
      </c>
      <c r="C2860" t="s">
        <v>38</v>
      </c>
      <c r="D2860">
        <v>479985</v>
      </c>
      <c r="E2860">
        <v>2173903.1020800001</v>
      </c>
      <c r="F2860">
        <f t="shared" si="289"/>
        <v>4.529106330572831</v>
      </c>
      <c r="G2860">
        <f t="shared" si="285"/>
        <v>205.44026315478362</v>
      </c>
      <c r="H2860">
        <v>140.86770833333333</v>
      </c>
      <c r="I2860" t="s">
        <v>58</v>
      </c>
      <c r="J2860">
        <f t="shared" si="290"/>
        <v>5.1770565355874059</v>
      </c>
      <c r="K2860">
        <f t="shared" si="291"/>
        <v>35445.717948420002</v>
      </c>
    </row>
    <row r="2861" spans="1:11" x14ac:dyDescent="0.35">
      <c r="A2861" s="1">
        <v>43556</v>
      </c>
      <c r="B2861" t="s">
        <v>15</v>
      </c>
      <c r="C2861" t="s">
        <v>38</v>
      </c>
      <c r="D2861">
        <v>468545.00000000006</v>
      </c>
      <c r="E2861">
        <v>2294706.5999999982</v>
      </c>
      <c r="F2861">
        <f t="shared" si="289"/>
        <v>4.8975159269653883</v>
      </c>
      <c r="G2861">
        <f t="shared" si="285"/>
        <v>222.15132244715002</v>
      </c>
      <c r="H2861">
        <v>195.67447916666666</v>
      </c>
      <c r="I2861" t="s">
        <v>58</v>
      </c>
      <c r="J2861">
        <f t="shared" si="290"/>
        <v>7.1912708256768338</v>
      </c>
      <c r="K2861">
        <f t="shared" si="291"/>
        <v>35445.717948420002</v>
      </c>
    </row>
    <row r="2862" spans="1:11" x14ac:dyDescent="0.35">
      <c r="A2862" s="1">
        <v>43586</v>
      </c>
      <c r="B2862" t="s">
        <v>15</v>
      </c>
      <c r="C2862" t="s">
        <v>38</v>
      </c>
      <c r="D2862">
        <v>501209.99999999994</v>
      </c>
      <c r="E2862">
        <v>2314447.2000000002</v>
      </c>
      <c r="F2862">
        <f t="shared" si="289"/>
        <v>4.6177195187645905</v>
      </c>
      <c r="G2862">
        <f t="shared" si="285"/>
        <v>209.45975737116183</v>
      </c>
      <c r="H2862">
        <v>165.0546875</v>
      </c>
      <c r="I2862" t="s">
        <v>58</v>
      </c>
      <c r="J2862">
        <f t="shared" si="290"/>
        <v>6.0659569092245498</v>
      </c>
      <c r="K2862">
        <f t="shared" si="291"/>
        <v>35445.717948420002</v>
      </c>
    </row>
    <row r="2863" spans="1:11" x14ac:dyDescent="0.35">
      <c r="A2863" s="1">
        <v>43617</v>
      </c>
      <c r="B2863" t="s">
        <v>15</v>
      </c>
      <c r="C2863" t="s">
        <v>38</v>
      </c>
      <c r="D2863">
        <v>482143.99999999994</v>
      </c>
      <c r="E2863">
        <v>2391299.3999999994</v>
      </c>
      <c r="F2863">
        <f t="shared" si="289"/>
        <v>4.9597203325147667</v>
      </c>
      <c r="G2863">
        <f t="shared" si="285"/>
        <v>224.97291428286982</v>
      </c>
      <c r="H2863">
        <v>168.05781250000001</v>
      </c>
      <c r="I2863" t="s">
        <v>58</v>
      </c>
      <c r="J2863">
        <f t="shared" si="290"/>
        <v>6.1763253399485487</v>
      </c>
      <c r="K2863">
        <f t="shared" si="291"/>
        <v>35445.717948420002</v>
      </c>
    </row>
    <row r="2864" spans="1:11" x14ac:dyDescent="0.35">
      <c r="A2864" s="1">
        <v>43647</v>
      </c>
      <c r="B2864" t="s">
        <v>15</v>
      </c>
      <c r="C2864" t="s">
        <v>38</v>
      </c>
      <c r="D2864">
        <v>462154</v>
      </c>
      <c r="E2864">
        <v>2472012.5999999996</v>
      </c>
      <c r="F2864">
        <f t="shared" si="289"/>
        <v>5.3488936588236813</v>
      </c>
      <c r="G2864">
        <f t="shared" si="285"/>
        <v>242.62581636424218</v>
      </c>
      <c r="H2864">
        <v>186.3559523809524</v>
      </c>
      <c r="I2864" t="s">
        <v>58</v>
      </c>
      <c r="J2864">
        <f t="shared" si="290"/>
        <v>6.8488038361246746</v>
      </c>
      <c r="K2864">
        <f t="shared" si="291"/>
        <v>35445.717948420002</v>
      </c>
    </row>
    <row r="2865" spans="1:11" x14ac:dyDescent="0.35">
      <c r="A2865" s="1">
        <v>43678</v>
      </c>
      <c r="B2865" t="s">
        <v>15</v>
      </c>
      <c r="C2865" t="s">
        <v>38</v>
      </c>
      <c r="D2865">
        <v>472351.00000000006</v>
      </c>
      <c r="E2865">
        <v>2475506.4</v>
      </c>
      <c r="F2865">
        <f t="shared" si="289"/>
        <v>5.2408196447133584</v>
      </c>
      <c r="G2865">
        <f t="shared" si="285"/>
        <v>237.72357908419792</v>
      </c>
      <c r="H2865">
        <v>175.73095238095237</v>
      </c>
      <c r="I2865" t="s">
        <v>58</v>
      </c>
      <c r="J2865">
        <f t="shared" si="290"/>
        <v>6.4583223954778521</v>
      </c>
      <c r="K2865">
        <f t="shared" si="291"/>
        <v>35445.717948420002</v>
      </c>
    </row>
    <row r="2866" spans="1:11" x14ac:dyDescent="0.35">
      <c r="A2866" s="1">
        <v>43709</v>
      </c>
      <c r="B2866" t="s">
        <v>15</v>
      </c>
      <c r="C2866" t="s">
        <v>38</v>
      </c>
      <c r="D2866">
        <v>438541</v>
      </c>
      <c r="E2866">
        <v>2153670.6</v>
      </c>
      <c r="F2866">
        <f t="shared" si="289"/>
        <v>4.910990306493578</v>
      </c>
      <c r="G2866">
        <f t="shared" si="285"/>
        <v>222.76252030254869</v>
      </c>
      <c r="H2866">
        <v>187.95119047619048</v>
      </c>
      <c r="I2866" t="s">
        <v>58</v>
      </c>
      <c r="J2866">
        <f t="shared" si="290"/>
        <v>6.9074307414990983</v>
      </c>
      <c r="K2866">
        <f t="shared" si="291"/>
        <v>35445.717948420002</v>
      </c>
    </row>
    <row r="2867" spans="1:11" x14ac:dyDescent="0.35">
      <c r="A2867" s="1">
        <v>43739</v>
      </c>
      <c r="B2867" t="s">
        <v>15</v>
      </c>
      <c r="C2867" t="s">
        <v>38</v>
      </c>
      <c r="D2867">
        <v>485985.00000000006</v>
      </c>
      <c r="E2867">
        <v>2461273.1999999997</v>
      </c>
      <c r="F2867">
        <f t="shared" si="289"/>
        <v>5.0645044600141969</v>
      </c>
      <c r="G2867">
        <f t="shared" si="285"/>
        <v>229.72592230624397</v>
      </c>
      <c r="H2867">
        <v>177.37083333333334</v>
      </c>
      <c r="I2867" t="s">
        <v>58</v>
      </c>
      <c r="J2867">
        <f t="shared" si="290"/>
        <v>6.5185899791743234</v>
      </c>
      <c r="K2867">
        <f t="shared" si="291"/>
        <v>35445.717948420002</v>
      </c>
    </row>
    <row r="2868" spans="1:11" x14ac:dyDescent="0.35">
      <c r="A2868" s="1">
        <v>43770</v>
      </c>
      <c r="B2868" t="s">
        <v>15</v>
      </c>
      <c r="C2868" t="s">
        <v>38</v>
      </c>
      <c r="D2868">
        <v>422544.00000000006</v>
      </c>
      <c r="E2868">
        <v>1769728.2000000002</v>
      </c>
      <c r="F2868">
        <f t="shared" si="289"/>
        <v>4.1882696239918209</v>
      </c>
      <c r="G2868">
        <f t="shared" ref="G2868:G2931" si="292">F2868*45.36</f>
        <v>189.97991014426898</v>
      </c>
      <c r="H2868">
        <v>191.06770833333334</v>
      </c>
      <c r="I2868" t="s">
        <v>58</v>
      </c>
      <c r="J2868">
        <f t="shared" si="290"/>
        <v>7.0219664951610925</v>
      </c>
      <c r="K2868">
        <f t="shared" si="291"/>
        <v>35445.717948420002</v>
      </c>
    </row>
    <row r="2869" spans="1:11" x14ac:dyDescent="0.35">
      <c r="A2869" s="1">
        <v>43800</v>
      </c>
      <c r="B2869" t="s">
        <v>15</v>
      </c>
      <c r="C2869" t="s">
        <v>38</v>
      </c>
      <c r="D2869">
        <v>410241</v>
      </c>
      <c r="E2869">
        <v>2154866.4000000004</v>
      </c>
      <c r="F2869">
        <f>E2869/D2869</f>
        <v>5.2526841539485334</v>
      </c>
      <c r="G2869">
        <f t="shared" si="292"/>
        <v>238.26175322310547</v>
      </c>
      <c r="H2869">
        <v>188.27291666666667</v>
      </c>
      <c r="I2869" t="s">
        <v>58</v>
      </c>
      <c r="J2869">
        <f t="shared" si="290"/>
        <v>6.9192545632733067</v>
      </c>
      <c r="K2869">
        <f t="shared" si="291"/>
        <v>35445.717948420002</v>
      </c>
    </row>
    <row r="2870" spans="1:11" x14ac:dyDescent="0.35">
      <c r="A2870" s="1">
        <v>43466</v>
      </c>
      <c r="B2870" t="s">
        <v>18</v>
      </c>
      <c r="C2870" t="s">
        <v>38</v>
      </c>
      <c r="D2870">
        <v>721458</v>
      </c>
      <c r="E2870">
        <v>1343916</v>
      </c>
      <c r="F2870">
        <f t="shared" ref="F2870:F2933" si="293">E2870/D2870</f>
        <v>1.8627778748035229</v>
      </c>
      <c r="G2870">
        <f t="shared" si="292"/>
        <v>84.495604401087789</v>
      </c>
      <c r="H2870">
        <v>6789.609375</v>
      </c>
      <c r="I2870" t="s">
        <v>40</v>
      </c>
      <c r="J2870">
        <f>(H2870/1000)/0.40815</f>
        <v>16.635083608967292</v>
      </c>
      <c r="K2870">
        <f>9639.02165094573+13052.3767995767</f>
        <v>22691.398450522429</v>
      </c>
    </row>
    <row r="2871" spans="1:11" x14ac:dyDescent="0.35">
      <c r="A2871" s="1">
        <v>43497</v>
      </c>
      <c r="B2871" t="s">
        <v>18</v>
      </c>
      <c r="C2871" t="s">
        <v>38</v>
      </c>
      <c r="D2871">
        <v>777975.99999999988</v>
      </c>
      <c r="E2871">
        <v>1460087.9999999995</v>
      </c>
      <c r="F2871">
        <f t="shared" si="293"/>
        <v>1.8767776898001991</v>
      </c>
      <c r="G2871">
        <f t="shared" si="292"/>
        <v>85.130636009337024</v>
      </c>
      <c r="H2871">
        <v>7095.161458333333</v>
      </c>
      <c r="I2871" t="s">
        <v>40</v>
      </c>
      <c r="J2871">
        <f t="shared" ref="J2871:J2881" si="294">(H2871/1000)/0.40815</f>
        <v>17.383710543509331</v>
      </c>
      <c r="K2871">
        <f t="shared" ref="K2871:K2881" si="295">9639.02165094573+13052.3767995767</f>
        <v>22691.398450522429</v>
      </c>
    </row>
    <row r="2872" spans="1:11" x14ac:dyDescent="0.35">
      <c r="A2872" s="1">
        <v>43525</v>
      </c>
      <c r="B2872" t="s">
        <v>18</v>
      </c>
      <c r="C2872" t="s">
        <v>38</v>
      </c>
      <c r="D2872">
        <v>745209.99999999977</v>
      </c>
      <c r="E2872">
        <v>1649894.94</v>
      </c>
      <c r="F2872">
        <f t="shared" si="293"/>
        <v>2.2140000000000004</v>
      </c>
      <c r="G2872">
        <f t="shared" si="292"/>
        <v>100.42704000000002</v>
      </c>
      <c r="H2872">
        <v>7108.479166666667</v>
      </c>
      <c r="I2872" t="s">
        <v>40</v>
      </c>
      <c r="J2872">
        <f t="shared" si="294"/>
        <v>17.41633998938299</v>
      </c>
      <c r="K2872">
        <f t="shared" si="295"/>
        <v>22691.398450522429</v>
      </c>
    </row>
    <row r="2873" spans="1:11" x14ac:dyDescent="0.35">
      <c r="A2873" s="1">
        <v>43556</v>
      </c>
      <c r="B2873" t="s">
        <v>18</v>
      </c>
      <c r="C2873" t="s">
        <v>38</v>
      </c>
      <c r="D2873">
        <v>788541.9999999993</v>
      </c>
      <c r="E2873">
        <v>3202623</v>
      </c>
      <c r="F2873">
        <f t="shared" si="293"/>
        <v>4.0614488511708986</v>
      </c>
      <c r="G2873">
        <f t="shared" si="292"/>
        <v>184.22731988911195</v>
      </c>
      <c r="H2873">
        <v>7333.736979166667</v>
      </c>
      <c r="I2873" t="s">
        <v>40</v>
      </c>
      <c r="J2873">
        <f t="shared" si="294"/>
        <v>17.968239566744252</v>
      </c>
      <c r="K2873">
        <f t="shared" si="295"/>
        <v>22691.398450522429</v>
      </c>
    </row>
    <row r="2874" spans="1:11" x14ac:dyDescent="0.35">
      <c r="A2874" s="1">
        <v>43586</v>
      </c>
      <c r="B2874" t="s">
        <v>18</v>
      </c>
      <c r="C2874" t="s">
        <v>38</v>
      </c>
      <c r="D2874">
        <v>821400.00000000012</v>
      </c>
      <c r="E2874">
        <v>2839175.9999999981</v>
      </c>
      <c r="F2874">
        <f t="shared" si="293"/>
        <v>3.4565084002921815</v>
      </c>
      <c r="G2874">
        <f t="shared" si="292"/>
        <v>156.78722103725335</v>
      </c>
      <c r="H2874">
        <v>7405.1369791666666</v>
      </c>
      <c r="I2874" t="s">
        <v>40</v>
      </c>
      <c r="J2874">
        <f t="shared" si="294"/>
        <v>18.143175252154027</v>
      </c>
      <c r="K2874">
        <f t="shared" si="295"/>
        <v>22691.398450522429</v>
      </c>
    </row>
    <row r="2875" spans="1:11" x14ac:dyDescent="0.35">
      <c r="A2875" s="1">
        <v>43617</v>
      </c>
      <c r="B2875" t="s">
        <v>18</v>
      </c>
      <c r="C2875" t="s">
        <v>38</v>
      </c>
      <c r="D2875">
        <v>822198.00000000012</v>
      </c>
      <c r="E2875">
        <v>1855304.9999999998</v>
      </c>
      <c r="F2875">
        <f t="shared" si="293"/>
        <v>2.2565185028423804</v>
      </c>
      <c r="G2875">
        <f t="shared" si="292"/>
        <v>102.35567928893038</v>
      </c>
      <c r="H2875">
        <v>8261.1875</v>
      </c>
      <c r="I2875" t="s">
        <v>40</v>
      </c>
      <c r="J2875">
        <f t="shared" si="294"/>
        <v>20.240567193433787</v>
      </c>
      <c r="K2875">
        <f t="shared" si="295"/>
        <v>22691.398450522429</v>
      </c>
    </row>
    <row r="2876" spans="1:11" x14ac:dyDescent="0.35">
      <c r="A2876" s="1">
        <v>43647</v>
      </c>
      <c r="B2876" t="s">
        <v>18</v>
      </c>
      <c r="C2876" t="s">
        <v>38</v>
      </c>
      <c r="D2876">
        <v>799854</v>
      </c>
      <c r="E2876">
        <v>2083122</v>
      </c>
      <c r="F2876">
        <f t="shared" si="293"/>
        <v>2.6043777989483079</v>
      </c>
      <c r="G2876">
        <f t="shared" si="292"/>
        <v>118.13457696029525</v>
      </c>
      <c r="H2876">
        <v>9252.4583333333339</v>
      </c>
      <c r="I2876" t="s">
        <v>40</v>
      </c>
      <c r="J2876">
        <f t="shared" si="294"/>
        <v>22.669259667605864</v>
      </c>
      <c r="K2876">
        <f t="shared" si="295"/>
        <v>22691.398450522429</v>
      </c>
    </row>
    <row r="2877" spans="1:11" x14ac:dyDescent="0.35">
      <c r="A2877" s="1">
        <v>43678</v>
      </c>
      <c r="B2877" t="s">
        <v>18</v>
      </c>
      <c r="C2877" t="s">
        <v>38</v>
      </c>
      <c r="D2877">
        <v>793542</v>
      </c>
      <c r="E2877">
        <v>2381265</v>
      </c>
      <c r="F2877">
        <f t="shared" si="293"/>
        <v>3.0008052503837228</v>
      </c>
      <c r="G2877">
        <f t="shared" si="292"/>
        <v>136.11652615740567</v>
      </c>
      <c r="H2877">
        <v>9261.4635416666679</v>
      </c>
      <c r="I2877" t="s">
        <v>40</v>
      </c>
      <c r="J2877">
        <f t="shared" si="294"/>
        <v>22.691323145085551</v>
      </c>
      <c r="K2877">
        <f t="shared" si="295"/>
        <v>22691.398450522429</v>
      </c>
    </row>
    <row r="2878" spans="1:11" x14ac:dyDescent="0.35">
      <c r="A2878" s="1">
        <v>43709</v>
      </c>
      <c r="B2878" t="s">
        <v>18</v>
      </c>
      <c r="C2878" t="s">
        <v>38</v>
      </c>
      <c r="D2878">
        <v>753241</v>
      </c>
      <c r="E2878">
        <v>1836009</v>
      </c>
      <c r="F2878">
        <f t="shared" si="293"/>
        <v>2.43747884143322</v>
      </c>
      <c r="G2878">
        <f t="shared" si="292"/>
        <v>110.56404024741086</v>
      </c>
      <c r="H2878">
        <v>10347.48511904762</v>
      </c>
      <c r="I2878" t="s">
        <v>40</v>
      </c>
      <c r="J2878">
        <f t="shared" si="294"/>
        <v>25.352162486947496</v>
      </c>
      <c r="K2878">
        <f t="shared" si="295"/>
        <v>22691.398450522429</v>
      </c>
    </row>
    <row r="2879" spans="1:11" x14ac:dyDescent="0.35">
      <c r="A2879" s="1">
        <v>43739</v>
      </c>
      <c r="B2879" t="s">
        <v>18</v>
      </c>
      <c r="C2879" t="s">
        <v>38</v>
      </c>
      <c r="D2879">
        <v>784521</v>
      </c>
      <c r="E2879">
        <v>1418841</v>
      </c>
      <c r="F2879">
        <f t="shared" si="293"/>
        <v>1.8085443219493169</v>
      </c>
      <c r="G2879">
        <f t="shared" si="292"/>
        <v>82.035570443621012</v>
      </c>
      <c r="H2879">
        <v>11186.223958333332</v>
      </c>
      <c r="I2879" t="s">
        <v>40</v>
      </c>
      <c r="J2879">
        <f t="shared" si="294"/>
        <v>27.407139429948138</v>
      </c>
      <c r="K2879">
        <f t="shared" si="295"/>
        <v>22691.398450522429</v>
      </c>
    </row>
    <row r="2880" spans="1:11" x14ac:dyDescent="0.35">
      <c r="A2880" s="1">
        <v>43770</v>
      </c>
      <c r="B2880" t="s">
        <v>18</v>
      </c>
      <c r="C2880" t="s">
        <v>38</v>
      </c>
      <c r="D2880">
        <v>756559</v>
      </c>
      <c r="E2880">
        <v>1232208</v>
      </c>
      <c r="F2880">
        <f t="shared" si="293"/>
        <v>1.6287004714767783</v>
      </c>
      <c r="G2880">
        <f t="shared" si="292"/>
        <v>73.877853386186658</v>
      </c>
      <c r="H2880">
        <v>11120.111979166666</v>
      </c>
      <c r="I2880" t="s">
        <v>40</v>
      </c>
      <c r="J2880">
        <f t="shared" si="294"/>
        <v>27.245159816652372</v>
      </c>
      <c r="K2880">
        <f t="shared" si="295"/>
        <v>22691.398450522429</v>
      </c>
    </row>
    <row r="2881" spans="1:11" x14ac:dyDescent="0.35">
      <c r="A2881" s="1">
        <v>43800</v>
      </c>
      <c r="B2881" t="s">
        <v>18</v>
      </c>
      <c r="C2881" t="s">
        <v>38</v>
      </c>
      <c r="D2881">
        <v>780380.99999999988</v>
      </c>
      <c r="E2881">
        <v>1349613.0000000002</v>
      </c>
      <c r="F2881">
        <f t="shared" si="293"/>
        <v>1.7294283177063516</v>
      </c>
      <c r="G2881">
        <f t="shared" si="292"/>
        <v>78.446868491160103</v>
      </c>
      <c r="H2881">
        <v>10863.830729166668</v>
      </c>
      <c r="I2881" t="s">
        <v>40</v>
      </c>
      <c r="J2881">
        <f t="shared" si="294"/>
        <v>26.617250347094618</v>
      </c>
      <c r="K2881">
        <f t="shared" si="295"/>
        <v>22691.398450522429</v>
      </c>
    </row>
    <row r="2882" spans="1:11" x14ac:dyDescent="0.35">
      <c r="A2882" s="1">
        <v>43831</v>
      </c>
      <c r="B2882" t="s">
        <v>2</v>
      </c>
      <c r="C2882" t="s">
        <v>38</v>
      </c>
      <c r="D2882">
        <v>26476</v>
      </c>
      <c r="E2882">
        <v>96176</v>
      </c>
      <c r="F2882">
        <f t="shared" si="293"/>
        <v>3.6325728962078863</v>
      </c>
      <c r="G2882">
        <f t="shared" si="292"/>
        <v>164.77350657198971</v>
      </c>
      <c r="H2882">
        <v>2247.2629320223687</v>
      </c>
      <c r="I2882" t="s">
        <v>59</v>
      </c>
      <c r="J2882">
        <f>H2882/110</f>
        <v>20.42966301838517</v>
      </c>
      <c r="K2882">
        <v>7092.5943689866526</v>
      </c>
    </row>
    <row r="2883" spans="1:11" x14ac:dyDescent="0.35">
      <c r="A2883" s="1">
        <v>43862</v>
      </c>
      <c r="B2883" t="s">
        <v>2</v>
      </c>
      <c r="C2883" t="s">
        <v>38</v>
      </c>
      <c r="D2883">
        <v>6810</v>
      </c>
      <c r="E2883">
        <v>35841</v>
      </c>
      <c r="F2883">
        <f t="shared" si="293"/>
        <v>5.2629955947136562</v>
      </c>
      <c r="G2883">
        <f t="shared" si="292"/>
        <v>238.72948017621144</v>
      </c>
      <c r="H2883">
        <v>2319.7338436621435</v>
      </c>
      <c r="I2883" t="s">
        <v>59</v>
      </c>
      <c r="J2883">
        <f t="shared" ref="J2883:J2892" si="296">H2883/110</f>
        <v>21.08848948783767</v>
      </c>
      <c r="K2883">
        <v>7092.5943689866526</v>
      </c>
    </row>
    <row r="2884" spans="1:11" x14ac:dyDescent="0.35">
      <c r="A2884" s="1">
        <v>43891</v>
      </c>
      <c r="B2884" t="s">
        <v>2</v>
      </c>
      <c r="C2884" t="s">
        <v>38</v>
      </c>
      <c r="D2884">
        <v>125411</v>
      </c>
      <c r="E2884">
        <v>652176</v>
      </c>
      <c r="F2884">
        <f t="shared" si="293"/>
        <v>5.2003093827495199</v>
      </c>
      <c r="G2884">
        <f t="shared" si="292"/>
        <v>235.88603360151822</v>
      </c>
      <c r="H2884">
        <v>2266.5618995232853</v>
      </c>
      <c r="I2884" t="s">
        <v>59</v>
      </c>
      <c r="J2884">
        <f t="shared" si="296"/>
        <v>20.605108177484411</v>
      </c>
      <c r="K2884">
        <v>7092.5943689866526</v>
      </c>
    </row>
    <row r="2885" spans="1:11" x14ac:dyDescent="0.35">
      <c r="A2885" s="1">
        <v>43922</v>
      </c>
      <c r="B2885" t="s">
        <v>2</v>
      </c>
      <c r="C2885" t="s">
        <v>38</v>
      </c>
      <c r="D2885">
        <v>464895</v>
      </c>
      <c r="E2885">
        <v>2842893</v>
      </c>
      <c r="F2885">
        <f t="shared" si="293"/>
        <v>6.1151292227277123</v>
      </c>
      <c r="G2885">
        <f t="shared" si="292"/>
        <v>277.38226154292903</v>
      </c>
      <c r="H2885">
        <v>2163.0153648698206</v>
      </c>
      <c r="I2885" t="s">
        <v>59</v>
      </c>
      <c r="J2885">
        <f t="shared" si="296"/>
        <v>19.663776044271096</v>
      </c>
      <c r="K2885">
        <v>7092.5943689866526</v>
      </c>
    </row>
    <row r="2886" spans="1:11" x14ac:dyDescent="0.35">
      <c r="A2886" s="1">
        <v>43952</v>
      </c>
      <c r="B2886" t="s">
        <v>2</v>
      </c>
      <c r="C2886" t="s">
        <v>38</v>
      </c>
      <c r="D2886">
        <v>501884</v>
      </c>
      <c r="E2886">
        <v>2685822</v>
      </c>
      <c r="F2886">
        <f t="shared" si="293"/>
        <v>5.3514796247738525</v>
      </c>
      <c r="G2886">
        <f t="shared" si="292"/>
        <v>242.74311577974194</v>
      </c>
      <c r="H2886">
        <v>2285.5910134763476</v>
      </c>
      <c r="I2886" t="s">
        <v>59</v>
      </c>
      <c r="J2886">
        <f t="shared" si="296"/>
        <v>20.778100122512249</v>
      </c>
      <c r="K2886">
        <v>7092.5943689866526</v>
      </c>
    </row>
    <row r="2887" spans="1:11" x14ac:dyDescent="0.35">
      <c r="A2887" s="1">
        <v>43983</v>
      </c>
      <c r="B2887" t="s">
        <v>2</v>
      </c>
      <c r="C2887" t="s">
        <v>38</v>
      </c>
      <c r="D2887">
        <v>130213.99999999999</v>
      </c>
      <c r="E2887">
        <v>670853.99999999988</v>
      </c>
      <c r="F2887">
        <f t="shared" si="293"/>
        <v>5.1519345078102194</v>
      </c>
      <c r="G2887">
        <f t="shared" si="292"/>
        <v>233.69174927427156</v>
      </c>
      <c r="H2887">
        <v>2321.2332248502626</v>
      </c>
      <c r="I2887" t="s">
        <v>59</v>
      </c>
      <c r="J2887">
        <f t="shared" si="296"/>
        <v>21.102120225911477</v>
      </c>
      <c r="K2887">
        <v>7092.5943689866526</v>
      </c>
    </row>
    <row r="2888" spans="1:11" x14ac:dyDescent="0.35">
      <c r="A2888" s="1">
        <v>44013</v>
      </c>
      <c r="B2888" t="s">
        <v>2</v>
      </c>
      <c r="C2888" t="s">
        <v>38</v>
      </c>
      <c r="D2888">
        <v>146255</v>
      </c>
      <c r="E2888">
        <v>529351</v>
      </c>
      <c r="F2888">
        <f t="shared" si="293"/>
        <v>3.6193702779392156</v>
      </c>
      <c r="G2888">
        <f t="shared" si="292"/>
        <v>164.17463580732283</v>
      </c>
      <c r="H2888">
        <v>2409.9332431854295</v>
      </c>
      <c r="I2888" t="s">
        <v>59</v>
      </c>
      <c r="J2888">
        <f t="shared" si="296"/>
        <v>21.908484028958451</v>
      </c>
      <c r="K2888">
        <v>7092.5943689866526</v>
      </c>
    </row>
    <row r="2889" spans="1:11" x14ac:dyDescent="0.35">
      <c r="A2889" s="1">
        <v>44044</v>
      </c>
      <c r="B2889" t="s">
        <v>2</v>
      </c>
      <c r="C2889" t="s">
        <v>38</v>
      </c>
      <c r="D2889">
        <v>398193</v>
      </c>
      <c r="E2889">
        <v>1753702</v>
      </c>
      <c r="F2889">
        <f t="shared" si="293"/>
        <v>4.4041507510177222</v>
      </c>
      <c r="G2889">
        <f t="shared" si="292"/>
        <v>199.77227806616389</v>
      </c>
      <c r="H2889">
        <v>2361.8018931059773</v>
      </c>
      <c r="I2889" t="s">
        <v>59</v>
      </c>
      <c r="J2889">
        <f t="shared" si="296"/>
        <v>21.470926300963431</v>
      </c>
      <c r="K2889">
        <v>7092.5943689866526</v>
      </c>
    </row>
    <row r="2890" spans="1:11" x14ac:dyDescent="0.35">
      <c r="A2890" s="1">
        <v>44075</v>
      </c>
      <c r="B2890" t="s">
        <v>2</v>
      </c>
      <c r="C2890" t="s">
        <v>38</v>
      </c>
      <c r="D2890">
        <v>454740.00000000006</v>
      </c>
      <c r="E2890">
        <v>1923976</v>
      </c>
      <c r="F2890">
        <f t="shared" si="293"/>
        <v>4.2309363592382452</v>
      </c>
      <c r="G2890">
        <f t="shared" si="292"/>
        <v>191.9152732550468</v>
      </c>
      <c r="H2890">
        <v>2421.3257727508862</v>
      </c>
      <c r="I2890" t="s">
        <v>59</v>
      </c>
      <c r="J2890">
        <f t="shared" si="296"/>
        <v>22.01205247955351</v>
      </c>
      <c r="K2890">
        <v>7092.5943689866526</v>
      </c>
    </row>
    <row r="2891" spans="1:11" x14ac:dyDescent="0.35">
      <c r="A2891" s="1">
        <v>44105</v>
      </c>
      <c r="B2891" t="s">
        <v>2</v>
      </c>
      <c r="C2891" t="s">
        <v>38</v>
      </c>
      <c r="D2891">
        <v>246114</v>
      </c>
      <c r="E2891">
        <v>817180</v>
      </c>
      <c r="F2891">
        <f t="shared" si="293"/>
        <v>3.3203312286176323</v>
      </c>
      <c r="G2891">
        <f t="shared" si="292"/>
        <v>150.61022453009579</v>
      </c>
      <c r="H2891">
        <v>2438.3384538106588</v>
      </c>
      <c r="I2891" t="s">
        <v>59</v>
      </c>
      <c r="J2891">
        <f t="shared" si="296"/>
        <v>22.166713216460536</v>
      </c>
      <c r="K2891">
        <v>7092.5943689866526</v>
      </c>
    </row>
    <row r="2892" spans="1:11" x14ac:dyDescent="0.35">
      <c r="A2892" s="1">
        <v>44136</v>
      </c>
      <c r="B2892" t="s">
        <v>2</v>
      </c>
      <c r="C2892" t="s">
        <v>38</v>
      </c>
      <c r="D2892">
        <v>229130</v>
      </c>
      <c r="E2892">
        <v>785460</v>
      </c>
      <c r="F2892">
        <f t="shared" si="293"/>
        <v>3.4280102998297908</v>
      </c>
      <c r="G2892">
        <f t="shared" si="292"/>
        <v>155.4945472002793</v>
      </c>
      <c r="H2892">
        <v>2422.8676430143018</v>
      </c>
      <c r="I2892" t="s">
        <v>59</v>
      </c>
      <c r="J2892">
        <f t="shared" si="296"/>
        <v>22.026069481948198</v>
      </c>
      <c r="K2892">
        <v>7092.5943689866526</v>
      </c>
    </row>
    <row r="2893" spans="1:11" x14ac:dyDescent="0.35">
      <c r="A2893" s="1">
        <v>44166</v>
      </c>
      <c r="B2893" t="s">
        <v>2</v>
      </c>
      <c r="C2893" t="s">
        <v>38</v>
      </c>
      <c r="D2893">
        <v>182420</v>
      </c>
      <c r="E2893">
        <v>601500</v>
      </c>
      <c r="F2893">
        <f t="shared" si="293"/>
        <v>3.2973358184409602</v>
      </c>
      <c r="G2893">
        <f t="shared" si="292"/>
        <v>149.56715272448196</v>
      </c>
      <c r="H2893">
        <v>2362.8437843784377</v>
      </c>
      <c r="I2893" t="s">
        <v>59</v>
      </c>
      <c r="J2893">
        <f>H2893/110</f>
        <v>21.48039803980398</v>
      </c>
      <c r="K2893">
        <v>7092.5943689866526</v>
      </c>
    </row>
    <row r="2894" spans="1:11" x14ac:dyDescent="0.35">
      <c r="A2894" s="1">
        <v>43831</v>
      </c>
      <c r="B2894" t="s">
        <v>5</v>
      </c>
      <c r="C2894" t="s">
        <v>38</v>
      </c>
      <c r="D2894">
        <v>65213.892616289129</v>
      </c>
      <c r="E2894">
        <v>223183</v>
      </c>
      <c r="F2894">
        <f t="shared" si="293"/>
        <v>3.422322929152267</v>
      </c>
      <c r="G2894">
        <f t="shared" si="292"/>
        <v>155.23656806634682</v>
      </c>
      <c r="H2894">
        <v>926.30989583333337</v>
      </c>
      <c r="I2894" t="s">
        <v>38</v>
      </c>
      <c r="J2894">
        <f>H2894/45.36</f>
        <v>20.421293999853027</v>
      </c>
      <c r="K2894">
        <v>2584.154685837264</v>
      </c>
    </row>
    <row r="2895" spans="1:11" x14ac:dyDescent="0.35">
      <c r="A2895" s="1">
        <v>43862</v>
      </c>
      <c r="B2895" t="s">
        <v>5</v>
      </c>
      <c r="C2895" t="s">
        <v>38</v>
      </c>
      <c r="D2895">
        <v>33345</v>
      </c>
      <c r="E2895">
        <v>82541</v>
      </c>
      <c r="F2895">
        <f t="shared" si="293"/>
        <v>2.4753636227320439</v>
      </c>
      <c r="G2895">
        <f t="shared" si="292"/>
        <v>112.28249392712551</v>
      </c>
      <c r="H2895">
        <v>892.87500000000011</v>
      </c>
      <c r="I2895" t="s">
        <v>38</v>
      </c>
      <c r="J2895">
        <f t="shared" ref="J2895:J2958" si="297">H2895/45.36</f>
        <v>19.684193121693124</v>
      </c>
      <c r="K2895">
        <v>2584.154685837264</v>
      </c>
    </row>
    <row r="2896" spans="1:11" x14ac:dyDescent="0.35">
      <c r="A2896" s="1">
        <v>43891</v>
      </c>
      <c r="B2896" t="s">
        <v>5</v>
      </c>
      <c r="C2896" t="s">
        <v>38</v>
      </c>
      <c r="D2896">
        <v>31606.000000000004</v>
      </c>
      <c r="E2896">
        <v>76862</v>
      </c>
      <c r="F2896">
        <f t="shared" si="293"/>
        <v>2.4318800227804847</v>
      </c>
      <c r="G2896">
        <f t="shared" si="292"/>
        <v>110.31007783332278</v>
      </c>
      <c r="H2896">
        <v>847.88888888888891</v>
      </c>
      <c r="I2896" t="s">
        <v>38</v>
      </c>
      <c r="J2896">
        <f t="shared" si="297"/>
        <v>18.692435822065452</v>
      </c>
      <c r="K2896">
        <v>2584.154685837264</v>
      </c>
    </row>
    <row r="2897" spans="1:11" x14ac:dyDescent="0.35">
      <c r="A2897" s="1">
        <v>43922</v>
      </c>
      <c r="B2897" t="s">
        <v>5</v>
      </c>
      <c r="C2897" t="s">
        <v>38</v>
      </c>
      <c r="D2897">
        <v>31954.114086148373</v>
      </c>
      <c r="E2897">
        <v>72233.000000000015</v>
      </c>
      <c r="F2897">
        <f t="shared" si="293"/>
        <v>2.2605226921722714</v>
      </c>
      <c r="G2897">
        <f t="shared" si="292"/>
        <v>102.53730931693423</v>
      </c>
      <c r="H2897">
        <v>924.28472222222217</v>
      </c>
      <c r="I2897" t="s">
        <v>38</v>
      </c>
      <c r="J2897">
        <f t="shared" si="297"/>
        <v>20.376647315304723</v>
      </c>
      <c r="K2897">
        <v>2584.154685837264</v>
      </c>
    </row>
    <row r="2898" spans="1:11" x14ac:dyDescent="0.35">
      <c r="A2898" s="1">
        <v>43952</v>
      </c>
      <c r="B2898" t="s">
        <v>5</v>
      </c>
      <c r="C2898" t="s">
        <v>38</v>
      </c>
      <c r="D2898">
        <v>22654.000000000004</v>
      </c>
      <c r="E2898">
        <v>82414.000000000015</v>
      </c>
      <c r="F2898">
        <f t="shared" si="293"/>
        <v>3.6379447338218416</v>
      </c>
      <c r="G2898">
        <f t="shared" si="292"/>
        <v>165.01717312615872</v>
      </c>
      <c r="H2898">
        <v>936.49503968253964</v>
      </c>
      <c r="I2898" t="s">
        <v>38</v>
      </c>
      <c r="J2898">
        <f t="shared" si="297"/>
        <v>20.645834208168864</v>
      </c>
      <c r="K2898">
        <v>2584.154685837264</v>
      </c>
    </row>
    <row r="2899" spans="1:11" x14ac:dyDescent="0.35">
      <c r="A2899" s="1">
        <v>43983</v>
      </c>
      <c r="B2899" t="s">
        <v>5</v>
      </c>
      <c r="C2899" t="s">
        <v>38</v>
      </c>
      <c r="D2899">
        <v>49020.946081009992</v>
      </c>
      <c r="E2899">
        <v>98421</v>
      </c>
      <c r="F2899">
        <f t="shared" si="293"/>
        <v>2.0077335887674121</v>
      </c>
      <c r="G2899">
        <f t="shared" si="292"/>
        <v>91.070795586489808</v>
      </c>
      <c r="H2899">
        <v>954.88020833333337</v>
      </c>
      <c r="I2899" t="s">
        <v>38</v>
      </c>
      <c r="J2899">
        <f t="shared" si="297"/>
        <v>21.051150977366255</v>
      </c>
      <c r="K2899">
        <v>2584.154685837264</v>
      </c>
    </row>
    <row r="2900" spans="1:11" x14ac:dyDescent="0.35">
      <c r="A2900" s="1">
        <v>44013</v>
      </c>
      <c r="B2900" t="s">
        <v>5</v>
      </c>
      <c r="C2900" t="s">
        <v>38</v>
      </c>
      <c r="D2900">
        <v>47854.379617834391</v>
      </c>
      <c r="E2900">
        <v>120122</v>
      </c>
      <c r="F2900">
        <f t="shared" si="293"/>
        <v>2.5101568750717411</v>
      </c>
      <c r="G2900">
        <f t="shared" si="292"/>
        <v>113.86071585325418</v>
      </c>
      <c r="H2900">
        <v>958.75</v>
      </c>
      <c r="I2900" t="s">
        <v>38</v>
      </c>
      <c r="J2900">
        <f t="shared" si="297"/>
        <v>21.136463844797177</v>
      </c>
      <c r="K2900">
        <v>2584.154685837264</v>
      </c>
    </row>
    <row r="2901" spans="1:11" x14ac:dyDescent="0.35">
      <c r="A2901" s="1">
        <v>44044</v>
      </c>
      <c r="B2901" t="s">
        <v>5</v>
      </c>
      <c r="C2901" t="s">
        <v>38</v>
      </c>
      <c r="D2901">
        <v>51244.787027833001</v>
      </c>
      <c r="E2901">
        <v>86988</v>
      </c>
      <c r="F2901">
        <f t="shared" si="293"/>
        <v>1.697499493026549</v>
      </c>
      <c r="G2901">
        <f t="shared" si="292"/>
        <v>76.998577003684261</v>
      </c>
      <c r="H2901">
        <v>934.91927083333337</v>
      </c>
      <c r="I2901" t="s">
        <v>38</v>
      </c>
      <c r="J2901">
        <f t="shared" si="297"/>
        <v>20.61109503600823</v>
      </c>
      <c r="K2901">
        <v>2584.154685837264</v>
      </c>
    </row>
    <row r="2902" spans="1:11" x14ac:dyDescent="0.35">
      <c r="A2902" s="1">
        <v>44075</v>
      </c>
      <c r="B2902" t="s">
        <v>5</v>
      </c>
      <c r="C2902" t="s">
        <v>38</v>
      </c>
      <c r="D2902">
        <v>60213.961408586591</v>
      </c>
      <c r="E2902">
        <v>126985</v>
      </c>
      <c r="F2902">
        <f t="shared" si="293"/>
        <v>2.1088962929765285</v>
      </c>
      <c r="G2902">
        <f t="shared" si="292"/>
        <v>95.659535849415334</v>
      </c>
      <c r="H2902">
        <v>964.17296875</v>
      </c>
      <c r="I2902" t="s">
        <v>38</v>
      </c>
      <c r="J2902">
        <f t="shared" si="297"/>
        <v>21.256017829585538</v>
      </c>
      <c r="K2902">
        <v>2584.154685837264</v>
      </c>
    </row>
    <row r="2903" spans="1:11" x14ac:dyDescent="0.35">
      <c r="A2903" s="1">
        <v>44105</v>
      </c>
      <c r="B2903" t="s">
        <v>5</v>
      </c>
      <c r="C2903" t="s">
        <v>38</v>
      </c>
      <c r="D2903">
        <v>20145</v>
      </c>
      <c r="E2903">
        <v>50769.5</v>
      </c>
      <c r="F2903">
        <f t="shared" si="293"/>
        <v>2.5202035244477536</v>
      </c>
      <c r="G2903">
        <f t="shared" si="292"/>
        <v>114.3164318689501</v>
      </c>
      <c r="H2903">
        <v>950.80989583333371</v>
      </c>
      <c r="I2903" t="s">
        <v>38</v>
      </c>
      <c r="J2903">
        <f t="shared" si="297"/>
        <v>20.961417456643161</v>
      </c>
      <c r="K2903">
        <v>2584.154685837264</v>
      </c>
    </row>
    <row r="2904" spans="1:11" x14ac:dyDescent="0.35">
      <c r="A2904" s="1">
        <v>44136</v>
      </c>
      <c r="B2904" t="s">
        <v>5</v>
      </c>
      <c r="C2904" t="s">
        <v>38</v>
      </c>
      <c r="D2904">
        <v>10974</v>
      </c>
      <c r="E2904">
        <v>36492</v>
      </c>
      <c r="F2904">
        <f t="shared" si="293"/>
        <v>3.3253143794423181</v>
      </c>
      <c r="G2904">
        <f t="shared" si="292"/>
        <v>150.83626025150355</v>
      </c>
      <c r="H2904">
        <v>936.25520833333326</v>
      </c>
      <c r="I2904" t="s">
        <v>38</v>
      </c>
      <c r="J2904">
        <f t="shared" si="297"/>
        <v>20.640546920928863</v>
      </c>
      <c r="K2904">
        <v>2584.154685837264</v>
      </c>
    </row>
    <row r="2905" spans="1:11" x14ac:dyDescent="0.35">
      <c r="A2905" s="1">
        <v>44166</v>
      </c>
      <c r="B2905" t="s">
        <v>5</v>
      </c>
      <c r="C2905" t="s">
        <v>38</v>
      </c>
      <c r="D2905">
        <v>28985</v>
      </c>
      <c r="E2905">
        <v>70214</v>
      </c>
      <c r="F2905">
        <f t="shared" si="293"/>
        <v>2.4224253924443677</v>
      </c>
      <c r="G2905">
        <f t="shared" si="292"/>
        <v>109.88121580127653</v>
      </c>
      <c r="H2905">
        <v>991.23802083333328</v>
      </c>
      <c r="I2905" t="s">
        <v>38</v>
      </c>
      <c r="J2905">
        <f t="shared" si="297"/>
        <v>21.852690053644913</v>
      </c>
      <c r="K2905">
        <v>2584.154685837264</v>
      </c>
    </row>
    <row r="2906" spans="1:11" x14ac:dyDescent="0.35">
      <c r="A2906" s="1">
        <v>43831</v>
      </c>
      <c r="B2906" t="s">
        <v>7</v>
      </c>
      <c r="C2906" t="s">
        <v>38</v>
      </c>
      <c r="D2906">
        <v>5985</v>
      </c>
      <c r="E2906">
        <v>81124</v>
      </c>
      <c r="F2906">
        <f t="shared" si="293"/>
        <v>13.554553049289892</v>
      </c>
      <c r="G2906">
        <f t="shared" si="292"/>
        <v>614.8345263157895</v>
      </c>
      <c r="H2906">
        <v>661.37690476190471</v>
      </c>
      <c r="I2906" t="s">
        <v>38</v>
      </c>
      <c r="J2906">
        <f t="shared" si="297"/>
        <v>14.580619593516419</v>
      </c>
      <c r="K2906">
        <v>6271.4601073596523</v>
      </c>
    </row>
    <row r="2907" spans="1:11" x14ac:dyDescent="0.35">
      <c r="A2907" s="1">
        <v>43862</v>
      </c>
      <c r="B2907" t="s">
        <v>7</v>
      </c>
      <c r="C2907" t="s">
        <v>38</v>
      </c>
      <c r="D2907">
        <v>12010.999999999998</v>
      </c>
      <c r="E2907">
        <v>162275.00000000003</v>
      </c>
      <c r="F2907">
        <f t="shared" si="293"/>
        <v>13.510532012322043</v>
      </c>
      <c r="G2907">
        <f t="shared" si="292"/>
        <v>612.83773207892784</v>
      </c>
      <c r="H2907">
        <v>503.52880952380957</v>
      </c>
      <c r="I2907" t="s">
        <v>38</v>
      </c>
      <c r="J2907">
        <f t="shared" si="297"/>
        <v>11.100723314016966</v>
      </c>
      <c r="K2907">
        <v>6271.4601073596523</v>
      </c>
    </row>
    <row r="2908" spans="1:11" x14ac:dyDescent="0.35">
      <c r="A2908" s="1">
        <v>43891</v>
      </c>
      <c r="B2908" t="s">
        <v>7</v>
      </c>
      <c r="C2908" t="s">
        <v>38</v>
      </c>
      <c r="D2908">
        <v>10943.000000000004</v>
      </c>
      <c r="E2908">
        <v>131031</v>
      </c>
      <c r="F2908">
        <f t="shared" si="293"/>
        <v>11.973955953577626</v>
      </c>
      <c r="G2908">
        <f t="shared" si="292"/>
        <v>543.13864205428115</v>
      </c>
      <c r="H2908">
        <v>530.30233333333331</v>
      </c>
      <c r="I2908" t="s">
        <v>38</v>
      </c>
      <c r="J2908">
        <f t="shared" si="297"/>
        <v>11.690968547912991</v>
      </c>
      <c r="K2908">
        <v>6271.4601073596523</v>
      </c>
    </row>
    <row r="2909" spans="1:11" x14ac:dyDescent="0.35">
      <c r="A2909" s="1">
        <v>43922</v>
      </c>
      <c r="B2909" t="s">
        <v>7</v>
      </c>
      <c r="C2909" t="s">
        <v>38</v>
      </c>
      <c r="D2909">
        <v>12343</v>
      </c>
      <c r="E2909">
        <v>144253.99999999997</v>
      </c>
      <c r="F2909">
        <f t="shared" si="293"/>
        <v>11.687110102892325</v>
      </c>
      <c r="G2909">
        <f t="shared" si="292"/>
        <v>530.12731426719586</v>
      </c>
      <c r="H2909">
        <v>599.7361111111112</v>
      </c>
      <c r="I2909" t="s">
        <v>38</v>
      </c>
      <c r="J2909">
        <f t="shared" si="297"/>
        <v>13.22169557123261</v>
      </c>
      <c r="K2909">
        <v>6271.4601073596523</v>
      </c>
    </row>
    <row r="2910" spans="1:11" x14ac:dyDescent="0.35">
      <c r="A2910" s="1">
        <v>43952</v>
      </c>
      <c r="B2910" t="s">
        <v>7</v>
      </c>
      <c r="C2910" t="s">
        <v>38</v>
      </c>
      <c r="D2910">
        <v>10547</v>
      </c>
      <c r="E2910">
        <v>122859</v>
      </c>
      <c r="F2910">
        <f t="shared" si="293"/>
        <v>11.648715274485635</v>
      </c>
      <c r="G2910">
        <f t="shared" si="292"/>
        <v>528.38572485066845</v>
      </c>
      <c r="H2910">
        <v>541.49282407407418</v>
      </c>
      <c r="I2910" t="s">
        <v>38</v>
      </c>
      <c r="J2910">
        <f t="shared" si="297"/>
        <v>11.937672488405516</v>
      </c>
      <c r="K2910">
        <v>6271.4601073596523</v>
      </c>
    </row>
    <row r="2911" spans="1:11" x14ac:dyDescent="0.35">
      <c r="A2911" s="1">
        <v>43983</v>
      </c>
      <c r="B2911" t="s">
        <v>7</v>
      </c>
      <c r="C2911" t="s">
        <v>38</v>
      </c>
      <c r="D2911">
        <v>10621.490626618333</v>
      </c>
      <c r="E2911">
        <v>111884.00000000001</v>
      </c>
      <c r="F2911">
        <f t="shared" si="293"/>
        <v>10.533738053640933</v>
      </c>
      <c r="G2911">
        <f t="shared" si="292"/>
        <v>477.81035811315274</v>
      </c>
      <c r="H2911">
        <v>599.44635416666665</v>
      </c>
      <c r="I2911" t="s">
        <v>38</v>
      </c>
      <c r="J2911">
        <f t="shared" si="297"/>
        <v>13.21530763154027</v>
      </c>
      <c r="K2911">
        <v>6271.4601073596523</v>
      </c>
    </row>
    <row r="2912" spans="1:11" x14ac:dyDescent="0.35">
      <c r="A2912" s="1">
        <v>44013</v>
      </c>
      <c r="B2912" t="s">
        <v>7</v>
      </c>
      <c r="C2912" t="s">
        <v>38</v>
      </c>
      <c r="D2912">
        <v>9209.6451437873038</v>
      </c>
      <c r="E2912">
        <v>99897</v>
      </c>
      <c r="F2912">
        <f t="shared" si="293"/>
        <v>10.846997733391401</v>
      </c>
      <c r="G2912">
        <f t="shared" si="292"/>
        <v>492.01981718663393</v>
      </c>
      <c r="H2912">
        <v>713.9494047619047</v>
      </c>
      <c r="I2912" t="s">
        <v>38</v>
      </c>
      <c r="J2912">
        <f t="shared" si="297"/>
        <v>15.739625325438816</v>
      </c>
      <c r="K2912">
        <v>6271.4601073596523</v>
      </c>
    </row>
    <row r="2913" spans="1:11" x14ac:dyDescent="0.35">
      <c r="A2913" s="1">
        <v>44044</v>
      </c>
      <c r="B2913" t="s">
        <v>7</v>
      </c>
      <c r="C2913" t="s">
        <v>38</v>
      </c>
      <c r="D2913">
        <v>7452.0000000000009</v>
      </c>
      <c r="E2913">
        <v>89894.999999999985</v>
      </c>
      <c r="F2913">
        <f t="shared" si="293"/>
        <v>12.06320450885668</v>
      </c>
      <c r="G2913">
        <f t="shared" si="292"/>
        <v>547.18695652173903</v>
      </c>
      <c r="H2913">
        <v>874.46329365079362</v>
      </c>
      <c r="I2913" t="s">
        <v>38</v>
      </c>
      <c r="J2913">
        <f t="shared" si="297"/>
        <v>19.278291306234426</v>
      </c>
      <c r="K2913">
        <v>6271.4601073596523</v>
      </c>
    </row>
    <row r="2914" spans="1:11" x14ac:dyDescent="0.35">
      <c r="A2914" s="1">
        <v>44075</v>
      </c>
      <c r="B2914" t="s">
        <v>7</v>
      </c>
      <c r="C2914" t="s">
        <v>38</v>
      </c>
      <c r="D2914">
        <v>8520.3937115516055</v>
      </c>
      <c r="E2914">
        <v>76985.000000000015</v>
      </c>
      <c r="F2914">
        <f t="shared" si="293"/>
        <v>9.0353805946345958</v>
      </c>
      <c r="G2914">
        <f t="shared" si="292"/>
        <v>409.84486377262527</v>
      </c>
      <c r="H2914">
        <v>1131.9315476190475</v>
      </c>
      <c r="I2914" t="s">
        <v>38</v>
      </c>
      <c r="J2914">
        <f t="shared" si="297"/>
        <v>24.954399197950782</v>
      </c>
      <c r="K2914">
        <v>6271.4601073596523</v>
      </c>
    </row>
    <row r="2915" spans="1:11" x14ac:dyDescent="0.35">
      <c r="A2915" s="1">
        <v>44105</v>
      </c>
      <c r="B2915" t="s">
        <v>7</v>
      </c>
      <c r="C2915" t="s">
        <v>38</v>
      </c>
      <c r="D2915">
        <v>6645</v>
      </c>
      <c r="E2915">
        <v>74121</v>
      </c>
      <c r="F2915">
        <f t="shared" si="293"/>
        <v>11.154401805869075</v>
      </c>
      <c r="G2915">
        <f t="shared" si="292"/>
        <v>505.96366591422122</v>
      </c>
      <c r="H2915">
        <v>1138.1458333333333</v>
      </c>
      <c r="I2915" t="s">
        <v>38</v>
      </c>
      <c r="J2915">
        <f t="shared" si="297"/>
        <v>25.091398442092885</v>
      </c>
      <c r="K2915">
        <v>6271.4601073596523</v>
      </c>
    </row>
    <row r="2916" spans="1:11" x14ac:dyDescent="0.35">
      <c r="A2916" s="1">
        <v>44136</v>
      </c>
      <c r="B2916" t="s">
        <v>7</v>
      </c>
      <c r="C2916" t="s">
        <v>38</v>
      </c>
      <c r="D2916">
        <v>4820</v>
      </c>
      <c r="E2916">
        <v>55181.599999999999</v>
      </c>
      <c r="F2916">
        <f t="shared" si="293"/>
        <v>11.448464730290457</v>
      </c>
      <c r="G2916">
        <f t="shared" si="292"/>
        <v>519.30236016597507</v>
      </c>
      <c r="H2916">
        <v>1132.9702380952381</v>
      </c>
      <c r="I2916" t="s">
        <v>38</v>
      </c>
      <c r="J2916">
        <f t="shared" si="297"/>
        <v>24.977298017972622</v>
      </c>
      <c r="K2916">
        <v>6271.4601073596523</v>
      </c>
    </row>
    <row r="2917" spans="1:11" x14ac:dyDescent="0.35">
      <c r="A2917" s="1">
        <v>44166</v>
      </c>
      <c r="B2917" t="s">
        <v>7</v>
      </c>
      <c r="C2917" t="s">
        <v>38</v>
      </c>
      <c r="D2917">
        <v>9421</v>
      </c>
      <c r="E2917">
        <v>110241</v>
      </c>
      <c r="F2917">
        <f t="shared" si="293"/>
        <v>11.70162403141917</v>
      </c>
      <c r="G2917">
        <f t="shared" si="292"/>
        <v>530.78566606517359</v>
      </c>
      <c r="H2917">
        <v>1029.6319444444446</v>
      </c>
      <c r="I2917" t="s">
        <v>38</v>
      </c>
      <c r="J2917">
        <f t="shared" si="297"/>
        <v>22.699116941015092</v>
      </c>
      <c r="K2917">
        <v>6271.4601073596523</v>
      </c>
    </row>
    <row r="2918" spans="1:11" x14ac:dyDescent="0.35">
      <c r="A2918" s="1">
        <v>43831</v>
      </c>
      <c r="B2918" t="s">
        <v>8</v>
      </c>
      <c r="C2918" t="s">
        <v>38</v>
      </c>
      <c r="D2918">
        <v>9353.8616020197387</v>
      </c>
      <c r="E2918">
        <v>82144</v>
      </c>
      <c r="F2918">
        <f t="shared" si="293"/>
        <v>8.781827601796353</v>
      </c>
      <c r="G2918">
        <f t="shared" si="292"/>
        <v>398.34370001748255</v>
      </c>
      <c r="H2918">
        <v>1651.2239583333333</v>
      </c>
      <c r="I2918" t="s">
        <v>38</v>
      </c>
      <c r="J2918">
        <f t="shared" si="297"/>
        <v>36.402644584068192</v>
      </c>
      <c r="K2918">
        <v>10873.345277219329</v>
      </c>
    </row>
    <row r="2919" spans="1:11" x14ac:dyDescent="0.35">
      <c r="A2919" s="1">
        <v>43862</v>
      </c>
      <c r="B2919" t="s">
        <v>8</v>
      </c>
      <c r="C2919" t="s">
        <v>38</v>
      </c>
      <c r="D2919">
        <v>10015.425008541168</v>
      </c>
      <c r="E2919">
        <v>85243.999999999985</v>
      </c>
      <c r="F2919">
        <f t="shared" si="293"/>
        <v>8.5112713566627267</v>
      </c>
      <c r="G2919">
        <f t="shared" si="292"/>
        <v>386.07126873822131</v>
      </c>
      <c r="H2919">
        <v>1661.1796875</v>
      </c>
      <c r="I2919" t="s">
        <v>38</v>
      </c>
      <c r="J2919">
        <f t="shared" si="297"/>
        <v>36.622127149470899</v>
      </c>
      <c r="K2919">
        <v>10873.345277219329</v>
      </c>
    </row>
    <row r="2920" spans="1:11" x14ac:dyDescent="0.35">
      <c r="A2920" s="1">
        <v>43891</v>
      </c>
      <c r="B2920" t="s">
        <v>8</v>
      </c>
      <c r="C2920" t="s">
        <v>38</v>
      </c>
      <c r="D2920">
        <v>7294</v>
      </c>
      <c r="E2920">
        <v>74565.000000000015</v>
      </c>
      <c r="F2920">
        <f t="shared" si="293"/>
        <v>10.222785851384701</v>
      </c>
      <c r="G2920">
        <f t="shared" si="292"/>
        <v>463.70556621881008</v>
      </c>
      <c r="H2920">
        <v>1629.55</v>
      </c>
      <c r="I2920" t="s">
        <v>38</v>
      </c>
      <c r="J2920">
        <f t="shared" si="297"/>
        <v>35.924823633156969</v>
      </c>
      <c r="K2920">
        <v>10873.345277219329</v>
      </c>
    </row>
    <row r="2921" spans="1:11" x14ac:dyDescent="0.35">
      <c r="A2921" s="1">
        <v>43922</v>
      </c>
      <c r="B2921" t="s">
        <v>8</v>
      </c>
      <c r="C2921" t="s">
        <v>38</v>
      </c>
      <c r="D2921">
        <v>9042</v>
      </c>
      <c r="E2921">
        <v>99108.999999999971</v>
      </c>
      <c r="F2921">
        <f t="shared" si="293"/>
        <v>10.960959964609597</v>
      </c>
      <c r="G2921">
        <f t="shared" si="292"/>
        <v>497.18914399469128</v>
      </c>
      <c r="H2921">
        <v>1586.3374999999999</v>
      </c>
      <c r="I2921" t="s">
        <v>38</v>
      </c>
      <c r="J2921">
        <f t="shared" si="297"/>
        <v>34.972167107583772</v>
      </c>
      <c r="K2921">
        <v>10873.345277219329</v>
      </c>
    </row>
    <row r="2922" spans="1:11" x14ac:dyDescent="0.35">
      <c r="A2922" s="1">
        <v>43952</v>
      </c>
      <c r="B2922" t="s">
        <v>8</v>
      </c>
      <c r="C2922" t="s">
        <v>38</v>
      </c>
      <c r="D2922">
        <v>5401</v>
      </c>
      <c r="E2922">
        <v>56011</v>
      </c>
      <c r="F2922">
        <f t="shared" si="293"/>
        <v>10.370486946861693</v>
      </c>
      <c r="G2922">
        <f t="shared" si="292"/>
        <v>470.40528790964635</v>
      </c>
      <c r="H2922">
        <v>1371.404438095238</v>
      </c>
      <c r="I2922" t="s">
        <v>38</v>
      </c>
      <c r="J2922">
        <f t="shared" si="297"/>
        <v>30.233783908625178</v>
      </c>
      <c r="K2922">
        <v>10873.345277219329</v>
      </c>
    </row>
    <row r="2923" spans="1:11" x14ac:dyDescent="0.35">
      <c r="A2923" s="1">
        <v>43983</v>
      </c>
      <c r="B2923" t="s">
        <v>8</v>
      </c>
      <c r="C2923" t="s">
        <v>38</v>
      </c>
      <c r="D2923">
        <v>6998</v>
      </c>
      <c r="E2923">
        <v>51207</v>
      </c>
      <c r="F2923">
        <f t="shared" si="293"/>
        <v>7.3173763932552154</v>
      </c>
      <c r="G2923">
        <f t="shared" si="292"/>
        <v>331.91619319805659</v>
      </c>
      <c r="H2923">
        <v>1653.2738095238094</v>
      </c>
      <c r="I2923" t="s">
        <v>38</v>
      </c>
      <c r="J2923">
        <f t="shared" si="297"/>
        <v>36.44783530696229</v>
      </c>
      <c r="K2923">
        <v>10873.345277219329</v>
      </c>
    </row>
    <row r="2924" spans="1:11" x14ac:dyDescent="0.35">
      <c r="A2924" s="1">
        <v>44013</v>
      </c>
      <c r="B2924" t="s">
        <v>8</v>
      </c>
      <c r="C2924" t="s">
        <v>38</v>
      </c>
      <c r="D2924">
        <v>4521</v>
      </c>
      <c r="E2924">
        <v>43988</v>
      </c>
      <c r="F2924">
        <f t="shared" si="293"/>
        <v>9.7297058172970576</v>
      </c>
      <c r="G2924">
        <f t="shared" si="292"/>
        <v>441.33945587259456</v>
      </c>
      <c r="H2924">
        <v>2031.1979166666667</v>
      </c>
      <c r="I2924" t="s">
        <v>38</v>
      </c>
      <c r="J2924">
        <f t="shared" si="297"/>
        <v>44.779495517342738</v>
      </c>
      <c r="K2924">
        <v>10873.345277219329</v>
      </c>
    </row>
    <row r="2925" spans="1:11" x14ac:dyDescent="0.35">
      <c r="A2925" s="1">
        <v>44044</v>
      </c>
      <c r="B2925" t="s">
        <v>8</v>
      </c>
      <c r="C2925" t="s">
        <v>38</v>
      </c>
      <c r="D2925">
        <v>3998</v>
      </c>
      <c r="E2925">
        <v>33452</v>
      </c>
      <c r="F2925">
        <f t="shared" si="293"/>
        <v>8.3671835917958983</v>
      </c>
      <c r="G2925">
        <f t="shared" si="292"/>
        <v>379.53544772386192</v>
      </c>
      <c r="H2925">
        <v>2062.3541666666665</v>
      </c>
      <c r="I2925" t="s">
        <v>38</v>
      </c>
      <c r="J2925">
        <f t="shared" si="297"/>
        <v>45.466361699000586</v>
      </c>
      <c r="K2925">
        <v>10873.345277219329</v>
      </c>
    </row>
    <row r="2926" spans="1:11" x14ac:dyDescent="0.35">
      <c r="A2926" s="1">
        <v>44075</v>
      </c>
      <c r="B2926" t="s">
        <v>8</v>
      </c>
      <c r="C2926" t="s">
        <v>38</v>
      </c>
      <c r="D2926">
        <v>3596.0287769784172</v>
      </c>
      <c r="E2926">
        <v>38745</v>
      </c>
      <c r="F2926">
        <f t="shared" si="293"/>
        <v>10.774385413165602</v>
      </c>
      <c r="G2926">
        <f t="shared" si="292"/>
        <v>488.72612234119168</v>
      </c>
      <c r="H2926">
        <v>2275.1</v>
      </c>
      <c r="I2926" t="s">
        <v>38</v>
      </c>
      <c r="J2926">
        <f t="shared" si="297"/>
        <v>50.156525573192241</v>
      </c>
      <c r="K2926">
        <v>10873.345277219329</v>
      </c>
    </row>
    <row r="2927" spans="1:11" x14ac:dyDescent="0.35">
      <c r="A2927" s="1">
        <v>44105</v>
      </c>
      <c r="B2927" t="s">
        <v>8</v>
      </c>
      <c r="C2927" t="s">
        <v>38</v>
      </c>
      <c r="D2927">
        <v>1366</v>
      </c>
      <c r="E2927">
        <v>19918</v>
      </c>
      <c r="F2927">
        <f t="shared" si="293"/>
        <v>14.581259150805272</v>
      </c>
      <c r="G2927">
        <f t="shared" si="292"/>
        <v>661.40591508052717</v>
      </c>
      <c r="H2927">
        <v>2224.0749999999998</v>
      </c>
      <c r="I2927" t="s">
        <v>38</v>
      </c>
      <c r="J2927">
        <f t="shared" si="297"/>
        <v>49.031635802469133</v>
      </c>
      <c r="K2927">
        <v>10873.345277219329</v>
      </c>
    </row>
    <row r="2928" spans="1:11" x14ac:dyDescent="0.35">
      <c r="A2928" s="1">
        <v>44136</v>
      </c>
      <c r="B2928" t="s">
        <v>8</v>
      </c>
      <c r="C2928" t="s">
        <v>38</v>
      </c>
      <c r="D2928">
        <v>3770</v>
      </c>
      <c r="E2928">
        <v>49224</v>
      </c>
      <c r="F2928">
        <f t="shared" si="293"/>
        <v>13.056763925729443</v>
      </c>
      <c r="G2928">
        <f t="shared" si="292"/>
        <v>592.25481167108751</v>
      </c>
      <c r="H2928">
        <v>2144.4895833333335</v>
      </c>
      <c r="I2928" t="s">
        <v>38</v>
      </c>
      <c r="J2928">
        <f t="shared" si="297"/>
        <v>47.277107216343332</v>
      </c>
      <c r="K2928">
        <v>10873.345277219329</v>
      </c>
    </row>
    <row r="2929" spans="1:11" x14ac:dyDescent="0.35">
      <c r="A2929" s="1">
        <v>44166</v>
      </c>
      <c r="B2929" t="s">
        <v>8</v>
      </c>
      <c r="C2929" t="s">
        <v>38</v>
      </c>
      <c r="D2929">
        <v>2899</v>
      </c>
      <c r="E2929">
        <v>33874</v>
      </c>
      <c r="F2929">
        <f t="shared" si="293"/>
        <v>11.68471886857537</v>
      </c>
      <c r="G2929">
        <f t="shared" si="292"/>
        <v>530.01884787857875</v>
      </c>
      <c r="H2929">
        <v>2148.625</v>
      </c>
      <c r="I2929" t="s">
        <v>38</v>
      </c>
      <c r="J2929">
        <f t="shared" si="297"/>
        <v>47.368276014109348</v>
      </c>
      <c r="K2929">
        <v>10873.345277219329</v>
      </c>
    </row>
    <row r="2930" spans="1:11" x14ac:dyDescent="0.35">
      <c r="A2930" s="1">
        <v>43831</v>
      </c>
      <c r="B2930" t="s">
        <v>9</v>
      </c>
      <c r="C2930" t="s">
        <v>38</v>
      </c>
      <c r="D2930">
        <v>5102</v>
      </c>
      <c r="E2930">
        <v>144598.00000000003</v>
      </c>
      <c r="F2930">
        <f t="shared" si="293"/>
        <v>28.341434731477857</v>
      </c>
      <c r="G2930">
        <f t="shared" si="292"/>
        <v>1285.5674794198355</v>
      </c>
      <c r="H2930">
        <v>1242.75</v>
      </c>
      <c r="I2930" t="s">
        <v>38</v>
      </c>
      <c r="J2930">
        <f t="shared" si="297"/>
        <v>27.397486772486772</v>
      </c>
      <c r="K2930">
        <v>28931.455637376974</v>
      </c>
    </row>
    <row r="2931" spans="1:11" x14ac:dyDescent="0.35">
      <c r="A2931" s="1">
        <v>43862</v>
      </c>
      <c r="B2931" t="s">
        <v>9</v>
      </c>
      <c r="C2931" t="s">
        <v>38</v>
      </c>
      <c r="D2931">
        <v>5598</v>
      </c>
      <c r="E2931">
        <v>216478.99999999959</v>
      </c>
      <c r="F2931">
        <f t="shared" si="293"/>
        <v>38.670775276884527</v>
      </c>
      <c r="G2931">
        <f t="shared" si="292"/>
        <v>1754.106366559482</v>
      </c>
      <c r="H2931">
        <v>972.91666666666663</v>
      </c>
      <c r="I2931" t="s">
        <v>38</v>
      </c>
      <c r="J2931">
        <f t="shared" si="297"/>
        <v>21.448780129335685</v>
      </c>
      <c r="K2931">
        <v>28931.455637376974</v>
      </c>
    </row>
    <row r="2932" spans="1:11" x14ac:dyDescent="0.35">
      <c r="A2932" s="1">
        <v>43891</v>
      </c>
      <c r="B2932" t="s">
        <v>9</v>
      </c>
      <c r="C2932" t="s">
        <v>38</v>
      </c>
      <c r="D2932">
        <v>4813</v>
      </c>
      <c r="E2932">
        <v>218259.99999999997</v>
      </c>
      <c r="F2932">
        <f t="shared" si="293"/>
        <v>45.34801579056721</v>
      </c>
      <c r="G2932">
        <f t="shared" ref="G2932:G2995" si="298">F2932*45.36</f>
        <v>2056.9859962601286</v>
      </c>
      <c r="H2932">
        <v>1037.5</v>
      </c>
      <c r="I2932" t="s">
        <v>38</v>
      </c>
      <c r="J2932">
        <f t="shared" si="297"/>
        <v>22.872574955908288</v>
      </c>
      <c r="K2932">
        <v>28931.455637376974</v>
      </c>
    </row>
    <row r="2933" spans="1:11" x14ac:dyDescent="0.35">
      <c r="A2933" s="1">
        <v>43922</v>
      </c>
      <c r="B2933" t="s">
        <v>9</v>
      </c>
      <c r="C2933" t="s">
        <v>38</v>
      </c>
      <c r="D2933">
        <v>3970.0000000000023</v>
      </c>
      <c r="E2933">
        <v>167243</v>
      </c>
      <c r="F2933">
        <f t="shared" si="293"/>
        <v>42.126700251889147</v>
      </c>
      <c r="G2933">
        <f t="shared" si="298"/>
        <v>1910.8671234256917</v>
      </c>
      <c r="H2933">
        <v>1036.56</v>
      </c>
      <c r="I2933" t="s">
        <v>38</v>
      </c>
      <c r="J2933">
        <f t="shared" si="297"/>
        <v>22.851851851851851</v>
      </c>
      <c r="K2933">
        <v>28931.455637376974</v>
      </c>
    </row>
    <row r="2934" spans="1:11" x14ac:dyDescent="0.35">
      <c r="A2934" s="1">
        <v>43952</v>
      </c>
      <c r="B2934" t="s">
        <v>9</v>
      </c>
      <c r="C2934" t="s">
        <v>38</v>
      </c>
      <c r="D2934">
        <v>4914</v>
      </c>
      <c r="E2934">
        <v>188645</v>
      </c>
      <c r="F2934">
        <f t="shared" ref="F2934:F2997" si="299">E2934/D2934</f>
        <v>38.389295889295887</v>
      </c>
      <c r="G2934">
        <f t="shared" si="298"/>
        <v>1741.3384615384614</v>
      </c>
      <c r="H2934">
        <v>1275</v>
      </c>
      <c r="I2934" t="s">
        <v>38</v>
      </c>
      <c r="J2934">
        <f t="shared" si="297"/>
        <v>28.108465608465607</v>
      </c>
      <c r="K2934">
        <v>28931.455637376974</v>
      </c>
    </row>
    <row r="2935" spans="1:11" x14ac:dyDescent="0.35">
      <c r="A2935" s="1">
        <v>43983</v>
      </c>
      <c r="B2935" t="s">
        <v>9</v>
      </c>
      <c r="C2935" t="s">
        <v>38</v>
      </c>
      <c r="D2935">
        <v>4158</v>
      </c>
      <c r="E2935">
        <v>159241</v>
      </c>
      <c r="F2935">
        <f t="shared" si="299"/>
        <v>38.297498797498797</v>
      </c>
      <c r="G2935">
        <f t="shared" si="298"/>
        <v>1737.1745454545453</v>
      </c>
      <c r="H2935">
        <v>1059.375</v>
      </c>
      <c r="I2935" t="s">
        <v>38</v>
      </c>
      <c r="J2935">
        <f t="shared" si="297"/>
        <v>23.354828042328041</v>
      </c>
      <c r="K2935">
        <v>28931.455637376974</v>
      </c>
    </row>
    <row r="2936" spans="1:11" x14ac:dyDescent="0.35">
      <c r="A2936" s="1">
        <v>44013</v>
      </c>
      <c r="B2936" t="s">
        <v>9</v>
      </c>
      <c r="C2936" t="s">
        <v>38</v>
      </c>
      <c r="D2936">
        <v>3400</v>
      </c>
      <c r="E2936">
        <v>119856.99999999999</v>
      </c>
      <c r="F2936">
        <f t="shared" si="299"/>
        <v>35.25205882352941</v>
      </c>
      <c r="G2936">
        <f t="shared" si="298"/>
        <v>1599.0333882352941</v>
      </c>
      <c r="H2936">
        <v>1187.5</v>
      </c>
      <c r="I2936" t="s">
        <v>38</v>
      </c>
      <c r="J2936">
        <f t="shared" si="297"/>
        <v>26.179453262786595</v>
      </c>
      <c r="K2936">
        <v>28931.455637376974</v>
      </c>
    </row>
    <row r="2937" spans="1:11" x14ac:dyDescent="0.35">
      <c r="A2937" s="1">
        <v>44044</v>
      </c>
      <c r="B2937" t="s">
        <v>9</v>
      </c>
      <c r="C2937" t="s">
        <v>38</v>
      </c>
      <c r="D2937">
        <v>4225</v>
      </c>
      <c r="E2937">
        <v>160154</v>
      </c>
      <c r="F2937">
        <f t="shared" si="299"/>
        <v>37.90627218934911</v>
      </c>
      <c r="G2937">
        <f t="shared" si="298"/>
        <v>1719.4285065088757</v>
      </c>
      <c r="H2937">
        <v>1230.1666666666667</v>
      </c>
      <c r="I2937" t="s">
        <v>38</v>
      </c>
      <c r="J2937">
        <f t="shared" si="297"/>
        <v>27.120076425631982</v>
      </c>
      <c r="K2937">
        <v>28931.455637376974</v>
      </c>
    </row>
    <row r="2938" spans="1:11" x14ac:dyDescent="0.35">
      <c r="A2938" s="1">
        <v>44075</v>
      </c>
      <c r="B2938" t="s">
        <v>9</v>
      </c>
      <c r="C2938" t="s">
        <v>38</v>
      </c>
      <c r="D2938">
        <v>3652.3120622568094</v>
      </c>
      <c r="E2938">
        <v>191254.00000000003</v>
      </c>
      <c r="F2938">
        <f t="shared" si="299"/>
        <v>52.365185871281156</v>
      </c>
      <c r="G2938">
        <f t="shared" si="298"/>
        <v>2375.2848311213133</v>
      </c>
      <c r="H2938">
        <v>1209</v>
      </c>
      <c r="I2938" t="s">
        <v>38</v>
      </c>
      <c r="J2938">
        <f t="shared" si="297"/>
        <v>26.653439153439155</v>
      </c>
      <c r="K2938">
        <v>28931.455637376974</v>
      </c>
    </row>
    <row r="2939" spans="1:11" x14ac:dyDescent="0.35">
      <c r="A2939" s="1">
        <v>44105</v>
      </c>
      <c r="B2939" t="s">
        <v>9</v>
      </c>
      <c r="C2939" t="s">
        <v>38</v>
      </c>
      <c r="D2939">
        <v>2966</v>
      </c>
      <c r="E2939">
        <v>148108</v>
      </c>
      <c r="F2939">
        <f t="shared" si="299"/>
        <v>49.935266351989213</v>
      </c>
      <c r="G2939">
        <f t="shared" si="298"/>
        <v>2265.0636817262307</v>
      </c>
      <c r="H2939">
        <v>1189.7222222222224</v>
      </c>
      <c r="I2939" t="s">
        <v>38</v>
      </c>
      <c r="J2939">
        <f t="shared" si="297"/>
        <v>26.228444052518132</v>
      </c>
      <c r="K2939">
        <v>28931.455637376974</v>
      </c>
    </row>
    <row r="2940" spans="1:11" x14ac:dyDescent="0.35">
      <c r="A2940" s="1">
        <v>44136</v>
      </c>
      <c r="B2940" t="s">
        <v>9</v>
      </c>
      <c r="C2940" t="s">
        <v>38</v>
      </c>
      <c r="D2940">
        <v>7638</v>
      </c>
      <c r="E2940">
        <v>105020</v>
      </c>
      <c r="F2940">
        <f t="shared" si="299"/>
        <v>13.749672689185651</v>
      </c>
      <c r="G2940">
        <f t="shared" si="298"/>
        <v>623.68515318146115</v>
      </c>
      <c r="H2940">
        <v>1225</v>
      </c>
      <c r="I2940" t="s">
        <v>38</v>
      </c>
      <c r="J2940">
        <f t="shared" si="297"/>
        <v>27.006172839506174</v>
      </c>
      <c r="K2940">
        <v>28931.455637376974</v>
      </c>
    </row>
    <row r="2941" spans="1:11" x14ac:dyDescent="0.35">
      <c r="A2941" s="1">
        <v>44166</v>
      </c>
      <c r="B2941" t="s">
        <v>9</v>
      </c>
      <c r="C2941" t="s">
        <v>38</v>
      </c>
      <c r="D2941">
        <v>2754</v>
      </c>
      <c r="E2941">
        <v>145987</v>
      </c>
      <c r="F2941">
        <f t="shared" si="299"/>
        <v>53.009077705156137</v>
      </c>
      <c r="G2941">
        <f t="shared" si="298"/>
        <v>2404.4917647058824</v>
      </c>
      <c r="H2941">
        <v>1402.625</v>
      </c>
      <c r="I2941" t="s">
        <v>38</v>
      </c>
      <c r="J2941">
        <f t="shared" si="297"/>
        <v>30.92206790123457</v>
      </c>
      <c r="K2941">
        <v>28931.455637376974</v>
      </c>
    </row>
    <row r="2942" spans="1:11" x14ac:dyDescent="0.35">
      <c r="A2942" s="1">
        <v>43831</v>
      </c>
      <c r="B2942" t="s">
        <v>10</v>
      </c>
      <c r="C2942" t="s">
        <v>38</v>
      </c>
      <c r="D2942">
        <v>5758</v>
      </c>
      <c r="E2942">
        <v>66540.999999999985</v>
      </c>
      <c r="F2942">
        <f t="shared" si="299"/>
        <v>11.556269538034037</v>
      </c>
      <c r="G2942">
        <f t="shared" si="298"/>
        <v>524.19238624522393</v>
      </c>
      <c r="H2942">
        <v>3077.6488095238096</v>
      </c>
      <c r="I2942" t="s">
        <v>38</v>
      </c>
      <c r="J2942">
        <f t="shared" si="297"/>
        <v>67.849400562694214</v>
      </c>
      <c r="K2942">
        <v>8997.8297362085195</v>
      </c>
    </row>
    <row r="2943" spans="1:11" x14ac:dyDescent="0.35">
      <c r="A2943" s="1">
        <v>43862</v>
      </c>
      <c r="B2943" t="s">
        <v>10</v>
      </c>
      <c r="C2943" t="s">
        <v>38</v>
      </c>
      <c r="D2943">
        <v>7623.9999999999991</v>
      </c>
      <c r="E2943">
        <v>67451</v>
      </c>
      <c r="F2943">
        <f t="shared" si="299"/>
        <v>8.8471930745015754</v>
      </c>
      <c r="G2943">
        <f t="shared" si="298"/>
        <v>401.30867785939148</v>
      </c>
      <c r="H2943">
        <v>3060.1369791666666</v>
      </c>
      <c r="I2943" t="s">
        <v>38</v>
      </c>
      <c r="J2943">
        <f t="shared" si="297"/>
        <v>67.463337283215751</v>
      </c>
      <c r="K2943">
        <v>8997.8297362085195</v>
      </c>
    </row>
    <row r="2944" spans="1:11" x14ac:dyDescent="0.35">
      <c r="A2944" s="1">
        <v>43891</v>
      </c>
      <c r="B2944" t="s">
        <v>10</v>
      </c>
      <c r="C2944" t="s">
        <v>38</v>
      </c>
      <c r="D2944">
        <v>6086.9999999999991</v>
      </c>
      <c r="E2944">
        <v>51391</v>
      </c>
      <c r="F2944">
        <f t="shared" si="299"/>
        <v>8.4427468375225896</v>
      </c>
      <c r="G2944">
        <f t="shared" si="298"/>
        <v>382.96299655002468</v>
      </c>
      <c r="H2944">
        <v>3166.9625000000001</v>
      </c>
      <c r="I2944" t="s">
        <v>38</v>
      </c>
      <c r="J2944">
        <f t="shared" si="297"/>
        <v>69.818397266313937</v>
      </c>
      <c r="K2944">
        <v>8997.8297362085195</v>
      </c>
    </row>
    <row r="2945" spans="1:11" x14ac:dyDescent="0.35">
      <c r="A2945" s="1">
        <v>43922</v>
      </c>
      <c r="B2945" t="s">
        <v>10</v>
      </c>
      <c r="C2945" t="s">
        <v>38</v>
      </c>
      <c r="D2945">
        <v>6659</v>
      </c>
      <c r="E2945">
        <v>64189.000000000007</v>
      </c>
      <c r="F2945">
        <f t="shared" si="299"/>
        <v>9.6394353506532529</v>
      </c>
      <c r="G2945">
        <f t="shared" si="298"/>
        <v>437.24478750563156</v>
      </c>
      <c r="H2945">
        <v>2747.0555555555561</v>
      </c>
      <c r="I2945" t="s">
        <v>38</v>
      </c>
      <c r="J2945">
        <f t="shared" si="297"/>
        <v>60.561189496374695</v>
      </c>
      <c r="K2945">
        <v>8997.8297362085195</v>
      </c>
    </row>
    <row r="2946" spans="1:11" x14ac:dyDescent="0.35">
      <c r="A2946" s="1">
        <v>43952</v>
      </c>
      <c r="B2946" t="s">
        <v>10</v>
      </c>
      <c r="C2946" t="s">
        <v>38</v>
      </c>
      <c r="D2946">
        <v>6254</v>
      </c>
      <c r="E2946">
        <v>41553</v>
      </c>
      <c r="F2946">
        <f t="shared" si="299"/>
        <v>6.6442276942756635</v>
      </c>
      <c r="G2946">
        <f t="shared" si="298"/>
        <v>301.38216821234408</v>
      </c>
      <c r="H2946">
        <v>2740.5949047619047</v>
      </c>
      <c r="I2946" t="s">
        <v>38</v>
      </c>
      <c r="J2946">
        <f t="shared" si="297"/>
        <v>60.418758923322414</v>
      </c>
      <c r="K2946">
        <v>8997.8297362085195</v>
      </c>
    </row>
    <row r="2947" spans="1:11" x14ac:dyDescent="0.35">
      <c r="A2947" s="1">
        <v>43983</v>
      </c>
      <c r="B2947" t="s">
        <v>10</v>
      </c>
      <c r="C2947" t="s">
        <v>38</v>
      </c>
      <c r="D2947">
        <v>6601.0000000000009</v>
      </c>
      <c r="E2947">
        <v>63854.999999999993</v>
      </c>
      <c r="F2947">
        <f t="shared" si="299"/>
        <v>9.6735343129828788</v>
      </c>
      <c r="G2947">
        <f t="shared" si="298"/>
        <v>438.79151643690335</v>
      </c>
      <c r="H2947">
        <v>2618.63375</v>
      </c>
      <c r="I2947" t="s">
        <v>38</v>
      </c>
      <c r="J2947">
        <f t="shared" si="297"/>
        <v>57.730020943562607</v>
      </c>
      <c r="K2947">
        <v>8997.8297362085195</v>
      </c>
    </row>
    <row r="2948" spans="1:11" x14ac:dyDescent="0.35">
      <c r="A2948" s="1">
        <v>44013</v>
      </c>
      <c r="B2948" t="s">
        <v>10</v>
      </c>
      <c r="C2948" t="s">
        <v>38</v>
      </c>
      <c r="D2948">
        <v>6520</v>
      </c>
      <c r="E2948">
        <v>61058</v>
      </c>
      <c r="F2948">
        <f t="shared" si="299"/>
        <v>9.3647239263803677</v>
      </c>
      <c r="G2948">
        <f t="shared" si="298"/>
        <v>424.78387730061348</v>
      </c>
      <c r="H2948">
        <v>2635.6600694444446</v>
      </c>
      <c r="I2948" t="s">
        <v>38</v>
      </c>
      <c r="J2948">
        <f t="shared" si="297"/>
        <v>58.105380719674706</v>
      </c>
      <c r="K2948">
        <v>8997.8297362085195</v>
      </c>
    </row>
    <row r="2949" spans="1:11" x14ac:dyDescent="0.35">
      <c r="A2949" s="1">
        <v>44044</v>
      </c>
      <c r="B2949" t="s">
        <v>10</v>
      </c>
      <c r="C2949" t="s">
        <v>38</v>
      </c>
      <c r="D2949">
        <v>4878</v>
      </c>
      <c r="E2949">
        <v>51241</v>
      </c>
      <c r="F2949">
        <f t="shared" si="299"/>
        <v>10.504510045100451</v>
      </c>
      <c r="G2949">
        <f t="shared" si="298"/>
        <v>476.48457564575648</v>
      </c>
      <c r="H2949">
        <v>2628.0793750000003</v>
      </c>
      <c r="I2949" t="s">
        <v>38</v>
      </c>
      <c r="J2949">
        <f t="shared" si="297"/>
        <v>57.938257826278665</v>
      </c>
      <c r="K2949">
        <v>8997.8297362085195</v>
      </c>
    </row>
    <row r="2950" spans="1:11" x14ac:dyDescent="0.35">
      <c r="A2950" s="1">
        <v>44075</v>
      </c>
      <c r="B2950" t="s">
        <v>10</v>
      </c>
      <c r="C2950" t="s">
        <v>38</v>
      </c>
      <c r="D2950">
        <v>4489</v>
      </c>
      <c r="E2950">
        <v>43998</v>
      </c>
      <c r="F2950">
        <f t="shared" si="299"/>
        <v>9.8012920472265534</v>
      </c>
      <c r="G2950">
        <f t="shared" si="298"/>
        <v>444.58660726219648</v>
      </c>
      <c r="H2950">
        <v>2710.666666666667</v>
      </c>
      <c r="I2950" t="s">
        <v>38</v>
      </c>
      <c r="J2950">
        <f t="shared" si="297"/>
        <v>59.758965314520879</v>
      </c>
      <c r="K2950">
        <v>8997.8297362085195</v>
      </c>
    </row>
    <row r="2951" spans="1:11" x14ac:dyDescent="0.35">
      <c r="A2951" s="1">
        <v>44105</v>
      </c>
      <c r="B2951" t="s">
        <v>10</v>
      </c>
      <c r="C2951" t="s">
        <v>38</v>
      </c>
      <c r="D2951">
        <v>5788</v>
      </c>
      <c r="E2951">
        <v>60610</v>
      </c>
      <c r="F2951">
        <f t="shared" si="299"/>
        <v>10.471665514858328</v>
      </c>
      <c r="G2951">
        <f t="shared" si="298"/>
        <v>474.99474775397374</v>
      </c>
      <c r="H2951">
        <v>3134.9732142857142</v>
      </c>
      <c r="I2951" t="s">
        <v>38</v>
      </c>
      <c r="J2951">
        <f t="shared" si="297"/>
        <v>69.113166099773238</v>
      </c>
      <c r="K2951">
        <v>8997.8297362085195</v>
      </c>
    </row>
    <row r="2952" spans="1:11" x14ac:dyDescent="0.35">
      <c r="A2952" s="1">
        <v>44136</v>
      </c>
      <c r="B2952" t="s">
        <v>10</v>
      </c>
      <c r="C2952" t="s">
        <v>38</v>
      </c>
      <c r="D2952">
        <v>7761</v>
      </c>
      <c r="E2952">
        <v>127544</v>
      </c>
      <c r="F2952">
        <f t="shared" si="299"/>
        <v>16.433964695271229</v>
      </c>
      <c r="G2952">
        <f t="shared" si="298"/>
        <v>745.44463857750293</v>
      </c>
      <c r="H2952">
        <v>3293.0416666666665</v>
      </c>
      <c r="I2952" t="s">
        <v>38</v>
      </c>
      <c r="J2952">
        <f t="shared" si="297"/>
        <v>72.59792034097589</v>
      </c>
      <c r="K2952">
        <v>8997.8297362085195</v>
      </c>
    </row>
    <row r="2953" spans="1:11" x14ac:dyDescent="0.35">
      <c r="A2953" s="1">
        <v>44166</v>
      </c>
      <c r="B2953" t="s">
        <v>10</v>
      </c>
      <c r="C2953" t="s">
        <v>38</v>
      </c>
      <c r="D2953">
        <v>7899</v>
      </c>
      <c r="E2953">
        <v>99899</v>
      </c>
      <c r="F2953">
        <f t="shared" si="299"/>
        <v>12.647043929611343</v>
      </c>
      <c r="G2953">
        <f t="shared" si="298"/>
        <v>573.66991264717046</v>
      </c>
      <c r="H2953">
        <v>3348.5803571428573</v>
      </c>
      <c r="I2953" t="s">
        <v>38</v>
      </c>
      <c r="J2953">
        <f t="shared" si="297"/>
        <v>73.822318279163525</v>
      </c>
      <c r="K2953">
        <v>8997.8297362085195</v>
      </c>
    </row>
    <row r="2954" spans="1:11" x14ac:dyDescent="0.35">
      <c r="A2954" s="1">
        <v>43831</v>
      </c>
      <c r="B2954" t="s">
        <v>11</v>
      </c>
      <c r="C2954" t="s">
        <v>38</v>
      </c>
      <c r="D2954">
        <v>26583.999999999996</v>
      </c>
      <c r="E2954">
        <v>279985</v>
      </c>
      <c r="F2954">
        <f t="shared" si="299"/>
        <v>10.53208696960578</v>
      </c>
      <c r="G2954">
        <f t="shared" si="298"/>
        <v>477.73546494131818</v>
      </c>
      <c r="H2954">
        <v>741.01208333333329</v>
      </c>
      <c r="I2954" t="s">
        <v>38</v>
      </c>
      <c r="J2954">
        <f t="shared" si="297"/>
        <v>16.336245223398002</v>
      </c>
      <c r="K2954">
        <v>5060.839452309232</v>
      </c>
    </row>
    <row r="2955" spans="1:11" x14ac:dyDescent="0.35">
      <c r="A2955" s="1">
        <v>43862</v>
      </c>
      <c r="B2955" t="s">
        <v>11</v>
      </c>
      <c r="C2955" t="s">
        <v>38</v>
      </c>
      <c r="D2955">
        <v>36021</v>
      </c>
      <c r="E2955">
        <v>410211.00000000006</v>
      </c>
      <c r="F2955">
        <f t="shared" si="299"/>
        <v>11.388106937619723</v>
      </c>
      <c r="G2955">
        <f t="shared" si="298"/>
        <v>516.56453069043062</v>
      </c>
      <c r="H2955">
        <v>679.49726562500007</v>
      </c>
      <c r="I2955" t="s">
        <v>38</v>
      </c>
      <c r="J2955">
        <f t="shared" si="297"/>
        <v>14.980098448522929</v>
      </c>
      <c r="K2955">
        <v>5060.839452309232</v>
      </c>
    </row>
    <row r="2956" spans="1:11" x14ac:dyDescent="0.35">
      <c r="A2956" s="1">
        <v>43891</v>
      </c>
      <c r="B2956" t="s">
        <v>11</v>
      </c>
      <c r="C2956" t="s">
        <v>38</v>
      </c>
      <c r="D2956">
        <v>27496.332630238758</v>
      </c>
      <c r="E2956">
        <v>289566</v>
      </c>
      <c r="F2956">
        <f t="shared" si="299"/>
        <v>10.531077140140257</v>
      </c>
      <c r="G2956">
        <f t="shared" si="298"/>
        <v>477.68965907676204</v>
      </c>
      <c r="H2956">
        <v>675.42866666666669</v>
      </c>
      <c r="I2956" t="s">
        <v>38</v>
      </c>
      <c r="J2956">
        <f t="shared" si="297"/>
        <v>14.890402704291594</v>
      </c>
      <c r="K2956">
        <v>5060.839452309232</v>
      </c>
    </row>
    <row r="2957" spans="1:11" x14ac:dyDescent="0.35">
      <c r="A2957" s="1">
        <v>43922</v>
      </c>
      <c r="B2957" t="s">
        <v>11</v>
      </c>
      <c r="C2957" t="s">
        <v>38</v>
      </c>
      <c r="D2957">
        <v>30434.999999999996</v>
      </c>
      <c r="E2957">
        <v>295287.00000000006</v>
      </c>
      <c r="F2957">
        <f t="shared" si="299"/>
        <v>9.7022178413011364</v>
      </c>
      <c r="G2957">
        <f t="shared" si="298"/>
        <v>440.09260128141955</v>
      </c>
      <c r="H2957">
        <v>668.10702380952375</v>
      </c>
      <c r="I2957" t="s">
        <v>38</v>
      </c>
      <c r="J2957">
        <f t="shared" si="297"/>
        <v>14.728990824724951</v>
      </c>
      <c r="K2957">
        <v>5060.839452309232</v>
      </c>
    </row>
    <row r="2958" spans="1:11" x14ac:dyDescent="0.35">
      <c r="A2958" s="1">
        <v>43952</v>
      </c>
      <c r="B2958" t="s">
        <v>11</v>
      </c>
      <c r="C2958" t="s">
        <v>38</v>
      </c>
      <c r="D2958">
        <v>26214</v>
      </c>
      <c r="E2958">
        <v>288745</v>
      </c>
      <c r="F2958">
        <f t="shared" si="299"/>
        <v>11.014915693904021</v>
      </c>
      <c r="G2958">
        <f t="shared" si="298"/>
        <v>499.63657587548636</v>
      </c>
      <c r="H2958">
        <v>646.44787037037031</v>
      </c>
      <c r="I2958" t="s">
        <v>38</v>
      </c>
      <c r="J2958">
        <f t="shared" si="297"/>
        <v>14.251496260369716</v>
      </c>
      <c r="K2958">
        <v>5060.839452309232</v>
      </c>
    </row>
    <row r="2959" spans="1:11" x14ac:dyDescent="0.35">
      <c r="A2959" s="1">
        <v>43983</v>
      </c>
      <c r="B2959" t="s">
        <v>11</v>
      </c>
      <c r="C2959" t="s">
        <v>38</v>
      </c>
      <c r="D2959">
        <v>38965</v>
      </c>
      <c r="E2959">
        <v>377341</v>
      </c>
      <c r="F2959">
        <f t="shared" si="299"/>
        <v>9.6841011163865005</v>
      </c>
      <c r="G2959">
        <f t="shared" si="298"/>
        <v>439.27082663929167</v>
      </c>
      <c r="H2959">
        <v>620.76052083333332</v>
      </c>
      <c r="I2959" t="s">
        <v>38</v>
      </c>
      <c r="J2959">
        <f t="shared" ref="J2959:J2989" si="300">H2959/45.36</f>
        <v>13.685196667401529</v>
      </c>
      <c r="K2959">
        <v>5060.839452309232</v>
      </c>
    </row>
    <row r="2960" spans="1:11" x14ac:dyDescent="0.35">
      <c r="A2960" s="1">
        <v>44013</v>
      </c>
      <c r="B2960" t="s">
        <v>11</v>
      </c>
      <c r="C2960" t="s">
        <v>38</v>
      </c>
      <c r="D2960">
        <v>30100.000000000004</v>
      </c>
      <c r="E2960">
        <v>301982</v>
      </c>
      <c r="F2960">
        <f t="shared" si="299"/>
        <v>10.032624584717606</v>
      </c>
      <c r="G2960">
        <f t="shared" si="298"/>
        <v>455.07985116279059</v>
      </c>
      <c r="H2960">
        <v>600.5078125</v>
      </c>
      <c r="I2960" t="s">
        <v>38</v>
      </c>
      <c r="J2960">
        <f t="shared" si="300"/>
        <v>13.238708388447971</v>
      </c>
      <c r="K2960">
        <v>5060.839452309232</v>
      </c>
    </row>
    <row r="2961" spans="1:11" x14ac:dyDescent="0.35">
      <c r="A2961" s="1">
        <v>44044</v>
      </c>
      <c r="B2961" t="s">
        <v>11</v>
      </c>
      <c r="C2961" t="s">
        <v>38</v>
      </c>
      <c r="D2961">
        <v>32185.000000000004</v>
      </c>
      <c r="E2961">
        <v>333508.99999999994</v>
      </c>
      <c r="F2961">
        <f t="shared" si="299"/>
        <v>10.362249495106413</v>
      </c>
      <c r="G2961">
        <f t="shared" si="298"/>
        <v>470.03163709802686</v>
      </c>
      <c r="H2961">
        <v>634.7577380952381</v>
      </c>
      <c r="I2961" t="s">
        <v>38</v>
      </c>
      <c r="J2961">
        <f t="shared" si="300"/>
        <v>13.993777294868565</v>
      </c>
      <c r="K2961">
        <v>5060.839452309232</v>
      </c>
    </row>
    <row r="2962" spans="1:11" x14ac:dyDescent="0.35">
      <c r="A2962" s="1">
        <v>44075</v>
      </c>
      <c r="B2962" t="s">
        <v>11</v>
      </c>
      <c r="C2962" t="s">
        <v>38</v>
      </c>
      <c r="D2962">
        <v>29145.000000000004</v>
      </c>
      <c r="E2962">
        <v>339854.00000000006</v>
      </c>
      <c r="F2962">
        <f t="shared" si="299"/>
        <v>11.660799451020759</v>
      </c>
      <c r="G2962">
        <f t="shared" si="298"/>
        <v>528.93386309830169</v>
      </c>
      <c r="H2962">
        <v>664.65083333333325</v>
      </c>
      <c r="I2962" t="s">
        <v>38</v>
      </c>
      <c r="J2962">
        <f t="shared" si="300"/>
        <v>14.652796149323926</v>
      </c>
      <c r="K2962">
        <v>5060.839452309232</v>
      </c>
    </row>
    <row r="2963" spans="1:11" x14ac:dyDescent="0.35">
      <c r="A2963" s="1">
        <v>44105</v>
      </c>
      <c r="B2963" t="s">
        <v>11</v>
      </c>
      <c r="C2963" t="s">
        <v>38</v>
      </c>
      <c r="D2963">
        <v>23496</v>
      </c>
      <c r="E2963">
        <v>274814</v>
      </c>
      <c r="F2963">
        <f t="shared" si="299"/>
        <v>11.696203609124957</v>
      </c>
      <c r="G2963">
        <f t="shared" si="298"/>
        <v>530.53979570990805</v>
      </c>
      <c r="H2963">
        <v>605.51339285714289</v>
      </c>
      <c r="I2963" t="s">
        <v>38</v>
      </c>
      <c r="J2963">
        <f t="shared" si="300"/>
        <v>13.349060689090452</v>
      </c>
      <c r="K2963">
        <v>5060.839452309232</v>
      </c>
    </row>
    <row r="2964" spans="1:11" x14ac:dyDescent="0.35">
      <c r="A2964" s="1">
        <v>44136</v>
      </c>
      <c r="B2964" t="s">
        <v>11</v>
      </c>
      <c r="C2964" t="s">
        <v>38</v>
      </c>
      <c r="D2964">
        <v>23757</v>
      </c>
      <c r="E2964">
        <v>283045</v>
      </c>
      <c r="F2964">
        <f t="shared" si="299"/>
        <v>11.914172664898766</v>
      </c>
      <c r="G2964">
        <f t="shared" si="298"/>
        <v>540.42687207980805</v>
      </c>
      <c r="H2964">
        <v>596.83604166666669</v>
      </c>
      <c r="I2964" t="s">
        <v>38</v>
      </c>
      <c r="J2964">
        <f t="shared" si="300"/>
        <v>13.157761059670783</v>
      </c>
      <c r="K2964">
        <v>5060.839452309232</v>
      </c>
    </row>
    <row r="2965" spans="1:11" x14ac:dyDescent="0.35">
      <c r="A2965" s="1">
        <v>44166</v>
      </c>
      <c r="B2965" t="s">
        <v>11</v>
      </c>
      <c r="C2965" t="s">
        <v>38</v>
      </c>
      <c r="D2965">
        <v>19685</v>
      </c>
      <c r="E2965">
        <v>221118</v>
      </c>
      <c r="F2965">
        <f t="shared" si="299"/>
        <v>11.232816865633731</v>
      </c>
      <c r="G2965">
        <f t="shared" si="298"/>
        <v>509.52057302514606</v>
      </c>
      <c r="H2965">
        <v>614.22023809523819</v>
      </c>
      <c r="I2965" t="s">
        <v>38</v>
      </c>
      <c r="J2965">
        <f t="shared" si="300"/>
        <v>13.541010540018478</v>
      </c>
      <c r="K2965">
        <v>5060.839452309232</v>
      </c>
    </row>
    <row r="2966" spans="1:11" x14ac:dyDescent="0.35">
      <c r="A2966" s="1">
        <v>43831</v>
      </c>
      <c r="B2966" t="s">
        <v>12</v>
      </c>
      <c r="C2966" t="s">
        <v>38</v>
      </c>
      <c r="D2966">
        <v>13753.999999999998</v>
      </c>
      <c r="E2966">
        <v>88954</v>
      </c>
      <c r="F2966">
        <f t="shared" si="299"/>
        <v>6.4675003635306103</v>
      </c>
      <c r="G2966">
        <f t="shared" si="298"/>
        <v>293.36581648974845</v>
      </c>
      <c r="H2966">
        <v>795.64761904761906</v>
      </c>
      <c r="I2966" t="s">
        <v>38</v>
      </c>
      <c r="J2966">
        <f t="shared" si="300"/>
        <v>17.540732342319643</v>
      </c>
      <c r="K2966">
        <v>1789.8439852691176</v>
      </c>
    </row>
    <row r="2967" spans="1:11" x14ac:dyDescent="0.35">
      <c r="A2967" s="1">
        <v>43862</v>
      </c>
      <c r="B2967" t="s">
        <v>12</v>
      </c>
      <c r="C2967" t="s">
        <v>38</v>
      </c>
      <c r="D2967">
        <v>12324.452120246866</v>
      </c>
      <c r="E2967">
        <v>87405</v>
      </c>
      <c r="F2967">
        <f t="shared" si="299"/>
        <v>7.0919988286058775</v>
      </c>
      <c r="G2967">
        <f t="shared" si="298"/>
        <v>321.69306686556257</v>
      </c>
      <c r="H2967">
        <v>784.38802083333326</v>
      </c>
      <c r="I2967" t="s">
        <v>38</v>
      </c>
      <c r="J2967">
        <f t="shared" si="300"/>
        <v>17.292504868459726</v>
      </c>
      <c r="K2967">
        <v>1789.8439852691176</v>
      </c>
    </row>
    <row r="2968" spans="1:11" x14ac:dyDescent="0.35">
      <c r="A2968" s="1">
        <v>43891</v>
      </c>
      <c r="B2968" t="s">
        <v>12</v>
      </c>
      <c r="C2968" t="s">
        <v>38</v>
      </c>
      <c r="D2968">
        <v>14765</v>
      </c>
      <c r="E2968">
        <v>83456</v>
      </c>
      <c r="F2968">
        <f t="shared" si="299"/>
        <v>5.6522858110396204</v>
      </c>
      <c r="G2968">
        <f t="shared" si="298"/>
        <v>256.38768438875718</v>
      </c>
      <c r="H2968">
        <v>876.31666666666661</v>
      </c>
      <c r="I2968" t="s">
        <v>38</v>
      </c>
      <c r="J2968">
        <f t="shared" si="300"/>
        <v>19.319150499706055</v>
      </c>
      <c r="K2968">
        <v>1789.8439852691176</v>
      </c>
    </row>
    <row r="2969" spans="1:11" x14ac:dyDescent="0.35">
      <c r="A2969" s="1">
        <v>43922</v>
      </c>
      <c r="B2969" t="s">
        <v>12</v>
      </c>
      <c r="C2969" t="s">
        <v>38</v>
      </c>
      <c r="D2969">
        <v>8567</v>
      </c>
      <c r="E2969">
        <v>68655</v>
      </c>
      <c r="F2969">
        <f t="shared" si="299"/>
        <v>8.0138905100968838</v>
      </c>
      <c r="G2969">
        <f t="shared" si="298"/>
        <v>363.51007353799463</v>
      </c>
      <c r="H2969">
        <v>938.94444444444434</v>
      </c>
      <c r="I2969" t="s">
        <v>38</v>
      </c>
      <c r="J2969">
        <f t="shared" si="300"/>
        <v>20.699833431314911</v>
      </c>
      <c r="K2969">
        <v>1789.8439852691176</v>
      </c>
    </row>
    <row r="2970" spans="1:11" x14ac:dyDescent="0.35">
      <c r="A2970" s="1">
        <v>43952</v>
      </c>
      <c r="B2970" t="s">
        <v>12</v>
      </c>
      <c r="C2970" t="s">
        <v>38</v>
      </c>
      <c r="D2970">
        <v>10252.391511683356</v>
      </c>
      <c r="E2970">
        <v>77584</v>
      </c>
      <c r="F2970">
        <f t="shared" si="299"/>
        <v>7.5674051182679971</v>
      </c>
      <c r="G2970">
        <f t="shared" si="298"/>
        <v>343.25749616463634</v>
      </c>
      <c r="H2970">
        <v>871.30555555555554</v>
      </c>
      <c r="I2970" t="s">
        <v>38</v>
      </c>
      <c r="J2970">
        <f t="shared" si="300"/>
        <v>19.208676268861453</v>
      </c>
      <c r="K2970">
        <v>1789.8439852691176</v>
      </c>
    </row>
    <row r="2971" spans="1:11" x14ac:dyDescent="0.35">
      <c r="A2971" s="1">
        <v>43983</v>
      </c>
      <c r="B2971" t="s">
        <v>12</v>
      </c>
      <c r="C2971" t="s">
        <v>38</v>
      </c>
      <c r="D2971">
        <v>11087</v>
      </c>
      <c r="E2971">
        <v>67344</v>
      </c>
      <c r="F2971">
        <f t="shared" si="299"/>
        <v>6.0741408857220165</v>
      </c>
      <c r="G2971">
        <f t="shared" si="298"/>
        <v>275.52303057635066</v>
      </c>
      <c r="H2971">
        <v>1012.734375</v>
      </c>
      <c r="I2971" t="s">
        <v>38</v>
      </c>
      <c r="J2971">
        <f t="shared" si="300"/>
        <v>22.32659556878307</v>
      </c>
      <c r="K2971">
        <v>1789.8439852691176</v>
      </c>
    </row>
    <row r="2972" spans="1:11" x14ac:dyDescent="0.35">
      <c r="A2972" s="1">
        <v>44013</v>
      </c>
      <c r="B2972" t="s">
        <v>12</v>
      </c>
      <c r="C2972" t="s">
        <v>38</v>
      </c>
      <c r="D2972">
        <v>9541.0000000000018</v>
      </c>
      <c r="E2972">
        <v>48958</v>
      </c>
      <c r="F2972">
        <f t="shared" si="299"/>
        <v>5.1313279530447531</v>
      </c>
      <c r="G2972">
        <f t="shared" si="298"/>
        <v>232.75703595011001</v>
      </c>
      <c r="H2972">
        <v>1271.1788194444446</v>
      </c>
      <c r="I2972" t="s">
        <v>38</v>
      </c>
      <c r="J2972">
        <f t="shared" si="300"/>
        <v>28.024224414560067</v>
      </c>
      <c r="K2972">
        <v>1789.8439852691176</v>
      </c>
    </row>
    <row r="2973" spans="1:11" x14ac:dyDescent="0.35">
      <c r="A2973" s="1">
        <v>44044</v>
      </c>
      <c r="B2973" t="s">
        <v>12</v>
      </c>
      <c r="C2973" t="s">
        <v>38</v>
      </c>
      <c r="D2973">
        <v>9258</v>
      </c>
      <c r="E2973">
        <v>80594.000000000015</v>
      </c>
      <c r="F2973">
        <f t="shared" si="299"/>
        <v>8.705335925685894</v>
      </c>
      <c r="G2973">
        <f t="shared" si="298"/>
        <v>394.87403758911216</v>
      </c>
      <c r="H2973">
        <v>1363.4036458333333</v>
      </c>
      <c r="I2973" t="s">
        <v>38</v>
      </c>
      <c r="J2973">
        <f t="shared" si="300"/>
        <v>30.057399599500293</v>
      </c>
      <c r="K2973">
        <v>1789.8439852691176</v>
      </c>
    </row>
    <row r="2974" spans="1:11" x14ac:dyDescent="0.35">
      <c r="A2974" s="1">
        <v>44075</v>
      </c>
      <c r="B2974" t="s">
        <v>12</v>
      </c>
      <c r="C2974" t="s">
        <v>38</v>
      </c>
      <c r="D2974">
        <v>10010.889221556887</v>
      </c>
      <c r="E2974">
        <v>68549</v>
      </c>
      <c r="F2974">
        <f t="shared" si="299"/>
        <v>6.8474436668813032</v>
      </c>
      <c r="G2974">
        <f t="shared" si="298"/>
        <v>310.60004472973588</v>
      </c>
      <c r="H2974">
        <v>1375.8897569444443</v>
      </c>
      <c r="I2974" t="s">
        <v>38</v>
      </c>
      <c r="J2974">
        <f t="shared" si="300"/>
        <v>30.332666599304329</v>
      </c>
      <c r="K2974">
        <v>1789.8439852691176</v>
      </c>
    </row>
    <row r="2975" spans="1:11" x14ac:dyDescent="0.35">
      <c r="A2975" s="1">
        <v>44105</v>
      </c>
      <c r="B2975" t="s">
        <v>12</v>
      </c>
      <c r="C2975" t="s">
        <v>38</v>
      </c>
      <c r="D2975">
        <v>4754</v>
      </c>
      <c r="E2975">
        <v>49040</v>
      </c>
      <c r="F2975">
        <f t="shared" si="299"/>
        <v>10.315523769457299</v>
      </c>
      <c r="G2975">
        <f t="shared" si="298"/>
        <v>467.91215818258303</v>
      </c>
      <c r="H2975">
        <v>1197.234375</v>
      </c>
      <c r="I2975" t="s">
        <v>38</v>
      </c>
      <c r="J2975">
        <f t="shared" si="300"/>
        <v>26.394055886243386</v>
      </c>
      <c r="K2975">
        <v>1789.8439852691176</v>
      </c>
    </row>
    <row r="2976" spans="1:11" x14ac:dyDescent="0.35">
      <c r="A2976" s="1">
        <v>44136</v>
      </c>
      <c r="B2976" t="s">
        <v>12</v>
      </c>
      <c r="C2976" t="s">
        <v>38</v>
      </c>
      <c r="D2976">
        <v>9888</v>
      </c>
      <c r="E2976">
        <v>89899</v>
      </c>
      <c r="F2976">
        <f t="shared" si="299"/>
        <v>9.0917273462783168</v>
      </c>
      <c r="G2976">
        <f t="shared" si="298"/>
        <v>412.40075242718444</v>
      </c>
      <c r="H2976">
        <v>987.13541666666652</v>
      </c>
      <c r="I2976" t="s">
        <v>38</v>
      </c>
      <c r="J2976">
        <f t="shared" si="300"/>
        <v>21.762244635508523</v>
      </c>
      <c r="K2976">
        <v>1789.8439852691176</v>
      </c>
    </row>
    <row r="2977" spans="1:11" x14ac:dyDescent="0.35">
      <c r="A2977" s="1">
        <v>44166</v>
      </c>
      <c r="B2977" t="s">
        <v>12</v>
      </c>
      <c r="C2977" t="s">
        <v>38</v>
      </c>
      <c r="D2977">
        <v>9254</v>
      </c>
      <c r="E2977">
        <v>85457</v>
      </c>
      <c r="F2977">
        <f t="shared" si="299"/>
        <v>9.234601253511995</v>
      </c>
      <c r="G2977">
        <f t="shared" si="298"/>
        <v>418.88151285930411</v>
      </c>
      <c r="H2977">
        <v>929.89285714285711</v>
      </c>
      <c r="I2977" t="s">
        <v>38</v>
      </c>
      <c r="J2977">
        <f t="shared" si="300"/>
        <v>20.500283446712018</v>
      </c>
      <c r="K2977">
        <v>1789.8439852691176</v>
      </c>
    </row>
    <row r="2978" spans="1:11" x14ac:dyDescent="0.35">
      <c r="A2978" s="1">
        <v>43831</v>
      </c>
      <c r="B2978" t="s">
        <v>13</v>
      </c>
      <c r="C2978" t="s">
        <v>38</v>
      </c>
      <c r="D2978">
        <v>7105.0000000000018</v>
      </c>
      <c r="E2978">
        <v>58547.000000000015</v>
      </c>
      <c r="F2978">
        <f t="shared" si="299"/>
        <v>8.2402533427163966</v>
      </c>
      <c r="G2978">
        <f t="shared" si="298"/>
        <v>373.77789162561572</v>
      </c>
      <c r="H2978">
        <v>779.94841269841265</v>
      </c>
      <c r="I2978" t="s">
        <v>38</v>
      </c>
      <c r="J2978">
        <f t="shared" si="300"/>
        <v>17.194629909576999</v>
      </c>
      <c r="K2978">
        <v>9891.7256609088799</v>
      </c>
    </row>
    <row r="2979" spans="1:11" x14ac:dyDescent="0.35">
      <c r="A2979" s="1">
        <v>43862</v>
      </c>
      <c r="B2979" t="s">
        <v>13</v>
      </c>
      <c r="C2979" t="s">
        <v>38</v>
      </c>
      <c r="D2979">
        <v>7012.0000000000009</v>
      </c>
      <c r="E2979">
        <v>63250.000000000036</v>
      </c>
      <c r="F2979">
        <f t="shared" si="299"/>
        <v>9.0202509982886525</v>
      </c>
      <c r="G2979">
        <f t="shared" si="298"/>
        <v>409.15858528237328</v>
      </c>
      <c r="H2979">
        <v>848.94642857142856</v>
      </c>
      <c r="I2979" t="s">
        <v>38</v>
      </c>
      <c r="J2979">
        <f t="shared" si="300"/>
        <v>18.715750188964474</v>
      </c>
      <c r="K2979">
        <v>9891.7256609088799</v>
      </c>
    </row>
    <row r="2980" spans="1:11" x14ac:dyDescent="0.35">
      <c r="A2980" s="1">
        <v>43891</v>
      </c>
      <c r="B2980" t="s">
        <v>13</v>
      </c>
      <c r="C2980" t="s">
        <v>38</v>
      </c>
      <c r="D2980">
        <v>5800</v>
      </c>
      <c r="E2980">
        <v>54501.000000000007</v>
      </c>
      <c r="F2980">
        <f t="shared" si="299"/>
        <v>9.3967241379310362</v>
      </c>
      <c r="G2980">
        <f t="shared" si="298"/>
        <v>426.23540689655181</v>
      </c>
      <c r="H2980">
        <v>921.86458333333337</v>
      </c>
      <c r="I2980" t="s">
        <v>38</v>
      </c>
      <c r="J2980">
        <f t="shared" si="300"/>
        <v>20.32329328336273</v>
      </c>
      <c r="K2980">
        <v>9891.7256609088799</v>
      </c>
    </row>
    <row r="2981" spans="1:11" x14ac:dyDescent="0.35">
      <c r="A2981" s="1">
        <v>43922</v>
      </c>
      <c r="B2981" t="s">
        <v>13</v>
      </c>
      <c r="C2981" t="s">
        <v>38</v>
      </c>
      <c r="D2981">
        <v>2134</v>
      </c>
      <c r="E2981">
        <v>52552.999999999993</v>
      </c>
      <c r="F2981">
        <f t="shared" si="299"/>
        <v>24.626522961574505</v>
      </c>
      <c r="G2981">
        <f t="shared" si="298"/>
        <v>1117.0590815370194</v>
      </c>
      <c r="H2981">
        <v>815.41666666666663</v>
      </c>
      <c r="I2981" t="s">
        <v>38</v>
      </c>
      <c r="J2981">
        <f t="shared" si="300"/>
        <v>17.976557907113463</v>
      </c>
      <c r="K2981">
        <v>9891.7256609088799</v>
      </c>
    </row>
    <row r="2982" spans="1:11" x14ac:dyDescent="0.35">
      <c r="A2982" s="1">
        <v>43952</v>
      </c>
      <c r="B2982" t="s">
        <v>13</v>
      </c>
      <c r="C2982" t="s">
        <v>38</v>
      </c>
      <c r="D2982">
        <v>4455.0000000000009</v>
      </c>
      <c r="E2982">
        <v>48144</v>
      </c>
      <c r="F2982">
        <f t="shared" si="299"/>
        <v>10.806734006734004</v>
      </c>
      <c r="G2982">
        <f t="shared" si="298"/>
        <v>490.19345454545441</v>
      </c>
      <c r="H2982">
        <v>937.57222222222231</v>
      </c>
      <c r="I2982" t="s">
        <v>38</v>
      </c>
      <c r="J2982">
        <f t="shared" si="300"/>
        <v>20.669581618655695</v>
      </c>
      <c r="K2982">
        <v>9891.7256609088799</v>
      </c>
    </row>
    <row r="2983" spans="1:11" x14ac:dyDescent="0.35">
      <c r="A2983" s="1">
        <v>43983</v>
      </c>
      <c r="B2983" t="s">
        <v>13</v>
      </c>
      <c r="C2983" t="s">
        <v>38</v>
      </c>
      <c r="D2983">
        <v>8321</v>
      </c>
      <c r="E2983">
        <v>57999</v>
      </c>
      <c r="F2983">
        <f t="shared" si="299"/>
        <v>6.9701958899170773</v>
      </c>
      <c r="G2983">
        <f t="shared" si="298"/>
        <v>316.16808556663864</v>
      </c>
      <c r="H2983">
        <v>957.15238095238078</v>
      </c>
      <c r="I2983" t="s">
        <v>38</v>
      </c>
      <c r="J2983">
        <f t="shared" si="300"/>
        <v>21.101242966322328</v>
      </c>
      <c r="K2983">
        <v>9891.7256609088799</v>
      </c>
    </row>
    <row r="2984" spans="1:11" x14ac:dyDescent="0.35">
      <c r="A2984" s="1">
        <v>44013</v>
      </c>
      <c r="B2984" t="s">
        <v>13</v>
      </c>
      <c r="C2984" t="s">
        <v>38</v>
      </c>
      <c r="D2984">
        <v>4985</v>
      </c>
      <c r="E2984">
        <v>50121</v>
      </c>
      <c r="F2984">
        <f t="shared" si="299"/>
        <v>10.054363089267804</v>
      </c>
      <c r="G2984">
        <f t="shared" si="298"/>
        <v>456.06590972918758</v>
      </c>
      <c r="H2984">
        <v>849.22619047619048</v>
      </c>
      <c r="I2984" t="s">
        <v>38</v>
      </c>
      <c r="J2984">
        <f t="shared" si="300"/>
        <v>18.721917779457463</v>
      </c>
      <c r="K2984">
        <v>9891.7256609088799</v>
      </c>
    </row>
    <row r="2985" spans="1:11" x14ac:dyDescent="0.35">
      <c r="A2985" s="1">
        <v>44044</v>
      </c>
      <c r="B2985" t="s">
        <v>13</v>
      </c>
      <c r="C2985" t="s">
        <v>38</v>
      </c>
      <c r="D2985">
        <v>4865</v>
      </c>
      <c r="E2985">
        <v>48787.999999999964</v>
      </c>
      <c r="F2985">
        <f t="shared" si="299"/>
        <v>10.028365878725584</v>
      </c>
      <c r="G2985">
        <f t="shared" si="298"/>
        <v>454.88667625899245</v>
      </c>
      <c r="H2985">
        <v>986.46825396825386</v>
      </c>
      <c r="I2985" t="s">
        <v>38</v>
      </c>
      <c r="J2985">
        <f t="shared" si="300"/>
        <v>21.747536463144925</v>
      </c>
      <c r="K2985">
        <v>9891.7256609088799</v>
      </c>
    </row>
    <row r="2986" spans="1:11" x14ac:dyDescent="0.35">
      <c r="A2986" s="1">
        <v>44075</v>
      </c>
      <c r="B2986" t="s">
        <v>13</v>
      </c>
      <c r="C2986" t="s">
        <v>38</v>
      </c>
      <c r="D2986">
        <v>4785</v>
      </c>
      <c r="E2986">
        <v>43644.000000000007</v>
      </c>
      <c r="F2986">
        <f t="shared" si="299"/>
        <v>9.1210031347962399</v>
      </c>
      <c r="G2986">
        <f t="shared" si="298"/>
        <v>413.72870219435742</v>
      </c>
      <c r="H2986">
        <v>957.16071428571433</v>
      </c>
      <c r="I2986" t="s">
        <v>38</v>
      </c>
      <c r="J2986">
        <f t="shared" si="300"/>
        <v>21.101426681783828</v>
      </c>
      <c r="K2986">
        <v>9891.7256609088799</v>
      </c>
    </row>
    <row r="2987" spans="1:11" x14ac:dyDescent="0.35">
      <c r="A2987" s="1">
        <v>44105</v>
      </c>
      <c r="B2987" t="s">
        <v>13</v>
      </c>
      <c r="C2987" t="s">
        <v>38</v>
      </c>
      <c r="D2987">
        <v>1825</v>
      </c>
      <c r="E2987">
        <v>13450</v>
      </c>
      <c r="F2987">
        <f t="shared" si="299"/>
        <v>7.3698630136986303</v>
      </c>
      <c r="G2987">
        <f t="shared" si="298"/>
        <v>334.29698630136988</v>
      </c>
      <c r="H2987">
        <v>934.17500000000007</v>
      </c>
      <c r="I2987" t="s">
        <v>38</v>
      </c>
      <c r="J2987">
        <f t="shared" si="300"/>
        <v>20.594686948853617</v>
      </c>
      <c r="K2987">
        <v>9891.7256609088799</v>
      </c>
    </row>
    <row r="2988" spans="1:11" x14ac:dyDescent="0.35">
      <c r="A2988" s="1">
        <v>44136</v>
      </c>
      <c r="B2988" t="s">
        <v>13</v>
      </c>
      <c r="C2988" t="s">
        <v>38</v>
      </c>
      <c r="D2988">
        <v>1075</v>
      </c>
      <c r="E2988">
        <v>16668.5</v>
      </c>
      <c r="F2988">
        <f t="shared" si="299"/>
        <v>15.505581395348838</v>
      </c>
      <c r="G2988">
        <f t="shared" si="298"/>
        <v>703.33317209302322</v>
      </c>
      <c r="H2988">
        <v>915.95238095238085</v>
      </c>
      <c r="I2988" t="s">
        <v>38</v>
      </c>
      <c r="J2988">
        <f t="shared" si="300"/>
        <v>20.192953724699755</v>
      </c>
      <c r="K2988">
        <v>9891.7256609088799</v>
      </c>
    </row>
    <row r="2989" spans="1:11" x14ac:dyDescent="0.35">
      <c r="A2989" s="1">
        <v>44166</v>
      </c>
      <c r="B2989" t="s">
        <v>13</v>
      </c>
      <c r="C2989" t="s">
        <v>38</v>
      </c>
      <c r="D2989">
        <v>2879</v>
      </c>
      <c r="E2989">
        <v>37784</v>
      </c>
      <c r="F2989">
        <f t="shared" si="299"/>
        <v>13.12400138937131</v>
      </c>
      <c r="G2989">
        <f t="shared" si="298"/>
        <v>595.30470302188257</v>
      </c>
      <c r="H2989">
        <v>1105.3055555555554</v>
      </c>
      <c r="I2989" t="s">
        <v>38</v>
      </c>
      <c r="J2989">
        <f t="shared" si="300"/>
        <v>24.367406427591611</v>
      </c>
      <c r="K2989">
        <v>9891.7256609088799</v>
      </c>
    </row>
    <row r="2990" spans="1:11" x14ac:dyDescent="0.35">
      <c r="A2990" s="1">
        <v>43831</v>
      </c>
      <c r="B2990" t="s">
        <v>14</v>
      </c>
      <c r="C2990" t="s">
        <v>38</v>
      </c>
      <c r="D2990">
        <v>72972.999999999942</v>
      </c>
      <c r="E2990">
        <v>1283982.7999999996</v>
      </c>
      <c r="F2990">
        <f t="shared" si="299"/>
        <v>17.595313335069143</v>
      </c>
      <c r="G2990">
        <f t="shared" si="298"/>
        <v>798.1234128787363</v>
      </c>
      <c r="H2990">
        <v>3391.666666666667</v>
      </c>
      <c r="I2990" t="s">
        <v>56</v>
      </c>
      <c r="J2990">
        <f>(H2990/1000)/0.56234</f>
        <v>6.0313452122677873</v>
      </c>
      <c r="K2990">
        <v>13735.141908858255</v>
      </c>
    </row>
    <row r="2991" spans="1:11" x14ac:dyDescent="0.35">
      <c r="A2991" s="1">
        <v>43862</v>
      </c>
      <c r="B2991" t="s">
        <v>14</v>
      </c>
      <c r="C2991" t="s">
        <v>38</v>
      </c>
      <c r="D2991">
        <v>93541.000000000015</v>
      </c>
      <c r="E2991">
        <v>1988885.6000000003</v>
      </c>
      <c r="F2991">
        <f t="shared" si="299"/>
        <v>21.262180220438097</v>
      </c>
      <c r="G2991">
        <f t="shared" si="298"/>
        <v>964.45249479907204</v>
      </c>
      <c r="H2991">
        <v>10997.222222222221</v>
      </c>
      <c r="I2991" t="s">
        <v>56</v>
      </c>
      <c r="J2991">
        <f t="shared" ref="J2991:J3001" si="301">(H2991/1000)/0.56234</f>
        <v>19.556179930686454</v>
      </c>
      <c r="K2991">
        <v>13735.141908858255</v>
      </c>
    </row>
    <row r="2992" spans="1:11" x14ac:dyDescent="0.35">
      <c r="A2992" s="1">
        <v>43891</v>
      </c>
      <c r="B2992" t="s">
        <v>14</v>
      </c>
      <c r="C2992" t="s">
        <v>38</v>
      </c>
      <c r="D2992">
        <v>79611.000000000015</v>
      </c>
      <c r="E2992">
        <v>1310109.6000000001</v>
      </c>
      <c r="F2992">
        <f t="shared" si="299"/>
        <v>16.456389192448277</v>
      </c>
      <c r="G2992">
        <f t="shared" si="298"/>
        <v>746.4618137694539</v>
      </c>
      <c r="H2992">
        <v>8872.9166666666661</v>
      </c>
      <c r="I2992" t="s">
        <v>56</v>
      </c>
      <c r="J2992">
        <f t="shared" si="301"/>
        <v>15.778562198432741</v>
      </c>
      <c r="K2992">
        <v>13735.141908858255</v>
      </c>
    </row>
    <row r="2993" spans="1:13" x14ac:dyDescent="0.35">
      <c r="A2993" s="1">
        <v>43922</v>
      </c>
      <c r="B2993" t="s">
        <v>14</v>
      </c>
      <c r="C2993" t="s">
        <v>38</v>
      </c>
      <c r="D2993">
        <v>12434</v>
      </c>
      <c r="E2993">
        <v>176377.60000000001</v>
      </c>
      <c r="F2993">
        <f t="shared" si="299"/>
        <v>14.185105356281165</v>
      </c>
      <c r="G2993">
        <f t="shared" si="298"/>
        <v>643.43637896091366</v>
      </c>
      <c r="H2993">
        <v>6675</v>
      </c>
      <c r="I2993" t="s">
        <v>56</v>
      </c>
      <c r="J2993">
        <f t="shared" si="301"/>
        <v>11.870043034463137</v>
      </c>
      <c r="K2993">
        <v>13735.141908858255</v>
      </c>
    </row>
    <row r="2994" spans="1:13" x14ac:dyDescent="0.35">
      <c r="A2994" s="1">
        <v>43952</v>
      </c>
      <c r="B2994" t="s">
        <v>14</v>
      </c>
      <c r="C2994" t="s">
        <v>38</v>
      </c>
      <c r="D2994">
        <v>11320.999999999998</v>
      </c>
      <c r="E2994">
        <v>334142.8</v>
      </c>
      <c r="F2994">
        <f t="shared" si="299"/>
        <v>29.515307834996911</v>
      </c>
      <c r="G2994">
        <f t="shared" si="298"/>
        <v>1338.8143633954598</v>
      </c>
      <c r="H2994">
        <v>7000</v>
      </c>
      <c r="I2994" t="s">
        <v>56</v>
      </c>
      <c r="J2994">
        <f t="shared" si="301"/>
        <v>12.447985204680444</v>
      </c>
      <c r="K2994">
        <v>13735.141908858255</v>
      </c>
    </row>
    <row r="2995" spans="1:13" x14ac:dyDescent="0.35">
      <c r="A2995" s="1">
        <v>43983</v>
      </c>
      <c r="B2995" t="s">
        <v>14</v>
      </c>
      <c r="C2995" t="s">
        <v>38</v>
      </c>
      <c r="D2995">
        <v>47501</v>
      </c>
      <c r="E2995">
        <v>1391837.9999999998</v>
      </c>
      <c r="F2995">
        <f t="shared" si="299"/>
        <v>29.301235763457605</v>
      </c>
      <c r="G2995">
        <f t="shared" si="298"/>
        <v>1329.104054230437</v>
      </c>
      <c r="H2995">
        <v>21612.962962962964</v>
      </c>
      <c r="I2995" t="s">
        <v>56</v>
      </c>
      <c r="J2995">
        <f t="shared" si="301"/>
        <v>38.433977598895623</v>
      </c>
      <c r="K2995">
        <v>13735.141908858255</v>
      </c>
    </row>
    <row r="2996" spans="1:13" x14ac:dyDescent="0.35">
      <c r="A2996" s="1">
        <v>44013</v>
      </c>
      <c r="B2996" t="s">
        <v>14</v>
      </c>
      <c r="C2996" t="s">
        <v>38</v>
      </c>
      <c r="D2996">
        <v>34521</v>
      </c>
      <c r="E2996">
        <v>1272091.2</v>
      </c>
      <c r="F2996">
        <f t="shared" si="299"/>
        <v>36.849778395759103</v>
      </c>
      <c r="G2996">
        <f t="shared" ref="G2996:G3059" si="302">F2996*45.36</f>
        <v>1671.5059480316329</v>
      </c>
      <c r="H2996">
        <v>4453.125</v>
      </c>
      <c r="I2996" t="s">
        <v>56</v>
      </c>
      <c r="J2996">
        <f t="shared" si="301"/>
        <v>7.9189191592275145</v>
      </c>
      <c r="K2996">
        <v>13735.141908858255</v>
      </c>
    </row>
    <row r="2997" spans="1:13" x14ac:dyDescent="0.35">
      <c r="A2997" s="1">
        <v>44044</v>
      </c>
      <c r="B2997" t="s">
        <v>14</v>
      </c>
      <c r="C2997" t="s">
        <v>38</v>
      </c>
      <c r="D2997">
        <v>54504.3</v>
      </c>
      <c r="E2997">
        <v>1481105.6</v>
      </c>
      <c r="F2997">
        <f t="shared" si="299"/>
        <v>27.174105529288514</v>
      </c>
      <c r="G2997">
        <f t="shared" si="302"/>
        <v>1232.6174268085269</v>
      </c>
      <c r="H2997">
        <v>6857.9404761904761</v>
      </c>
      <c r="I2997" t="s">
        <v>56</v>
      </c>
      <c r="J2997">
        <f t="shared" si="301"/>
        <v>12.195363083171172</v>
      </c>
      <c r="K2997">
        <v>13735.141908858255</v>
      </c>
    </row>
    <row r="2998" spans="1:13" x14ac:dyDescent="0.35">
      <c r="A2998" s="1">
        <v>44075</v>
      </c>
      <c r="B2998" t="s">
        <v>14</v>
      </c>
      <c r="C2998" t="s">
        <v>38</v>
      </c>
      <c r="D2998">
        <v>76021</v>
      </c>
      <c r="E2998">
        <v>1810238.7999999989</v>
      </c>
      <c r="F2998">
        <f t="shared" ref="F2998:F3025" si="303">E2998/D2998</f>
        <v>23.812351850146655</v>
      </c>
      <c r="G2998">
        <f t="shared" si="302"/>
        <v>1080.1282799226522</v>
      </c>
      <c r="H2998">
        <v>5694.4722222222217</v>
      </c>
      <c r="I2998" t="s">
        <v>56</v>
      </c>
      <c r="J2998">
        <f t="shared" si="301"/>
        <v>10.126386567240855</v>
      </c>
      <c r="K2998">
        <v>13735.141908858255</v>
      </c>
    </row>
    <row r="2999" spans="1:13" x14ac:dyDescent="0.35">
      <c r="A2999" s="1">
        <v>44105</v>
      </c>
      <c r="B2999" t="s">
        <v>14</v>
      </c>
      <c r="C2999" t="s">
        <v>38</v>
      </c>
      <c r="D2999">
        <v>22687</v>
      </c>
      <c r="E2999">
        <v>696656.8</v>
      </c>
      <c r="F2999">
        <f t="shared" si="303"/>
        <v>30.707312557852518</v>
      </c>
      <c r="G2999">
        <f t="shared" si="302"/>
        <v>1392.8836976241903</v>
      </c>
      <c r="H2999">
        <v>5490.5714285714284</v>
      </c>
      <c r="I2999" t="s">
        <v>56</v>
      </c>
      <c r="J2999">
        <f t="shared" si="301"/>
        <v>9.7637931297283291</v>
      </c>
      <c r="K2999">
        <v>13735.141908858255</v>
      </c>
    </row>
    <row r="3000" spans="1:13" x14ac:dyDescent="0.35">
      <c r="A3000" s="1">
        <v>44136</v>
      </c>
      <c r="B3000" t="s">
        <v>14</v>
      </c>
      <c r="C3000" t="s">
        <v>38</v>
      </c>
      <c r="D3000">
        <v>23727</v>
      </c>
      <c r="E3000">
        <v>697234.64</v>
      </c>
      <c r="F3000">
        <f t="shared" si="303"/>
        <v>29.38570573608126</v>
      </c>
      <c r="G3000">
        <f t="shared" si="302"/>
        <v>1332.935612188646</v>
      </c>
      <c r="H3000">
        <v>6565.578125</v>
      </c>
      <c r="I3000" t="s">
        <v>56</v>
      </c>
      <c r="J3000">
        <f t="shared" si="301"/>
        <v>11.675459908596224</v>
      </c>
      <c r="K3000">
        <v>13735.141908858255</v>
      </c>
    </row>
    <row r="3001" spans="1:13" x14ac:dyDescent="0.35">
      <c r="A3001" s="1">
        <v>44166</v>
      </c>
      <c r="B3001" t="s">
        <v>14</v>
      </c>
      <c r="C3001" t="s">
        <v>38</v>
      </c>
      <c r="D3001">
        <v>53124</v>
      </c>
      <c r="E3001">
        <v>1227773.6000000001</v>
      </c>
      <c r="F3001">
        <f t="shared" si="303"/>
        <v>23.111467509976659</v>
      </c>
      <c r="G3001">
        <f t="shared" si="302"/>
        <v>1048.3361662525413</v>
      </c>
      <c r="H3001">
        <v>8928.5714285714294</v>
      </c>
      <c r="I3001" t="s">
        <v>56</v>
      </c>
      <c r="J3001">
        <f t="shared" si="301"/>
        <v>15.877532148827097</v>
      </c>
      <c r="K3001">
        <v>13735.141908858255</v>
      </c>
    </row>
    <row r="3002" spans="1:13" x14ac:dyDescent="0.35">
      <c r="A3002" s="1">
        <v>43831</v>
      </c>
      <c r="B3002" t="s">
        <v>15</v>
      </c>
      <c r="C3002" t="s">
        <v>38</v>
      </c>
      <c r="D3002">
        <v>456254</v>
      </c>
      <c r="E3002">
        <v>2089834.8000000031</v>
      </c>
      <c r="F3002">
        <f t="shared" si="303"/>
        <v>4.5804196785124143</v>
      </c>
      <c r="G3002">
        <f t="shared" si="302"/>
        <v>207.7678366173231</v>
      </c>
      <c r="H3002">
        <v>186.91874999999999</v>
      </c>
      <c r="I3002" t="s">
        <v>58</v>
      </c>
      <c r="J3002">
        <f>H3002/27.21</f>
        <v>6.8694873208379263</v>
      </c>
      <c r="K3002">
        <f>22394.3539752134+15624.7230962618</f>
        <v>38019.0770714752</v>
      </c>
      <c r="L3002">
        <v>22394.353975213398</v>
      </c>
      <c r="M3002">
        <v>15624.7230962618</v>
      </c>
    </row>
    <row r="3003" spans="1:13" x14ac:dyDescent="0.35">
      <c r="A3003" s="1">
        <v>43862</v>
      </c>
      <c r="B3003" t="s">
        <v>15</v>
      </c>
      <c r="C3003" t="s">
        <v>38</v>
      </c>
      <c r="D3003">
        <v>455215</v>
      </c>
      <c r="E3003">
        <v>2184873.5999999996</v>
      </c>
      <c r="F3003">
        <f t="shared" si="303"/>
        <v>4.7996520325560441</v>
      </c>
      <c r="G3003">
        <f t="shared" si="302"/>
        <v>217.71221619674216</v>
      </c>
      <c r="H3003">
        <v>192.21614583333334</v>
      </c>
      <c r="I3003" t="s">
        <v>58</v>
      </c>
      <c r="J3003">
        <f t="shared" ref="J3003:J3013" si="304">H3003/27.21</f>
        <v>7.0641729449957129</v>
      </c>
      <c r="K3003">
        <f t="shared" ref="K3003:K3014" si="305">22394.3539752134+15624.7230962618</f>
        <v>38019.0770714752</v>
      </c>
    </row>
    <row r="3004" spans="1:13" x14ac:dyDescent="0.35">
      <c r="A3004" s="1">
        <v>43891</v>
      </c>
      <c r="B3004" t="s">
        <v>15</v>
      </c>
      <c r="C3004" t="s">
        <v>38</v>
      </c>
      <c r="D3004">
        <v>452145</v>
      </c>
      <c r="E3004">
        <v>2222930.9999999995</v>
      </c>
      <c r="F3004">
        <f t="shared" si="303"/>
        <v>4.9164117705603276</v>
      </c>
      <c r="G3004">
        <f t="shared" si="302"/>
        <v>223.00843791261647</v>
      </c>
      <c r="H3004">
        <v>191.25</v>
      </c>
      <c r="I3004" t="s">
        <v>58</v>
      </c>
      <c r="J3004">
        <f t="shared" si="304"/>
        <v>7.0286659316427782</v>
      </c>
      <c r="K3004">
        <f t="shared" si="305"/>
        <v>38019.0770714752</v>
      </c>
    </row>
    <row r="3005" spans="1:13" x14ac:dyDescent="0.35">
      <c r="A3005" s="1">
        <v>43922</v>
      </c>
      <c r="B3005" t="s">
        <v>15</v>
      </c>
      <c r="C3005" t="s">
        <v>38</v>
      </c>
      <c r="D3005">
        <v>432409</v>
      </c>
      <c r="E3005">
        <v>2369267.4</v>
      </c>
      <c r="F3005">
        <f t="shared" si="303"/>
        <v>5.4792277681546864</v>
      </c>
      <c r="G3005">
        <f t="shared" si="302"/>
        <v>248.53777156349656</v>
      </c>
      <c r="H3005">
        <v>172.99107142857142</v>
      </c>
      <c r="I3005" t="s">
        <v>58</v>
      </c>
      <c r="J3005">
        <f t="shared" si="304"/>
        <v>6.3576284979261821</v>
      </c>
      <c r="K3005">
        <f t="shared" si="305"/>
        <v>38019.0770714752</v>
      </c>
    </row>
    <row r="3006" spans="1:13" x14ac:dyDescent="0.35">
      <c r="A3006" s="1">
        <v>43952</v>
      </c>
      <c r="B3006" t="s">
        <v>15</v>
      </c>
      <c r="C3006" t="s">
        <v>38</v>
      </c>
      <c r="D3006">
        <v>443154</v>
      </c>
      <c r="E3006">
        <v>2385539.3999999994</v>
      </c>
      <c r="F3006">
        <f t="shared" si="303"/>
        <v>5.3830934618665278</v>
      </c>
      <c r="G3006">
        <f t="shared" si="302"/>
        <v>244.17711943026569</v>
      </c>
      <c r="H3006">
        <v>196.05555555555557</v>
      </c>
      <c r="I3006" t="s">
        <v>58</v>
      </c>
      <c r="J3006">
        <f t="shared" si="304"/>
        <v>7.2052758381314064</v>
      </c>
      <c r="K3006">
        <f t="shared" si="305"/>
        <v>38019.0770714752</v>
      </c>
    </row>
    <row r="3007" spans="1:13" x14ac:dyDescent="0.35">
      <c r="A3007" s="1">
        <v>43983</v>
      </c>
      <c r="B3007" t="s">
        <v>15</v>
      </c>
      <c r="C3007" t="s">
        <v>38</v>
      </c>
      <c r="D3007">
        <v>445264</v>
      </c>
      <c r="E3007">
        <v>2640995.4000000004</v>
      </c>
      <c r="F3007">
        <f t="shared" si="303"/>
        <v>5.9313023285062352</v>
      </c>
      <c r="G3007">
        <f t="shared" si="302"/>
        <v>269.04387362104285</v>
      </c>
      <c r="H3007">
        <v>178.49218750000003</v>
      </c>
      <c r="I3007" t="s">
        <v>58</v>
      </c>
      <c r="J3007">
        <f t="shared" si="304"/>
        <v>6.5598010841602363</v>
      </c>
      <c r="K3007">
        <f t="shared" si="305"/>
        <v>38019.0770714752</v>
      </c>
    </row>
    <row r="3008" spans="1:13" x14ac:dyDescent="0.35">
      <c r="A3008" s="1">
        <v>44013</v>
      </c>
      <c r="B3008" t="s">
        <v>15</v>
      </c>
      <c r="C3008" t="s">
        <v>38</v>
      </c>
      <c r="D3008">
        <v>452012</v>
      </c>
      <c r="E3008">
        <v>2568846</v>
      </c>
      <c r="F3008">
        <f t="shared" si="303"/>
        <v>5.683136730883251</v>
      </c>
      <c r="G3008">
        <f t="shared" si="302"/>
        <v>257.78708211286425</v>
      </c>
      <c r="H3008">
        <v>201.8828125</v>
      </c>
      <c r="I3008" t="s">
        <v>58</v>
      </c>
      <c r="J3008">
        <f t="shared" si="304"/>
        <v>7.4194344909959575</v>
      </c>
      <c r="K3008">
        <f t="shared" si="305"/>
        <v>38019.0770714752</v>
      </c>
    </row>
    <row r="3009" spans="1:12" x14ac:dyDescent="0.35">
      <c r="A3009" s="1">
        <v>44044</v>
      </c>
      <c r="B3009" t="s">
        <v>15</v>
      </c>
      <c r="C3009" t="s">
        <v>38</v>
      </c>
      <c r="D3009">
        <v>450456</v>
      </c>
      <c r="E3009">
        <v>2525324.4</v>
      </c>
      <c r="F3009">
        <f t="shared" si="303"/>
        <v>5.6061511002184448</v>
      </c>
      <c r="G3009">
        <f t="shared" si="302"/>
        <v>254.29501390590866</v>
      </c>
      <c r="H3009">
        <v>192.89756944444443</v>
      </c>
      <c r="I3009" t="s">
        <v>58</v>
      </c>
      <c r="J3009">
        <f t="shared" si="304"/>
        <v>7.0892160766058225</v>
      </c>
      <c r="K3009">
        <f t="shared" si="305"/>
        <v>38019.0770714752</v>
      </c>
    </row>
    <row r="3010" spans="1:12" x14ac:dyDescent="0.35">
      <c r="A3010" s="1">
        <v>44075</v>
      </c>
      <c r="B3010" t="s">
        <v>15</v>
      </c>
      <c r="C3010" t="s">
        <v>38</v>
      </c>
      <c r="D3010">
        <v>451024</v>
      </c>
      <c r="E3010">
        <v>2159528.4</v>
      </c>
      <c r="F3010">
        <f t="shared" si="303"/>
        <v>4.7880565114051574</v>
      </c>
      <c r="G3010">
        <f t="shared" si="302"/>
        <v>217.18624335733793</v>
      </c>
      <c r="H3010">
        <v>211.02083333333334</v>
      </c>
      <c r="I3010" t="s">
        <v>58</v>
      </c>
      <c r="J3010">
        <f t="shared" si="304"/>
        <v>7.7552676711993138</v>
      </c>
      <c r="K3010">
        <f t="shared" si="305"/>
        <v>38019.0770714752</v>
      </c>
    </row>
    <row r="3011" spans="1:12" x14ac:dyDescent="0.35">
      <c r="A3011" s="1">
        <v>44105</v>
      </c>
      <c r="B3011" t="s">
        <v>15</v>
      </c>
      <c r="C3011" t="s">
        <v>38</v>
      </c>
      <c r="D3011">
        <v>444251</v>
      </c>
      <c r="E3011">
        <v>2071467</v>
      </c>
      <c r="F3011">
        <f t="shared" si="303"/>
        <v>4.6628302468649476</v>
      </c>
      <c r="G3011">
        <f t="shared" si="302"/>
        <v>211.50597999779401</v>
      </c>
      <c r="H3011">
        <v>219.77500000000001</v>
      </c>
      <c r="I3011" t="s">
        <v>58</v>
      </c>
      <c r="J3011">
        <f t="shared" si="304"/>
        <v>8.0769937522969499</v>
      </c>
      <c r="K3011">
        <f t="shared" si="305"/>
        <v>38019.0770714752</v>
      </c>
    </row>
    <row r="3012" spans="1:12" x14ac:dyDescent="0.35">
      <c r="A3012" s="1">
        <v>44136</v>
      </c>
      <c r="B3012" t="s">
        <v>15</v>
      </c>
      <c r="C3012" t="s">
        <v>38</v>
      </c>
      <c r="D3012">
        <v>443215</v>
      </c>
      <c r="E3012">
        <v>1649556.5999999999</v>
      </c>
      <c r="F3012">
        <f t="shared" si="303"/>
        <v>3.7217977730898095</v>
      </c>
      <c r="G3012">
        <f t="shared" si="302"/>
        <v>168.82074698735377</v>
      </c>
      <c r="H3012">
        <v>227.83072916666671</v>
      </c>
      <c r="I3012" t="s">
        <v>58</v>
      </c>
      <c r="J3012">
        <f t="shared" si="304"/>
        <v>8.3730514210461848</v>
      </c>
      <c r="K3012">
        <f t="shared" si="305"/>
        <v>38019.0770714752</v>
      </c>
    </row>
    <row r="3013" spans="1:12" x14ac:dyDescent="0.35">
      <c r="A3013" s="1">
        <v>44166</v>
      </c>
      <c r="B3013" t="s">
        <v>15</v>
      </c>
      <c r="C3013" t="s">
        <v>38</v>
      </c>
      <c r="D3013">
        <v>442101</v>
      </c>
      <c r="E3013">
        <v>2324735.4</v>
      </c>
      <c r="F3013">
        <f t="shared" si="303"/>
        <v>5.2583807772432092</v>
      </c>
      <c r="G3013">
        <f t="shared" si="302"/>
        <v>238.52015205575196</v>
      </c>
      <c r="H3013">
        <v>221.56770833333331</v>
      </c>
      <c r="I3013" t="s">
        <v>58</v>
      </c>
      <c r="J3013">
        <f t="shared" si="304"/>
        <v>8.1428779247825549</v>
      </c>
      <c r="K3013">
        <f t="shared" si="305"/>
        <v>38019.0770714752</v>
      </c>
    </row>
    <row r="3014" spans="1:12" x14ac:dyDescent="0.35">
      <c r="A3014" s="1">
        <v>43831</v>
      </c>
      <c r="B3014" t="s">
        <v>18</v>
      </c>
      <c r="C3014" t="s">
        <v>38</v>
      </c>
      <c r="D3014">
        <v>667885.85938612942</v>
      </c>
      <c r="E3014">
        <v>1359224.9999999998</v>
      </c>
      <c r="F3014">
        <f t="shared" si="303"/>
        <v>2.0351157026281368</v>
      </c>
      <c r="G3014">
        <f t="shared" si="302"/>
        <v>92.312848271212289</v>
      </c>
      <c r="H3014">
        <v>10648.969791666668</v>
      </c>
      <c r="I3014" t="s">
        <v>40</v>
      </c>
      <c r="J3014">
        <f>(H3014/1000)/0.40815</f>
        <v>26.090823941361428</v>
      </c>
      <c r="K3014">
        <f>17191.1264164884+16136.2948259729</f>
        <v>33327.4212424613</v>
      </c>
      <c r="L3014">
        <v>17191.126416488401</v>
      </c>
    </row>
    <row r="3015" spans="1:12" x14ac:dyDescent="0.35">
      <c r="A3015" s="1">
        <v>43862</v>
      </c>
      <c r="B3015" t="s">
        <v>18</v>
      </c>
      <c r="C3015" t="s">
        <v>38</v>
      </c>
      <c r="D3015">
        <v>744167.36745743966</v>
      </c>
      <c r="E3015">
        <v>1450836.0000000002</v>
      </c>
      <c r="F3015">
        <f t="shared" si="303"/>
        <v>1.9496098101654213</v>
      </c>
      <c r="G3015">
        <f t="shared" si="302"/>
        <v>88.434300989103505</v>
      </c>
      <c r="H3015">
        <v>10221.924479166666</v>
      </c>
      <c r="I3015" t="s">
        <v>40</v>
      </c>
      <c r="J3015">
        <f t="shared" ref="J3015:J3025" si="306">(H3015/1000)/0.40815</f>
        <v>25.04452892114827</v>
      </c>
      <c r="K3015">
        <f t="shared" ref="K3015:K3025" si="307">17191.1264164884+16136.2948259729</f>
        <v>33327.4212424613</v>
      </c>
      <c r="L3015">
        <v>16136.2948259729</v>
      </c>
    </row>
    <row r="3016" spans="1:12" x14ac:dyDescent="0.35">
      <c r="A3016" s="1">
        <v>43891</v>
      </c>
      <c r="B3016" t="s">
        <v>18</v>
      </c>
      <c r="C3016" t="s">
        <v>38</v>
      </c>
      <c r="D3016">
        <v>704781.85160398448</v>
      </c>
      <c r="E3016">
        <v>1697903.9999999998</v>
      </c>
      <c r="F3016">
        <f t="shared" si="303"/>
        <v>2.4091199229035323</v>
      </c>
      <c r="G3016">
        <f t="shared" si="302"/>
        <v>109.27767970290422</v>
      </c>
      <c r="H3016">
        <v>9793.9</v>
      </c>
      <c r="I3016" t="s">
        <v>40</v>
      </c>
      <c r="J3016">
        <f t="shared" si="306"/>
        <v>23.995834864633096</v>
      </c>
      <c r="K3016">
        <f t="shared" si="307"/>
        <v>33327.4212424613</v>
      </c>
    </row>
    <row r="3017" spans="1:12" x14ac:dyDescent="0.35">
      <c r="A3017" s="1">
        <v>43922</v>
      </c>
      <c r="B3017" t="s">
        <v>18</v>
      </c>
      <c r="C3017" t="s">
        <v>38</v>
      </c>
      <c r="D3017">
        <v>734493.74889177957</v>
      </c>
      <c r="E3017">
        <v>3222459</v>
      </c>
      <c r="F3017">
        <f t="shared" si="303"/>
        <v>4.3873198442629597</v>
      </c>
      <c r="G3017">
        <f t="shared" si="302"/>
        <v>199.00882813576786</v>
      </c>
      <c r="H3017">
        <v>8274.4523809523798</v>
      </c>
      <c r="I3017" t="s">
        <v>40</v>
      </c>
      <c r="J3017">
        <f t="shared" si="306"/>
        <v>20.27306720801759</v>
      </c>
      <c r="K3017">
        <f t="shared" si="307"/>
        <v>33327.4212424613</v>
      </c>
    </row>
    <row r="3018" spans="1:12" x14ac:dyDescent="0.35">
      <c r="A3018" s="1">
        <v>43952</v>
      </c>
      <c r="B3018" t="s">
        <v>18</v>
      </c>
      <c r="C3018" t="s">
        <v>38</v>
      </c>
      <c r="D3018">
        <v>768626.41941021243</v>
      </c>
      <c r="E3018">
        <v>3252653.9999999995</v>
      </c>
      <c r="F3018">
        <f t="shared" si="303"/>
        <v>4.2317749141329903</v>
      </c>
      <c r="G3018">
        <f t="shared" si="302"/>
        <v>191.95331010507243</v>
      </c>
      <c r="H3018">
        <v>7378.9722222222226</v>
      </c>
      <c r="I3018" t="s">
        <v>40</v>
      </c>
      <c r="J3018">
        <f t="shared" si="306"/>
        <v>18.079069514203656</v>
      </c>
      <c r="K3018">
        <f t="shared" si="307"/>
        <v>33327.4212424613</v>
      </c>
    </row>
    <row r="3019" spans="1:12" x14ac:dyDescent="0.35">
      <c r="A3019" s="1">
        <v>43983</v>
      </c>
      <c r="B3019" t="s">
        <v>18</v>
      </c>
      <c r="C3019" t="s">
        <v>38</v>
      </c>
      <c r="D3019">
        <v>742839.15240901895</v>
      </c>
      <c r="E3019">
        <v>1978866</v>
      </c>
      <c r="F3019">
        <f t="shared" si="303"/>
        <v>2.6639225915631397</v>
      </c>
      <c r="G3019">
        <f t="shared" si="302"/>
        <v>120.83552875330402</v>
      </c>
      <c r="H3019">
        <v>6584.651041666667</v>
      </c>
      <c r="I3019" t="s">
        <v>40</v>
      </c>
      <c r="J3019">
        <f t="shared" si="306"/>
        <v>16.13291937196292</v>
      </c>
      <c r="K3019">
        <f t="shared" si="307"/>
        <v>33327.4212424613</v>
      </c>
    </row>
    <row r="3020" spans="1:12" x14ac:dyDescent="0.35">
      <c r="A3020" s="1">
        <v>44013</v>
      </c>
      <c r="B3020" t="s">
        <v>18</v>
      </c>
      <c r="C3020" t="s">
        <v>38</v>
      </c>
      <c r="D3020">
        <v>740176.4462852173</v>
      </c>
      <c r="E3020">
        <v>2261195.9999999995</v>
      </c>
      <c r="F3020">
        <f t="shared" si="303"/>
        <v>3.0549418471074627</v>
      </c>
      <c r="G3020">
        <f t="shared" si="302"/>
        <v>138.57216218479451</v>
      </c>
      <c r="H3020">
        <v>7621.71875</v>
      </c>
      <c r="I3020" t="s">
        <v>40</v>
      </c>
      <c r="J3020">
        <f t="shared" si="306"/>
        <v>18.673817836579691</v>
      </c>
      <c r="K3020">
        <f t="shared" si="307"/>
        <v>33327.4212424613</v>
      </c>
    </row>
    <row r="3021" spans="1:12" x14ac:dyDescent="0.35">
      <c r="A3021" s="1">
        <v>44044</v>
      </c>
      <c r="B3021" t="s">
        <v>18</v>
      </c>
      <c r="C3021" t="s">
        <v>38</v>
      </c>
      <c r="D3021">
        <v>740534.94286177459</v>
      </c>
      <c r="E3021">
        <v>4572135.1450990383</v>
      </c>
      <c r="F3021">
        <f t="shared" si="303"/>
        <v>6.1740977777904202</v>
      </c>
      <c r="G3021">
        <f t="shared" si="302"/>
        <v>280.05707520057348</v>
      </c>
      <c r="H3021">
        <v>9003.9375</v>
      </c>
      <c r="I3021" t="s">
        <v>40</v>
      </c>
      <c r="J3021">
        <f t="shared" si="306"/>
        <v>22.060363836824695</v>
      </c>
      <c r="K3021">
        <f t="shared" si="307"/>
        <v>33327.4212424613</v>
      </c>
    </row>
    <row r="3022" spans="1:12" x14ac:dyDescent="0.35">
      <c r="A3022" s="1">
        <v>44075</v>
      </c>
      <c r="B3022" t="s">
        <v>18</v>
      </c>
      <c r="C3022" t="s">
        <v>38</v>
      </c>
      <c r="D3022">
        <v>726229.36763272178</v>
      </c>
      <c r="E3022">
        <v>1842560.9999999998</v>
      </c>
      <c r="F3022">
        <f t="shared" si="303"/>
        <v>2.5371612359965092</v>
      </c>
      <c r="G3022">
        <f t="shared" si="302"/>
        <v>115.08563366480166</v>
      </c>
      <c r="H3022">
        <v>11153.0078125</v>
      </c>
      <c r="I3022" t="s">
        <v>40</v>
      </c>
      <c r="J3022">
        <f t="shared" si="306"/>
        <v>27.325757227734901</v>
      </c>
      <c r="K3022">
        <f t="shared" si="307"/>
        <v>33327.4212424613</v>
      </c>
    </row>
    <row r="3023" spans="1:12" x14ac:dyDescent="0.35">
      <c r="A3023" s="1">
        <v>44105</v>
      </c>
      <c r="B3023" t="s">
        <v>18</v>
      </c>
      <c r="C3023" t="s">
        <v>38</v>
      </c>
      <c r="D3023">
        <v>702067</v>
      </c>
      <c r="E3023">
        <v>1261952.0999999999</v>
      </c>
      <c r="F3023">
        <f t="shared" si="303"/>
        <v>1.7974810096472271</v>
      </c>
      <c r="G3023">
        <f t="shared" si="302"/>
        <v>81.533738597598216</v>
      </c>
      <c r="H3023">
        <v>12479.374999999998</v>
      </c>
      <c r="I3023" t="s">
        <v>40</v>
      </c>
      <c r="J3023">
        <f t="shared" si="306"/>
        <v>30.575462452529699</v>
      </c>
      <c r="K3023">
        <f t="shared" si="307"/>
        <v>33327.4212424613</v>
      </c>
    </row>
    <row r="3024" spans="1:12" x14ac:dyDescent="0.35">
      <c r="A3024" s="1">
        <v>44136</v>
      </c>
      <c r="B3024" t="s">
        <v>18</v>
      </c>
      <c r="C3024" t="s">
        <v>38</v>
      </c>
      <c r="D3024">
        <v>701469</v>
      </c>
      <c r="E3024">
        <v>955700.54999999993</v>
      </c>
      <c r="F3024">
        <f t="shared" si="303"/>
        <v>1.3624273488921106</v>
      </c>
      <c r="G3024">
        <f t="shared" si="302"/>
        <v>61.799704545746138</v>
      </c>
      <c r="H3024">
        <v>12092.069444444445</v>
      </c>
      <c r="I3024" t="s">
        <v>40</v>
      </c>
      <c r="J3024">
        <f t="shared" si="306"/>
        <v>29.626533001211431</v>
      </c>
      <c r="K3024">
        <f t="shared" si="307"/>
        <v>33327.4212424613</v>
      </c>
    </row>
    <row r="3025" spans="1:11" x14ac:dyDescent="0.35">
      <c r="A3025" s="1">
        <v>44166</v>
      </c>
      <c r="B3025" t="s">
        <v>18</v>
      </c>
      <c r="C3025" t="s">
        <v>38</v>
      </c>
      <c r="D3025">
        <v>636244</v>
      </c>
      <c r="E3025">
        <v>1610982</v>
      </c>
      <c r="F3025">
        <f>E3025/D3025</f>
        <v>2.5320191624596853</v>
      </c>
      <c r="G3025">
        <f t="shared" si="302"/>
        <v>114.85238920917132</v>
      </c>
      <c r="H3025">
        <v>10212.723958333334</v>
      </c>
      <c r="I3025" t="s">
        <v>40</v>
      </c>
      <c r="J3025">
        <f t="shared" si="306"/>
        <v>25.021986912491322</v>
      </c>
      <c r="K3025">
        <f t="shared" si="307"/>
        <v>33327.4212424613</v>
      </c>
    </row>
    <row r="3026" spans="1:11" x14ac:dyDescent="0.35">
      <c r="A3026" s="1">
        <v>44197</v>
      </c>
      <c r="B3026" t="s">
        <v>2</v>
      </c>
      <c r="C3026" t="s">
        <v>38</v>
      </c>
      <c r="D3026">
        <v>66817</v>
      </c>
      <c r="E3026">
        <v>260334</v>
      </c>
      <c r="F3026">
        <f t="shared" ref="F3026:F3089" si="308">E3026/D3026</f>
        <v>3.896224014846521</v>
      </c>
      <c r="G3026">
        <f t="shared" si="302"/>
        <v>176.73272131343819</v>
      </c>
      <c r="H3026">
        <v>2300.8328520352034</v>
      </c>
      <c r="I3026" t="s">
        <v>59</v>
      </c>
      <c r="J3026">
        <f>H3026/110</f>
        <v>20.916662291229123</v>
      </c>
      <c r="K3026">
        <v>7900.3979447716092</v>
      </c>
    </row>
    <row r="3027" spans="1:11" x14ac:dyDescent="0.35">
      <c r="A3027" s="1">
        <v>44228</v>
      </c>
      <c r="B3027" t="s">
        <v>2</v>
      </c>
      <c r="C3027" t="s">
        <v>38</v>
      </c>
      <c r="D3027">
        <v>4493</v>
      </c>
      <c r="E3027">
        <v>15964</v>
      </c>
      <c r="F3027">
        <f t="shared" si="308"/>
        <v>3.5530825728911641</v>
      </c>
      <c r="G3027">
        <f t="shared" si="302"/>
        <v>161.16782550634321</v>
      </c>
      <c r="H3027">
        <v>2336.9638797213051</v>
      </c>
      <c r="I3027" t="s">
        <v>59</v>
      </c>
      <c r="J3027">
        <f t="shared" ref="J3027:J3037" si="309">H3027/110</f>
        <v>21.245126179284593</v>
      </c>
      <c r="K3027">
        <v>7900.3979447716092</v>
      </c>
    </row>
    <row r="3028" spans="1:11" x14ac:dyDescent="0.35">
      <c r="A3028" s="1">
        <v>44256</v>
      </c>
      <c r="B3028" t="s">
        <v>2</v>
      </c>
      <c r="C3028" t="s">
        <v>38</v>
      </c>
      <c r="D3028">
        <v>140220</v>
      </c>
      <c r="E3028">
        <v>742789</v>
      </c>
      <c r="F3028">
        <f t="shared" si="308"/>
        <v>5.2973113678505204</v>
      </c>
      <c r="G3028">
        <f t="shared" si="302"/>
        <v>240.28604364569961</v>
      </c>
      <c r="H3028">
        <v>2352.1666666666665</v>
      </c>
      <c r="I3028" t="s">
        <v>59</v>
      </c>
      <c r="J3028">
        <f t="shared" si="309"/>
        <v>21.383333333333333</v>
      </c>
      <c r="K3028">
        <v>7900.3979447716092</v>
      </c>
    </row>
    <row r="3029" spans="1:11" x14ac:dyDescent="0.35">
      <c r="A3029" s="1">
        <v>44287</v>
      </c>
      <c r="B3029" t="s">
        <v>2</v>
      </c>
      <c r="C3029" t="s">
        <v>38</v>
      </c>
      <c r="D3029">
        <v>558329</v>
      </c>
      <c r="E3029">
        <v>3132098</v>
      </c>
      <c r="F3029">
        <f t="shared" si="308"/>
        <v>5.6097712997175497</v>
      </c>
      <c r="G3029">
        <f t="shared" si="302"/>
        <v>254.45922615518805</v>
      </c>
      <c r="H3029">
        <v>2499.90525703612</v>
      </c>
      <c r="I3029" t="s">
        <v>59</v>
      </c>
      <c r="J3029">
        <f t="shared" si="309"/>
        <v>22.726411427601089</v>
      </c>
      <c r="K3029">
        <v>7900.3979447716092</v>
      </c>
    </row>
    <row r="3030" spans="1:11" x14ac:dyDescent="0.35">
      <c r="A3030" s="1">
        <v>44317</v>
      </c>
      <c r="B3030" t="s">
        <v>2</v>
      </c>
      <c r="C3030" t="s">
        <v>38</v>
      </c>
      <c r="D3030">
        <v>413027</v>
      </c>
      <c r="E3030">
        <v>2458225</v>
      </c>
      <c r="F3030">
        <f t="shared" si="308"/>
        <v>5.9517295479472283</v>
      </c>
      <c r="G3030">
        <f t="shared" si="302"/>
        <v>269.97045229488629</v>
      </c>
      <c r="H3030">
        <v>2567.9919248869332</v>
      </c>
      <c r="I3030" t="s">
        <v>59</v>
      </c>
      <c r="J3030">
        <f t="shared" si="309"/>
        <v>23.345381135335757</v>
      </c>
      <c r="K3030">
        <v>7900.3979447716092</v>
      </c>
    </row>
    <row r="3031" spans="1:11" x14ac:dyDescent="0.35">
      <c r="A3031" s="1">
        <v>44348</v>
      </c>
      <c r="B3031" t="s">
        <v>2</v>
      </c>
      <c r="C3031" t="s">
        <v>38</v>
      </c>
      <c r="D3031">
        <v>190891</v>
      </c>
      <c r="E3031">
        <v>945181</v>
      </c>
      <c r="F3031">
        <f t="shared" si="308"/>
        <v>4.9514173009728069</v>
      </c>
      <c r="G3031">
        <f t="shared" si="302"/>
        <v>224.59628877212651</v>
      </c>
      <c r="H3031">
        <v>2529.3333638919448</v>
      </c>
      <c r="I3031" t="s">
        <v>59</v>
      </c>
      <c r="J3031">
        <f t="shared" si="309"/>
        <v>22.993939671744954</v>
      </c>
      <c r="K3031">
        <v>7900.3979447716092</v>
      </c>
    </row>
    <row r="3032" spans="1:11" x14ac:dyDescent="0.35">
      <c r="A3032" s="1">
        <v>44378</v>
      </c>
      <c r="B3032" t="s">
        <v>2</v>
      </c>
      <c r="C3032" t="s">
        <v>38</v>
      </c>
      <c r="D3032">
        <v>153807</v>
      </c>
      <c r="E3032">
        <v>744331</v>
      </c>
      <c r="F3032">
        <f t="shared" si="308"/>
        <v>4.8393831230048043</v>
      </c>
      <c r="G3032">
        <f t="shared" si="302"/>
        <v>219.51441845949793</v>
      </c>
      <c r="H3032">
        <v>2527.85</v>
      </c>
      <c r="I3032" t="s">
        <v>59</v>
      </c>
      <c r="J3032">
        <f t="shared" si="309"/>
        <v>22.980454545454545</v>
      </c>
      <c r="K3032">
        <v>7900.3979447716092</v>
      </c>
    </row>
    <row r="3033" spans="1:11" x14ac:dyDescent="0.35">
      <c r="A3033" s="1">
        <v>44409</v>
      </c>
      <c r="B3033" t="s">
        <v>2</v>
      </c>
      <c r="C3033" t="s">
        <v>38</v>
      </c>
      <c r="D3033">
        <v>387733</v>
      </c>
      <c r="E3033">
        <v>1639575</v>
      </c>
      <c r="F3033">
        <f t="shared" si="308"/>
        <v>4.2286186628427291</v>
      </c>
      <c r="G3033">
        <f t="shared" si="302"/>
        <v>191.81014254654619</v>
      </c>
      <c r="H3033">
        <v>2605.9731891839979</v>
      </c>
      <c r="I3033" t="s">
        <v>59</v>
      </c>
      <c r="J3033">
        <f t="shared" si="309"/>
        <v>23.690665356218162</v>
      </c>
      <c r="K3033">
        <v>7900.3979447716092</v>
      </c>
    </row>
    <row r="3034" spans="1:11" x14ac:dyDescent="0.35">
      <c r="A3034" s="1">
        <v>44440</v>
      </c>
      <c r="B3034" t="s">
        <v>2</v>
      </c>
      <c r="C3034" t="s">
        <v>38</v>
      </c>
      <c r="D3034">
        <v>417433</v>
      </c>
      <c r="E3034">
        <v>1651300</v>
      </c>
      <c r="F3034">
        <f t="shared" si="308"/>
        <v>3.9558444109593633</v>
      </c>
      <c r="G3034">
        <f t="shared" si="302"/>
        <v>179.43710248111671</v>
      </c>
      <c r="H3034">
        <v>2545.4444444444448</v>
      </c>
      <c r="I3034" t="s">
        <v>59</v>
      </c>
      <c r="J3034">
        <f t="shared" si="309"/>
        <v>23.140404040404043</v>
      </c>
      <c r="K3034">
        <v>7900.3979447716092</v>
      </c>
    </row>
    <row r="3035" spans="1:11" x14ac:dyDescent="0.35">
      <c r="A3035" s="1">
        <v>44470</v>
      </c>
      <c r="B3035" t="s">
        <v>2</v>
      </c>
      <c r="C3035" t="s">
        <v>38</v>
      </c>
      <c r="D3035">
        <v>329926</v>
      </c>
      <c r="E3035">
        <v>1407096</v>
      </c>
      <c r="F3035">
        <f t="shared" si="308"/>
        <v>4.264883640573947</v>
      </c>
      <c r="G3035">
        <f t="shared" si="302"/>
        <v>193.45512193643424</v>
      </c>
      <c r="H3035">
        <v>2568.7483989470379</v>
      </c>
      <c r="I3035" t="s">
        <v>59</v>
      </c>
      <c r="J3035">
        <f t="shared" si="309"/>
        <v>23.352258172245801</v>
      </c>
      <c r="K3035">
        <v>7900.3979447716092</v>
      </c>
    </row>
    <row r="3036" spans="1:11" x14ac:dyDescent="0.35">
      <c r="A3036" s="1">
        <v>44501</v>
      </c>
      <c r="B3036" t="s">
        <v>2</v>
      </c>
      <c r="C3036" t="s">
        <v>38</v>
      </c>
      <c r="D3036">
        <v>233525</v>
      </c>
      <c r="E3036">
        <v>885679</v>
      </c>
      <c r="F3036">
        <f t="shared" si="308"/>
        <v>3.7926517503479285</v>
      </c>
      <c r="G3036">
        <f t="shared" si="302"/>
        <v>172.03468339578203</v>
      </c>
      <c r="H3036">
        <v>2601.2614804337572</v>
      </c>
      <c r="I3036" t="s">
        <v>59</v>
      </c>
      <c r="J3036">
        <f t="shared" si="309"/>
        <v>23.647831640306883</v>
      </c>
      <c r="K3036">
        <v>7900.3979447716092</v>
      </c>
    </row>
    <row r="3037" spans="1:11" x14ac:dyDescent="0.35">
      <c r="A3037" s="1">
        <v>44531</v>
      </c>
      <c r="B3037" t="s">
        <v>2</v>
      </c>
      <c r="C3037" t="s">
        <v>38</v>
      </c>
      <c r="D3037">
        <v>143776</v>
      </c>
      <c r="E3037">
        <v>538947</v>
      </c>
      <c r="F3037">
        <f t="shared" si="308"/>
        <v>3.748518528822613</v>
      </c>
      <c r="G3037">
        <f t="shared" si="302"/>
        <v>170.03280046739371</v>
      </c>
      <c r="H3037">
        <v>2588.9631089894706</v>
      </c>
      <c r="I3037" t="s">
        <v>59</v>
      </c>
      <c r="J3037">
        <f t="shared" si="309"/>
        <v>23.53602826354064</v>
      </c>
      <c r="K3037">
        <v>7900.3979447716092</v>
      </c>
    </row>
    <row r="3038" spans="1:11" x14ac:dyDescent="0.35">
      <c r="A3038" s="1">
        <v>44197</v>
      </c>
      <c r="B3038" t="s">
        <v>5</v>
      </c>
      <c r="C3038" t="s">
        <v>38</v>
      </c>
      <c r="D3038">
        <v>53854</v>
      </c>
      <c r="E3038">
        <v>99899</v>
      </c>
      <c r="F3038">
        <f t="shared" si="308"/>
        <v>1.8549968433171167</v>
      </c>
      <c r="G3038">
        <f t="shared" si="302"/>
        <v>84.142656812864416</v>
      </c>
      <c r="H3038">
        <v>990.8125</v>
      </c>
      <c r="I3038" t="s">
        <v>38</v>
      </c>
      <c r="J3038">
        <f>H3038/45.36</f>
        <v>21.843309082892418</v>
      </c>
      <c r="K3038">
        <v>2759.0657712295683</v>
      </c>
    </row>
    <row r="3039" spans="1:11" x14ac:dyDescent="0.35">
      <c r="A3039" s="1">
        <v>44228</v>
      </c>
      <c r="B3039" t="s">
        <v>5</v>
      </c>
      <c r="C3039" t="s">
        <v>38</v>
      </c>
      <c r="D3039">
        <v>32154</v>
      </c>
      <c r="E3039">
        <v>79854</v>
      </c>
      <c r="F3039">
        <f t="shared" si="308"/>
        <v>2.4834857249486846</v>
      </c>
      <c r="G3039">
        <f t="shared" si="302"/>
        <v>112.65091248367233</v>
      </c>
      <c r="H3039">
        <v>982.61631944444446</v>
      </c>
      <c r="I3039" t="s">
        <v>38</v>
      </c>
      <c r="J3039">
        <f t="shared" ref="J3039:J3102" si="310">H3039/45.36</f>
        <v>21.662617271702921</v>
      </c>
      <c r="K3039">
        <v>2759.0657712295683</v>
      </c>
    </row>
    <row r="3040" spans="1:11" x14ac:dyDescent="0.35">
      <c r="A3040" s="1">
        <v>44256</v>
      </c>
      <c r="B3040" t="s">
        <v>5</v>
      </c>
      <c r="C3040" t="s">
        <v>38</v>
      </c>
      <c r="D3040">
        <v>34784</v>
      </c>
      <c r="E3040">
        <v>85421</v>
      </c>
      <c r="F3040">
        <f t="shared" si="308"/>
        <v>2.4557555197792089</v>
      </c>
      <c r="G3040">
        <f t="shared" si="302"/>
        <v>111.39307037718491</v>
      </c>
      <c r="H3040">
        <v>1005.484375</v>
      </c>
      <c r="I3040" t="s">
        <v>38</v>
      </c>
      <c r="J3040">
        <f t="shared" si="310"/>
        <v>22.166763117283949</v>
      </c>
      <c r="K3040">
        <v>2759.0657712295683</v>
      </c>
    </row>
    <row r="3041" spans="1:11" x14ac:dyDescent="0.35">
      <c r="A3041" s="1">
        <v>44287</v>
      </c>
      <c r="B3041" t="s">
        <v>5</v>
      </c>
      <c r="C3041" t="s">
        <v>38</v>
      </c>
      <c r="D3041">
        <v>29524</v>
      </c>
      <c r="E3041">
        <v>73854</v>
      </c>
      <c r="F3041">
        <f t="shared" si="308"/>
        <v>2.5014903129657227</v>
      </c>
      <c r="G3041">
        <f t="shared" si="302"/>
        <v>113.46760059612518</v>
      </c>
      <c r="H3041">
        <v>1057.3359375</v>
      </c>
      <c r="I3041" t="s">
        <v>38</v>
      </c>
      <c r="J3041">
        <f t="shared" si="310"/>
        <v>23.309875165343914</v>
      </c>
      <c r="K3041">
        <v>2759.0657712295683</v>
      </c>
    </row>
    <row r="3042" spans="1:11" x14ac:dyDescent="0.35">
      <c r="A3042" s="1">
        <v>44317</v>
      </c>
      <c r="B3042" t="s">
        <v>5</v>
      </c>
      <c r="C3042" t="s">
        <v>38</v>
      </c>
      <c r="D3042">
        <v>23654</v>
      </c>
      <c r="E3042">
        <v>86241</v>
      </c>
      <c r="F3042">
        <f t="shared" si="308"/>
        <v>3.6459372621966688</v>
      </c>
      <c r="G3042">
        <f t="shared" si="302"/>
        <v>165.3797142132409</v>
      </c>
      <c r="H3042">
        <v>1063.3359375</v>
      </c>
      <c r="I3042" t="s">
        <v>38</v>
      </c>
      <c r="J3042">
        <f t="shared" si="310"/>
        <v>23.442150297619047</v>
      </c>
      <c r="K3042">
        <v>2759.0657712295683</v>
      </c>
    </row>
    <row r="3043" spans="1:11" x14ac:dyDescent="0.35">
      <c r="A3043" s="1">
        <v>44348</v>
      </c>
      <c r="B3043" t="s">
        <v>5</v>
      </c>
      <c r="C3043" t="s">
        <v>38</v>
      </c>
      <c r="D3043">
        <v>40145</v>
      </c>
      <c r="E3043">
        <v>101012</v>
      </c>
      <c r="F3043">
        <f t="shared" si="308"/>
        <v>2.5161788516627226</v>
      </c>
      <c r="G3043">
        <f t="shared" si="302"/>
        <v>114.13387271142109</v>
      </c>
      <c r="H3043">
        <v>1101.1619791666667</v>
      </c>
      <c r="I3043" t="s">
        <v>38</v>
      </c>
      <c r="J3043">
        <f t="shared" si="310"/>
        <v>24.276057741769549</v>
      </c>
      <c r="K3043">
        <v>2759.0657712295683</v>
      </c>
    </row>
    <row r="3044" spans="1:11" x14ac:dyDescent="0.35">
      <c r="A3044" s="1">
        <v>44378</v>
      </c>
      <c r="B3044" t="s">
        <v>5</v>
      </c>
      <c r="C3044" t="s">
        <v>38</v>
      </c>
      <c r="D3044">
        <v>36998</v>
      </c>
      <c r="E3044">
        <v>116789</v>
      </c>
      <c r="F3044">
        <f t="shared" si="308"/>
        <v>3.156630088112871</v>
      </c>
      <c r="G3044">
        <f t="shared" si="302"/>
        <v>143.18474079679982</v>
      </c>
      <c r="H3044">
        <v>1118.9869791666665</v>
      </c>
      <c r="I3044" t="s">
        <v>38</v>
      </c>
      <c r="J3044">
        <f t="shared" si="310"/>
        <v>24.669025113903583</v>
      </c>
      <c r="K3044">
        <v>2759.0657712295683</v>
      </c>
    </row>
    <row r="3045" spans="1:11" x14ac:dyDescent="0.35">
      <c r="A3045" s="1">
        <v>44409</v>
      </c>
      <c r="B3045" t="s">
        <v>5</v>
      </c>
      <c r="C3045" t="s">
        <v>38</v>
      </c>
      <c r="D3045">
        <v>42767</v>
      </c>
      <c r="E3045">
        <v>90245</v>
      </c>
      <c r="F3045">
        <f t="shared" si="308"/>
        <v>2.1101550260715038</v>
      </c>
      <c r="G3045">
        <f t="shared" si="302"/>
        <v>95.716631982603417</v>
      </c>
      <c r="H3045">
        <v>1108.1848958333333</v>
      </c>
      <c r="I3045" t="s">
        <v>38</v>
      </c>
      <c r="J3045">
        <f t="shared" si="310"/>
        <v>24.430883946942973</v>
      </c>
      <c r="K3045">
        <v>2759.0657712295683</v>
      </c>
    </row>
    <row r="3046" spans="1:11" x14ac:dyDescent="0.35">
      <c r="A3046" s="1">
        <v>44440</v>
      </c>
      <c r="B3046" t="s">
        <v>5</v>
      </c>
      <c r="C3046" t="s">
        <v>38</v>
      </c>
      <c r="D3046">
        <v>52457</v>
      </c>
      <c r="E3046">
        <v>132457</v>
      </c>
      <c r="F3046">
        <f t="shared" si="308"/>
        <v>2.5250586194406845</v>
      </c>
      <c r="G3046">
        <f t="shared" si="302"/>
        <v>114.53665897782945</v>
      </c>
      <c r="H3046">
        <v>1108.0534166666666</v>
      </c>
      <c r="I3046" t="s">
        <v>38</v>
      </c>
      <c r="J3046">
        <f t="shared" si="310"/>
        <v>24.427985376249264</v>
      </c>
      <c r="K3046">
        <v>2759.0657712295683</v>
      </c>
    </row>
    <row r="3047" spans="1:11" x14ac:dyDescent="0.35">
      <c r="A3047" s="1">
        <v>44470</v>
      </c>
      <c r="B3047" t="s">
        <v>5</v>
      </c>
      <c r="C3047" t="s">
        <v>38</v>
      </c>
      <c r="D3047">
        <v>61610</v>
      </c>
      <c r="E3047">
        <v>162345</v>
      </c>
      <c r="F3047">
        <f t="shared" si="308"/>
        <v>2.6350430124979711</v>
      </c>
      <c r="G3047">
        <f t="shared" si="302"/>
        <v>119.52555104690796</v>
      </c>
      <c r="H3047">
        <v>1015.3653645833333</v>
      </c>
      <c r="I3047" t="s">
        <v>38</v>
      </c>
      <c r="J3047">
        <f t="shared" si="310"/>
        <v>22.384597984641388</v>
      </c>
      <c r="K3047">
        <v>2759.0657712295683</v>
      </c>
    </row>
    <row r="3048" spans="1:11" x14ac:dyDescent="0.35">
      <c r="A3048" s="1">
        <v>44501</v>
      </c>
      <c r="B3048" t="s">
        <v>5</v>
      </c>
      <c r="C3048" t="s">
        <v>38</v>
      </c>
      <c r="D3048">
        <v>45014</v>
      </c>
      <c r="E3048">
        <v>103477</v>
      </c>
      <c r="F3048">
        <f t="shared" si="308"/>
        <v>2.2987737148442706</v>
      </c>
      <c r="G3048">
        <f t="shared" si="302"/>
        <v>104.27237570533612</v>
      </c>
      <c r="H3048">
        <v>989.89322916666652</v>
      </c>
      <c r="I3048" t="s">
        <v>38</v>
      </c>
      <c r="J3048">
        <f t="shared" si="310"/>
        <v>21.823042971046441</v>
      </c>
      <c r="K3048">
        <v>2759.0657712295683</v>
      </c>
    </row>
    <row r="3049" spans="1:11" x14ac:dyDescent="0.35">
      <c r="A3049" s="1">
        <v>44531</v>
      </c>
      <c r="B3049" t="s">
        <v>5</v>
      </c>
      <c r="C3049" t="s">
        <v>38</v>
      </c>
      <c r="D3049">
        <v>30746</v>
      </c>
      <c r="E3049">
        <v>74876</v>
      </c>
      <c r="F3049">
        <f t="shared" si="308"/>
        <v>2.435308658036818</v>
      </c>
      <c r="G3049">
        <f t="shared" si="302"/>
        <v>110.46560072855006</v>
      </c>
      <c r="H3049">
        <v>1040.7984375000001</v>
      </c>
      <c r="I3049" t="s">
        <v>38</v>
      </c>
      <c r="J3049">
        <f t="shared" si="310"/>
        <v>22.945291832010586</v>
      </c>
      <c r="K3049">
        <v>2759.0657712295683</v>
      </c>
    </row>
    <row r="3050" spans="1:11" x14ac:dyDescent="0.35">
      <c r="A3050" s="1">
        <v>44197</v>
      </c>
      <c r="B3050" t="s">
        <v>7</v>
      </c>
      <c r="C3050" t="s">
        <v>38</v>
      </c>
      <c r="D3050">
        <v>5784</v>
      </c>
      <c r="E3050">
        <v>78544</v>
      </c>
      <c r="F3050">
        <f t="shared" si="308"/>
        <v>13.579529737206085</v>
      </c>
      <c r="G3050">
        <f t="shared" si="302"/>
        <v>615.96746887966799</v>
      </c>
      <c r="H3050">
        <v>892.55357142857144</v>
      </c>
      <c r="I3050" t="s">
        <v>38</v>
      </c>
      <c r="J3050">
        <f t="shared" si="310"/>
        <v>19.677106953892668</v>
      </c>
      <c r="K3050">
        <v>6695.9501351373056</v>
      </c>
    </row>
    <row r="3051" spans="1:11" x14ac:dyDescent="0.35">
      <c r="A3051" s="1">
        <v>44228</v>
      </c>
      <c r="B3051" t="s">
        <v>7</v>
      </c>
      <c r="C3051" t="s">
        <v>38</v>
      </c>
      <c r="D3051">
        <v>11452</v>
      </c>
      <c r="E3051">
        <v>110249</v>
      </c>
      <c r="F3051">
        <f t="shared" si="308"/>
        <v>9.6270520433112114</v>
      </c>
      <c r="G3051">
        <f t="shared" si="302"/>
        <v>436.68308068459652</v>
      </c>
      <c r="H3051">
        <v>792.48437499999989</v>
      </c>
      <c r="I3051" t="s">
        <v>38</v>
      </c>
      <c r="J3051">
        <f t="shared" si="310"/>
        <v>17.470995921516753</v>
      </c>
      <c r="K3051">
        <v>6695.9501351373056</v>
      </c>
    </row>
    <row r="3052" spans="1:11" x14ac:dyDescent="0.35">
      <c r="A3052" s="1">
        <v>44256</v>
      </c>
      <c r="B3052" t="s">
        <v>7</v>
      </c>
      <c r="C3052" t="s">
        <v>38</v>
      </c>
      <c r="D3052">
        <v>10754</v>
      </c>
      <c r="E3052">
        <v>128744</v>
      </c>
      <c r="F3052">
        <f t="shared" si="308"/>
        <v>11.971731448763251</v>
      </c>
      <c r="G3052">
        <f t="shared" si="302"/>
        <v>543.03773851590108</v>
      </c>
      <c r="H3052">
        <v>823.03125</v>
      </c>
      <c r="I3052" t="s">
        <v>38</v>
      </c>
      <c r="J3052">
        <f t="shared" si="310"/>
        <v>18.144427910052912</v>
      </c>
      <c r="K3052">
        <v>6695.9501351373056</v>
      </c>
    </row>
    <row r="3053" spans="1:11" x14ac:dyDescent="0.35">
      <c r="A3053" s="1">
        <v>44287</v>
      </c>
      <c r="B3053" t="s">
        <v>7</v>
      </c>
      <c r="C3053" t="s">
        <v>38</v>
      </c>
      <c r="D3053">
        <v>12420</v>
      </c>
      <c r="E3053">
        <v>145301</v>
      </c>
      <c r="F3053">
        <f t="shared" si="308"/>
        <v>11.698953301127213</v>
      </c>
      <c r="G3053">
        <f t="shared" si="302"/>
        <v>530.66452173913035</v>
      </c>
      <c r="H3053">
        <v>836.74479166666674</v>
      </c>
      <c r="I3053" t="s">
        <v>38</v>
      </c>
      <c r="J3053">
        <f t="shared" si="310"/>
        <v>18.446754666372723</v>
      </c>
      <c r="K3053">
        <v>6695.9501351373056</v>
      </c>
    </row>
    <row r="3054" spans="1:11" x14ac:dyDescent="0.35">
      <c r="A3054" s="1">
        <v>44317</v>
      </c>
      <c r="B3054" t="s">
        <v>7</v>
      </c>
      <c r="C3054" t="s">
        <v>38</v>
      </c>
      <c r="D3054">
        <v>10821</v>
      </c>
      <c r="E3054">
        <v>125471</v>
      </c>
      <c r="F3054">
        <f t="shared" si="308"/>
        <v>11.595139081415766</v>
      </c>
      <c r="G3054">
        <f t="shared" si="302"/>
        <v>525.9555087330192</v>
      </c>
      <c r="H3054">
        <v>752.33072916666663</v>
      </c>
      <c r="I3054" t="s">
        <v>38</v>
      </c>
      <c r="J3054">
        <f t="shared" si="310"/>
        <v>16.585774452527925</v>
      </c>
      <c r="K3054">
        <v>6695.9501351373056</v>
      </c>
    </row>
    <row r="3055" spans="1:11" x14ac:dyDescent="0.35">
      <c r="A3055" s="1">
        <v>44348</v>
      </c>
      <c r="B3055" t="s">
        <v>7</v>
      </c>
      <c r="C3055" t="s">
        <v>38</v>
      </c>
      <c r="D3055">
        <v>9821</v>
      </c>
      <c r="E3055">
        <v>114210</v>
      </c>
      <c r="F3055">
        <f t="shared" si="308"/>
        <v>11.629161999796354</v>
      </c>
      <c r="G3055">
        <f t="shared" si="302"/>
        <v>527.49878831076262</v>
      </c>
      <c r="H3055">
        <v>826.17708333333326</v>
      </c>
      <c r="I3055" t="s">
        <v>38</v>
      </c>
      <c r="J3055">
        <f t="shared" si="310"/>
        <v>18.213780496766606</v>
      </c>
      <c r="K3055">
        <v>6695.9501351373056</v>
      </c>
    </row>
    <row r="3056" spans="1:11" x14ac:dyDescent="0.35">
      <c r="A3056" s="1">
        <v>44378</v>
      </c>
      <c r="B3056" t="s">
        <v>7</v>
      </c>
      <c r="C3056" t="s">
        <v>38</v>
      </c>
      <c r="D3056">
        <v>7599</v>
      </c>
      <c r="E3056">
        <v>92788</v>
      </c>
      <c r="F3056">
        <f t="shared" si="308"/>
        <v>12.210554020265825</v>
      </c>
      <c r="G3056">
        <f t="shared" si="302"/>
        <v>553.87073035925778</v>
      </c>
      <c r="H3056">
        <v>804.03645833333337</v>
      </c>
      <c r="I3056" t="s">
        <v>38</v>
      </c>
      <c r="J3056">
        <f t="shared" si="310"/>
        <v>17.725671480011759</v>
      </c>
      <c r="K3056">
        <v>6695.9501351373056</v>
      </c>
    </row>
    <row r="3057" spans="1:11" x14ac:dyDescent="0.35">
      <c r="A3057" s="1">
        <v>44409</v>
      </c>
      <c r="B3057" t="s">
        <v>7</v>
      </c>
      <c r="C3057" t="s">
        <v>38</v>
      </c>
      <c r="D3057">
        <v>7101</v>
      </c>
      <c r="E3057">
        <v>85885</v>
      </c>
      <c r="F3057">
        <f t="shared" si="308"/>
        <v>12.094775383748768</v>
      </c>
      <c r="G3057">
        <f t="shared" si="302"/>
        <v>548.61901140684415</v>
      </c>
      <c r="H3057">
        <v>679.70508958333335</v>
      </c>
      <c r="I3057" t="s">
        <v>38</v>
      </c>
      <c r="J3057">
        <f t="shared" si="310"/>
        <v>14.984680105452675</v>
      </c>
      <c r="K3057">
        <v>6695.9501351373056</v>
      </c>
    </row>
    <row r="3058" spans="1:11" x14ac:dyDescent="0.35">
      <c r="A3058" s="1">
        <v>44440</v>
      </c>
      <c r="B3058" t="s">
        <v>7</v>
      </c>
      <c r="C3058" t="s">
        <v>38</v>
      </c>
      <c r="D3058">
        <v>7721</v>
      </c>
      <c r="E3058">
        <v>79987</v>
      </c>
      <c r="F3058">
        <f t="shared" si="308"/>
        <v>10.359668436730994</v>
      </c>
      <c r="G3058">
        <f t="shared" si="302"/>
        <v>469.91456029011789</v>
      </c>
      <c r="H3058">
        <v>701.67499999999995</v>
      </c>
      <c r="I3058" t="s">
        <v>38</v>
      </c>
      <c r="J3058">
        <f t="shared" si="310"/>
        <v>15.469025573192239</v>
      </c>
      <c r="K3058">
        <v>6695.9501351373056</v>
      </c>
    </row>
    <row r="3059" spans="1:11" x14ac:dyDescent="0.35">
      <c r="A3059" s="1">
        <v>44470</v>
      </c>
      <c r="B3059" t="s">
        <v>7</v>
      </c>
      <c r="C3059" t="s">
        <v>38</v>
      </c>
      <c r="D3059">
        <v>8010</v>
      </c>
      <c r="E3059">
        <v>103107</v>
      </c>
      <c r="F3059">
        <f t="shared" si="308"/>
        <v>12.872284644194757</v>
      </c>
      <c r="G3059">
        <f t="shared" si="302"/>
        <v>583.8868314606741</v>
      </c>
      <c r="H3059">
        <v>736.46484375</v>
      </c>
      <c r="I3059" t="s">
        <v>38</v>
      </c>
      <c r="J3059">
        <f t="shared" si="310"/>
        <v>16.235997437169313</v>
      </c>
      <c r="K3059">
        <v>6695.9501351373056</v>
      </c>
    </row>
    <row r="3060" spans="1:11" x14ac:dyDescent="0.35">
      <c r="A3060" s="1">
        <v>44501</v>
      </c>
      <c r="B3060" t="s">
        <v>7</v>
      </c>
      <c r="C3060" t="s">
        <v>38</v>
      </c>
      <c r="D3060">
        <v>8954</v>
      </c>
      <c r="E3060">
        <v>105055</v>
      </c>
      <c r="F3060">
        <f t="shared" si="308"/>
        <v>11.732745141836052</v>
      </c>
      <c r="G3060">
        <f t="shared" ref="G3060:G3123" si="311">F3060*45.36</f>
        <v>532.19731963368326</v>
      </c>
      <c r="H3060">
        <v>703.68489583333337</v>
      </c>
      <c r="I3060" t="s">
        <v>38</v>
      </c>
      <c r="J3060">
        <f t="shared" si="310"/>
        <v>15.513335446061141</v>
      </c>
      <c r="K3060">
        <v>6695.9501351373056</v>
      </c>
    </row>
    <row r="3061" spans="1:11" x14ac:dyDescent="0.35">
      <c r="A3061" s="1">
        <v>44531</v>
      </c>
      <c r="B3061" t="s">
        <v>7</v>
      </c>
      <c r="C3061" t="s">
        <v>38</v>
      </c>
      <c r="D3061">
        <v>9733</v>
      </c>
      <c r="E3061">
        <v>113884</v>
      </c>
      <c r="F3061">
        <f t="shared" si="308"/>
        <v>11.700811671632589</v>
      </c>
      <c r="G3061">
        <f t="shared" si="311"/>
        <v>530.74881742525429</v>
      </c>
      <c r="H3061">
        <v>719.22755208333331</v>
      </c>
      <c r="I3061" t="s">
        <v>38</v>
      </c>
      <c r="J3061">
        <f t="shared" si="310"/>
        <v>15.855986597957084</v>
      </c>
      <c r="K3061">
        <v>6695.9501351373056</v>
      </c>
    </row>
    <row r="3062" spans="1:11" x14ac:dyDescent="0.35">
      <c r="A3062" s="1">
        <v>44197</v>
      </c>
      <c r="B3062" t="s">
        <v>8</v>
      </c>
      <c r="C3062" t="s">
        <v>38</v>
      </c>
      <c r="D3062">
        <v>9021</v>
      </c>
      <c r="E3062">
        <v>75985</v>
      </c>
      <c r="F3062">
        <f t="shared" si="308"/>
        <v>8.423123822192661</v>
      </c>
      <c r="G3062">
        <f t="shared" si="311"/>
        <v>382.07289657465913</v>
      </c>
      <c r="H3062">
        <v>2024.2249999999999</v>
      </c>
      <c r="I3062" t="s">
        <v>38</v>
      </c>
      <c r="J3062">
        <f t="shared" si="310"/>
        <v>44.625771604938272</v>
      </c>
      <c r="K3062">
        <v>11609.318489158657</v>
      </c>
    </row>
    <row r="3063" spans="1:11" x14ac:dyDescent="0.35">
      <c r="A3063" s="1">
        <v>44228</v>
      </c>
      <c r="B3063" t="s">
        <v>8</v>
      </c>
      <c r="C3063" t="s">
        <v>38</v>
      </c>
      <c r="D3063">
        <v>9534</v>
      </c>
      <c r="E3063">
        <v>82014</v>
      </c>
      <c r="F3063">
        <f t="shared" si="308"/>
        <v>8.602265575833858</v>
      </c>
      <c r="G3063">
        <f t="shared" si="311"/>
        <v>390.19876651982378</v>
      </c>
      <c r="H3063">
        <v>1870.671875</v>
      </c>
      <c r="I3063" t="s">
        <v>38</v>
      </c>
      <c r="J3063">
        <f t="shared" si="310"/>
        <v>41.240561618165785</v>
      </c>
      <c r="K3063">
        <v>11609.318489158657</v>
      </c>
    </row>
    <row r="3064" spans="1:11" x14ac:dyDescent="0.35">
      <c r="A3064" s="1">
        <v>44256</v>
      </c>
      <c r="B3064" t="s">
        <v>8</v>
      </c>
      <c r="C3064" t="s">
        <v>38</v>
      </c>
      <c r="D3064">
        <v>7014</v>
      </c>
      <c r="E3064">
        <v>72145</v>
      </c>
      <c r="F3064">
        <f t="shared" si="308"/>
        <v>10.285856857713146</v>
      </c>
      <c r="G3064">
        <f t="shared" si="311"/>
        <v>466.56646706586827</v>
      </c>
      <c r="H3064">
        <v>2072.8095238095239</v>
      </c>
      <c r="I3064" t="s">
        <v>38</v>
      </c>
      <c r="J3064">
        <f t="shared" si="310"/>
        <v>45.696858990509789</v>
      </c>
      <c r="K3064">
        <v>11609.318489158657</v>
      </c>
    </row>
    <row r="3065" spans="1:11" x14ac:dyDescent="0.35">
      <c r="A3065" s="1">
        <v>44287</v>
      </c>
      <c r="B3065" t="s">
        <v>8</v>
      </c>
      <c r="C3065" t="s">
        <v>38</v>
      </c>
      <c r="D3065">
        <v>9124</v>
      </c>
      <c r="E3065">
        <v>88544</v>
      </c>
      <c r="F3065">
        <f t="shared" si="308"/>
        <v>9.7045155633494087</v>
      </c>
      <c r="G3065">
        <f t="shared" si="311"/>
        <v>440.19682595352918</v>
      </c>
      <c r="H3065">
        <v>1880.7222222222224</v>
      </c>
      <c r="I3065" t="s">
        <v>38</v>
      </c>
      <c r="J3065">
        <f t="shared" si="310"/>
        <v>41.462130119537534</v>
      </c>
      <c r="K3065">
        <v>11609.318489158657</v>
      </c>
    </row>
    <row r="3066" spans="1:11" x14ac:dyDescent="0.35">
      <c r="A3066" s="1">
        <v>44317</v>
      </c>
      <c r="B3066" t="s">
        <v>8</v>
      </c>
      <c r="C3066" t="s">
        <v>38</v>
      </c>
      <c r="D3066">
        <v>5498</v>
      </c>
      <c r="E3066">
        <v>56988</v>
      </c>
      <c r="F3066">
        <f t="shared" si="308"/>
        <v>10.365223717715534</v>
      </c>
      <c r="G3066">
        <f t="shared" si="311"/>
        <v>470.16654783557658</v>
      </c>
      <c r="H3066">
        <v>1683.46875</v>
      </c>
      <c r="I3066" t="s">
        <v>38</v>
      </c>
      <c r="J3066">
        <f t="shared" si="310"/>
        <v>37.113508597883602</v>
      </c>
      <c r="K3066">
        <v>11609.318489158657</v>
      </c>
    </row>
    <row r="3067" spans="1:11" x14ac:dyDescent="0.35">
      <c r="A3067" s="1">
        <v>44348</v>
      </c>
      <c r="B3067" t="s">
        <v>8</v>
      </c>
      <c r="C3067" t="s">
        <v>38</v>
      </c>
      <c r="D3067">
        <v>6785</v>
      </c>
      <c r="E3067">
        <v>49244</v>
      </c>
      <c r="F3067">
        <f t="shared" si="308"/>
        <v>7.2577745025792186</v>
      </c>
      <c r="G3067">
        <f t="shared" si="311"/>
        <v>329.21265143699333</v>
      </c>
      <c r="H3067">
        <v>1962.3976190476189</v>
      </c>
      <c r="I3067" t="s">
        <v>38</v>
      </c>
      <c r="J3067">
        <f t="shared" si="310"/>
        <v>43.262734105988073</v>
      </c>
      <c r="K3067">
        <v>11609.318489158657</v>
      </c>
    </row>
    <row r="3068" spans="1:11" x14ac:dyDescent="0.35">
      <c r="A3068" s="1">
        <v>44378</v>
      </c>
      <c r="B3068" t="s">
        <v>8</v>
      </c>
      <c r="C3068" t="s">
        <v>38</v>
      </c>
      <c r="D3068">
        <v>4300</v>
      </c>
      <c r="E3068">
        <v>42155</v>
      </c>
      <c r="F3068">
        <f t="shared" si="308"/>
        <v>9.8034883720930228</v>
      </c>
      <c r="G3068">
        <f t="shared" si="311"/>
        <v>444.68623255813952</v>
      </c>
      <c r="H3068">
        <v>2054.0625</v>
      </c>
      <c r="I3068" t="s">
        <v>38</v>
      </c>
      <c r="J3068">
        <f t="shared" si="310"/>
        <v>45.283564814814817</v>
      </c>
      <c r="K3068">
        <v>11609.318489158657</v>
      </c>
    </row>
    <row r="3069" spans="1:11" x14ac:dyDescent="0.35">
      <c r="A3069" s="1">
        <v>44409</v>
      </c>
      <c r="B3069" t="s">
        <v>8</v>
      </c>
      <c r="C3069" t="s">
        <v>38</v>
      </c>
      <c r="D3069">
        <v>3978</v>
      </c>
      <c r="E3069">
        <v>33345</v>
      </c>
      <c r="F3069">
        <f t="shared" si="308"/>
        <v>8.382352941176471</v>
      </c>
      <c r="G3069">
        <f t="shared" si="311"/>
        <v>380.22352941176473</v>
      </c>
      <c r="H3069">
        <v>1943.7833333333335</v>
      </c>
      <c r="I3069" t="s">
        <v>38</v>
      </c>
      <c r="J3069">
        <f t="shared" si="310"/>
        <v>42.852366255144041</v>
      </c>
      <c r="K3069">
        <v>11609.318489158657</v>
      </c>
    </row>
    <row r="3070" spans="1:11" x14ac:dyDescent="0.35">
      <c r="A3070" s="1">
        <v>44440</v>
      </c>
      <c r="B3070" t="s">
        <v>8</v>
      </c>
      <c r="C3070" t="s">
        <v>38</v>
      </c>
      <c r="D3070">
        <v>4588</v>
      </c>
      <c r="E3070">
        <v>40214</v>
      </c>
      <c r="F3070">
        <f t="shared" si="308"/>
        <v>8.7650392327811684</v>
      </c>
      <c r="G3070">
        <f t="shared" si="311"/>
        <v>397.58217959895381</v>
      </c>
      <c r="H3070">
        <v>1753.48</v>
      </c>
      <c r="I3070" t="s">
        <v>38</v>
      </c>
      <c r="J3070">
        <f t="shared" si="310"/>
        <v>38.656966490299823</v>
      </c>
      <c r="K3070">
        <v>11609.318489158657</v>
      </c>
    </row>
    <row r="3071" spans="1:11" x14ac:dyDescent="0.35">
      <c r="A3071" s="1">
        <v>44470</v>
      </c>
      <c r="B3071" t="s">
        <v>8</v>
      </c>
      <c r="C3071" t="s">
        <v>38</v>
      </c>
      <c r="D3071">
        <v>3843</v>
      </c>
      <c r="E3071">
        <v>55813</v>
      </c>
      <c r="F3071">
        <f t="shared" si="308"/>
        <v>14.523289097059589</v>
      </c>
      <c r="G3071">
        <f t="shared" si="311"/>
        <v>658.77639344262298</v>
      </c>
      <c r="H3071">
        <v>1850.825</v>
      </c>
      <c r="I3071" t="s">
        <v>38</v>
      </c>
      <c r="J3071">
        <f t="shared" si="310"/>
        <v>40.803020282186949</v>
      </c>
      <c r="K3071">
        <v>11609.318489158657</v>
      </c>
    </row>
    <row r="3072" spans="1:11" x14ac:dyDescent="0.35">
      <c r="A3072" s="1">
        <v>44501</v>
      </c>
      <c r="B3072" t="s">
        <v>8</v>
      </c>
      <c r="C3072" t="s">
        <v>38</v>
      </c>
      <c r="D3072">
        <v>4428</v>
      </c>
      <c r="E3072">
        <v>64356</v>
      </c>
      <c r="F3072">
        <f t="shared" si="308"/>
        <v>14.533875338753388</v>
      </c>
      <c r="G3072">
        <f t="shared" si="311"/>
        <v>659.25658536585365</v>
      </c>
      <c r="H3072">
        <v>1643.4722222222224</v>
      </c>
      <c r="I3072" t="s">
        <v>38</v>
      </c>
      <c r="J3072">
        <f t="shared" si="310"/>
        <v>36.231750930825008</v>
      </c>
      <c r="K3072">
        <v>11609.318489158657</v>
      </c>
    </row>
    <row r="3073" spans="1:11" x14ac:dyDescent="0.35">
      <c r="A3073" s="1">
        <v>44531</v>
      </c>
      <c r="B3073" t="s">
        <v>8</v>
      </c>
      <c r="C3073" t="s">
        <v>38</v>
      </c>
      <c r="D3073">
        <v>2937</v>
      </c>
      <c r="E3073">
        <v>34508</v>
      </c>
      <c r="F3073">
        <f t="shared" si="308"/>
        <v>11.749404153898537</v>
      </c>
      <c r="G3073">
        <f t="shared" si="311"/>
        <v>532.95297242083757</v>
      </c>
      <c r="H3073">
        <v>1739.7458333333334</v>
      </c>
      <c r="I3073" t="s">
        <v>38</v>
      </c>
      <c r="J3073">
        <f t="shared" si="310"/>
        <v>38.354185038212819</v>
      </c>
      <c r="K3073">
        <v>11609.318489158657</v>
      </c>
    </row>
    <row r="3074" spans="1:11" x14ac:dyDescent="0.35">
      <c r="A3074" s="1">
        <v>44197</v>
      </c>
      <c r="B3074" t="s">
        <v>9</v>
      </c>
      <c r="C3074" t="s">
        <v>38</v>
      </c>
      <c r="D3074">
        <v>5204</v>
      </c>
      <c r="E3074">
        <v>146989</v>
      </c>
      <c r="F3074">
        <f t="shared" si="308"/>
        <v>28.245388162951574</v>
      </c>
      <c r="G3074">
        <f t="shared" si="311"/>
        <v>1281.2108070714835</v>
      </c>
      <c r="H3074">
        <v>1194</v>
      </c>
      <c r="I3074" t="s">
        <v>38</v>
      </c>
      <c r="J3074">
        <f t="shared" si="310"/>
        <v>26.322751322751323</v>
      </c>
      <c r="K3074">
        <v>31774.651266666668</v>
      </c>
    </row>
    <row r="3075" spans="1:11" x14ac:dyDescent="0.35">
      <c r="A3075" s="1">
        <v>44228</v>
      </c>
      <c r="B3075" t="s">
        <v>9</v>
      </c>
      <c r="C3075" t="s">
        <v>38</v>
      </c>
      <c r="D3075">
        <v>5589</v>
      </c>
      <c r="E3075">
        <v>190299</v>
      </c>
      <c r="F3075">
        <f t="shared" si="308"/>
        <v>34.048845947396671</v>
      </c>
      <c r="G3075">
        <f t="shared" si="311"/>
        <v>1544.455652173913</v>
      </c>
      <c r="H3075">
        <v>1196.6666666666665</v>
      </c>
      <c r="I3075" t="s">
        <v>38</v>
      </c>
      <c r="J3075">
        <f t="shared" si="310"/>
        <v>26.381540270429156</v>
      </c>
      <c r="K3075">
        <v>31774.651266666668</v>
      </c>
    </row>
    <row r="3076" spans="1:11" x14ac:dyDescent="0.35">
      <c r="A3076" s="1">
        <v>44256</v>
      </c>
      <c r="B3076" t="s">
        <v>9</v>
      </c>
      <c r="C3076" t="s">
        <v>38</v>
      </c>
      <c r="D3076">
        <v>4852</v>
      </c>
      <c r="E3076">
        <v>220145</v>
      </c>
      <c r="F3076">
        <f t="shared" si="308"/>
        <v>45.372011541632318</v>
      </c>
      <c r="G3076">
        <f t="shared" si="311"/>
        <v>2058.0744435284419</v>
      </c>
      <c r="H3076">
        <v>1250</v>
      </c>
      <c r="I3076" t="s">
        <v>38</v>
      </c>
      <c r="J3076">
        <f t="shared" si="310"/>
        <v>27.557319223985893</v>
      </c>
      <c r="K3076">
        <v>31774.651266666668</v>
      </c>
    </row>
    <row r="3077" spans="1:11" x14ac:dyDescent="0.35">
      <c r="A3077" s="1">
        <v>44287</v>
      </c>
      <c r="B3077" t="s">
        <v>9</v>
      </c>
      <c r="C3077" t="s">
        <v>38</v>
      </c>
      <c r="D3077">
        <v>4561</v>
      </c>
      <c r="E3077">
        <v>175425</v>
      </c>
      <c r="F3077">
        <f t="shared" si="308"/>
        <v>38.461960096470072</v>
      </c>
      <c r="G3077">
        <f t="shared" si="311"/>
        <v>1744.6345099758826</v>
      </c>
      <c r="H3077">
        <v>1037.3333333333335</v>
      </c>
      <c r="I3077" t="s">
        <v>38</v>
      </c>
      <c r="J3077">
        <f t="shared" si="310"/>
        <v>22.868900646678426</v>
      </c>
      <c r="K3077">
        <v>31774.651266666668</v>
      </c>
    </row>
    <row r="3078" spans="1:11" x14ac:dyDescent="0.35">
      <c r="A3078" s="1">
        <v>44317</v>
      </c>
      <c r="B3078" t="s">
        <v>9</v>
      </c>
      <c r="C3078" t="s">
        <v>38</v>
      </c>
      <c r="D3078">
        <v>4945</v>
      </c>
      <c r="E3078">
        <v>190144</v>
      </c>
      <c r="F3078">
        <f t="shared" si="308"/>
        <v>38.451769464105155</v>
      </c>
      <c r="G3078">
        <f t="shared" si="311"/>
        <v>1744.1722628918099</v>
      </c>
      <c r="H3078">
        <v>884.75</v>
      </c>
      <c r="I3078" t="s">
        <v>38</v>
      </c>
      <c r="J3078">
        <f t="shared" si="310"/>
        <v>19.505070546737215</v>
      </c>
      <c r="K3078">
        <v>31774.651266666668</v>
      </c>
    </row>
    <row r="3079" spans="1:11" x14ac:dyDescent="0.35">
      <c r="A3079" s="1">
        <v>44348</v>
      </c>
      <c r="B3079" t="s">
        <v>9</v>
      </c>
      <c r="C3079" t="s">
        <v>38</v>
      </c>
      <c r="D3079">
        <v>4277</v>
      </c>
      <c r="E3079">
        <v>163878</v>
      </c>
      <c r="F3079">
        <f t="shared" si="308"/>
        <v>38.316109422492403</v>
      </c>
      <c r="G3079">
        <f t="shared" si="311"/>
        <v>1738.0187234042553</v>
      </c>
      <c r="H3079">
        <v>1003.9375</v>
      </c>
      <c r="I3079" t="s">
        <v>38</v>
      </c>
      <c r="J3079">
        <f t="shared" si="310"/>
        <v>22.132660934744269</v>
      </c>
      <c r="K3079">
        <v>31774.651266666668</v>
      </c>
    </row>
    <row r="3080" spans="1:11" x14ac:dyDescent="0.35">
      <c r="A3080" s="1">
        <v>44378</v>
      </c>
      <c r="B3080" t="s">
        <v>9</v>
      </c>
      <c r="C3080" t="s">
        <v>38</v>
      </c>
      <c r="D3080">
        <v>3501</v>
      </c>
      <c r="E3080">
        <v>122899</v>
      </c>
      <c r="F3080">
        <f t="shared" si="308"/>
        <v>35.103970294201659</v>
      </c>
      <c r="G3080">
        <f t="shared" si="311"/>
        <v>1592.3160925449872</v>
      </c>
      <c r="H3080">
        <v>953.125</v>
      </c>
      <c r="I3080" t="s">
        <v>38</v>
      </c>
      <c r="J3080">
        <f t="shared" si="310"/>
        <v>21.01245590828924</v>
      </c>
      <c r="K3080">
        <v>31774.651266666668</v>
      </c>
    </row>
    <row r="3081" spans="1:11" x14ac:dyDescent="0.35">
      <c r="A3081" s="1">
        <v>44409</v>
      </c>
      <c r="B3081" t="s">
        <v>9</v>
      </c>
      <c r="C3081" t="s">
        <v>38</v>
      </c>
      <c r="D3081">
        <v>4359</v>
      </c>
      <c r="E3081">
        <v>165478</v>
      </c>
      <c r="F3081">
        <f t="shared" si="308"/>
        <v>37.96237669190181</v>
      </c>
      <c r="G3081">
        <f t="shared" si="311"/>
        <v>1721.9734067446661</v>
      </c>
      <c r="H3081">
        <v>955</v>
      </c>
      <c r="I3081" t="s">
        <v>38</v>
      </c>
      <c r="J3081">
        <f t="shared" si="310"/>
        <v>21.053791887125222</v>
      </c>
      <c r="K3081">
        <v>31774.651266666668</v>
      </c>
    </row>
    <row r="3082" spans="1:11" x14ac:dyDescent="0.35">
      <c r="A3082" s="1">
        <v>44440</v>
      </c>
      <c r="B3082" t="s">
        <v>9</v>
      </c>
      <c r="C3082" t="s">
        <v>38</v>
      </c>
      <c r="D3082">
        <v>4710</v>
      </c>
      <c r="E3082">
        <v>193554</v>
      </c>
      <c r="F3082">
        <f t="shared" si="308"/>
        <v>41.094267515923569</v>
      </c>
      <c r="G3082">
        <f t="shared" si="311"/>
        <v>1864.0359745222931</v>
      </c>
      <c r="H3082">
        <v>938</v>
      </c>
      <c r="I3082" t="s">
        <v>38</v>
      </c>
      <c r="J3082">
        <f t="shared" si="310"/>
        <v>20.679012345679013</v>
      </c>
      <c r="K3082">
        <v>31774.651266666668</v>
      </c>
    </row>
    <row r="3083" spans="1:11" x14ac:dyDescent="0.35">
      <c r="A3083" s="1">
        <v>44470</v>
      </c>
      <c r="B3083" t="s">
        <v>9</v>
      </c>
      <c r="C3083" t="s">
        <v>38</v>
      </c>
      <c r="D3083">
        <v>4000</v>
      </c>
      <c r="E3083">
        <v>147110</v>
      </c>
      <c r="F3083">
        <f t="shared" si="308"/>
        <v>36.777500000000003</v>
      </c>
      <c r="G3083">
        <f t="shared" si="311"/>
        <v>1668.2274000000002</v>
      </c>
      <c r="H3083">
        <v>914.66666666666663</v>
      </c>
      <c r="I3083" t="s">
        <v>38</v>
      </c>
      <c r="J3083">
        <f t="shared" si="310"/>
        <v>20.164609053497941</v>
      </c>
      <c r="K3083">
        <v>31774.651266666668</v>
      </c>
    </row>
    <row r="3084" spans="1:11" x14ac:dyDescent="0.35">
      <c r="A3084" s="1">
        <v>44501</v>
      </c>
      <c r="B3084" t="s">
        <v>9</v>
      </c>
      <c r="C3084" t="s">
        <v>38</v>
      </c>
      <c r="D3084">
        <v>4392</v>
      </c>
      <c r="E3084">
        <v>135046</v>
      </c>
      <c r="F3084">
        <f t="shared" si="308"/>
        <v>30.748178506375229</v>
      </c>
      <c r="G3084">
        <f t="shared" si="311"/>
        <v>1394.7373770491804</v>
      </c>
      <c r="H3084">
        <v>1062.5</v>
      </c>
      <c r="I3084" t="s">
        <v>38</v>
      </c>
      <c r="J3084">
        <f t="shared" si="310"/>
        <v>23.423721340388006</v>
      </c>
      <c r="K3084">
        <v>31774.651266666668</v>
      </c>
    </row>
    <row r="3085" spans="1:11" x14ac:dyDescent="0.35">
      <c r="A3085" s="1">
        <v>44531</v>
      </c>
      <c r="B3085" t="s">
        <v>9</v>
      </c>
      <c r="C3085" t="s">
        <v>38</v>
      </c>
      <c r="D3085">
        <v>3870</v>
      </c>
      <c r="E3085">
        <v>150849</v>
      </c>
      <c r="F3085">
        <f t="shared" si="308"/>
        <v>38.979069767441864</v>
      </c>
      <c r="G3085">
        <f t="shared" si="311"/>
        <v>1768.0906046511629</v>
      </c>
      <c r="H3085">
        <v>1100</v>
      </c>
      <c r="I3085" t="s">
        <v>38</v>
      </c>
      <c r="J3085">
        <f t="shared" si="310"/>
        <v>24.250440917107586</v>
      </c>
      <c r="K3085">
        <v>31774.651266666668</v>
      </c>
    </row>
    <row r="3086" spans="1:11" x14ac:dyDescent="0.35">
      <c r="A3086" s="1">
        <v>44197</v>
      </c>
      <c r="B3086" t="s">
        <v>10</v>
      </c>
      <c r="C3086" t="s">
        <v>38</v>
      </c>
      <c r="D3086">
        <v>5998</v>
      </c>
      <c r="E3086">
        <v>72141</v>
      </c>
      <c r="F3086">
        <f t="shared" si="308"/>
        <v>12.027509169723242</v>
      </c>
      <c r="G3086">
        <f t="shared" si="311"/>
        <v>545.56781593864628</v>
      </c>
      <c r="H3086">
        <v>3361.1011904761908</v>
      </c>
      <c r="I3086" t="s">
        <v>38</v>
      </c>
      <c r="J3086">
        <f t="shared" si="310"/>
        <v>74.098350760057116</v>
      </c>
      <c r="K3086">
        <v>9606.8568095338396</v>
      </c>
    </row>
    <row r="3087" spans="1:11" x14ac:dyDescent="0.35">
      <c r="A3087" s="1">
        <v>44228</v>
      </c>
      <c r="B3087" t="s">
        <v>10</v>
      </c>
      <c r="C3087" t="s">
        <v>38</v>
      </c>
      <c r="D3087">
        <v>7629</v>
      </c>
      <c r="E3087">
        <v>67524</v>
      </c>
      <c r="F3087">
        <f t="shared" si="308"/>
        <v>8.8509634290208421</v>
      </c>
      <c r="G3087">
        <f t="shared" si="311"/>
        <v>401.47970114038537</v>
      </c>
      <c r="H3087">
        <v>2929.7332407407412</v>
      </c>
      <c r="I3087" t="s">
        <v>38</v>
      </c>
      <c r="J3087">
        <f t="shared" si="310"/>
        <v>64.588475324972251</v>
      </c>
      <c r="K3087">
        <v>9606.8568095338396</v>
      </c>
    </row>
    <row r="3088" spans="1:11" x14ac:dyDescent="0.35">
      <c r="A3088" s="1">
        <v>44256</v>
      </c>
      <c r="B3088" t="s">
        <v>10</v>
      </c>
      <c r="C3088" t="s">
        <v>38</v>
      </c>
      <c r="D3088">
        <v>6324</v>
      </c>
      <c r="E3088">
        <v>53547</v>
      </c>
      <c r="F3088">
        <f t="shared" si="308"/>
        <v>8.4672675521821628</v>
      </c>
      <c r="G3088">
        <f t="shared" si="311"/>
        <v>384.07525616698291</v>
      </c>
      <c r="H3088">
        <v>2748.9732142857142</v>
      </c>
      <c r="I3088" t="s">
        <v>38</v>
      </c>
      <c r="J3088">
        <f t="shared" si="310"/>
        <v>60.603465923406397</v>
      </c>
      <c r="K3088">
        <v>9606.8568095338396</v>
      </c>
    </row>
    <row r="3089" spans="1:11" x14ac:dyDescent="0.35">
      <c r="A3089" s="1">
        <v>44287</v>
      </c>
      <c r="B3089" t="s">
        <v>10</v>
      </c>
      <c r="C3089" t="s">
        <v>38</v>
      </c>
      <c r="D3089">
        <v>7124</v>
      </c>
      <c r="E3089">
        <v>68544</v>
      </c>
      <c r="F3089">
        <f t="shared" si="308"/>
        <v>9.6215609208309942</v>
      </c>
      <c r="G3089">
        <f t="shared" si="311"/>
        <v>436.43400336889391</v>
      </c>
      <c r="H3089">
        <v>2603.0059523809527</v>
      </c>
      <c r="I3089" t="s">
        <v>38</v>
      </c>
      <c r="J3089">
        <f t="shared" si="310"/>
        <v>57.385492777357868</v>
      </c>
      <c r="K3089">
        <v>9606.8568095338396</v>
      </c>
    </row>
    <row r="3090" spans="1:11" x14ac:dyDescent="0.35">
      <c r="A3090" s="1">
        <v>44317</v>
      </c>
      <c r="B3090" t="s">
        <v>10</v>
      </c>
      <c r="C3090" t="s">
        <v>38</v>
      </c>
      <c r="D3090">
        <v>6524</v>
      </c>
      <c r="E3090">
        <v>43214</v>
      </c>
      <c r="F3090">
        <f t="shared" ref="F3090:F3097" si="312">E3090/D3090</f>
        <v>6.6238503985285098</v>
      </c>
      <c r="G3090">
        <f t="shared" si="311"/>
        <v>300.45785407725322</v>
      </c>
      <c r="H3090">
        <v>2295.0620535714288</v>
      </c>
      <c r="I3090" t="s">
        <v>38</v>
      </c>
      <c r="J3090">
        <f t="shared" si="310"/>
        <v>50.59660611929958</v>
      </c>
      <c r="K3090">
        <v>9606.8568095338396</v>
      </c>
    </row>
    <row r="3091" spans="1:11" x14ac:dyDescent="0.35">
      <c r="A3091" s="1">
        <v>44348</v>
      </c>
      <c r="B3091" t="s">
        <v>10</v>
      </c>
      <c r="C3091" t="s">
        <v>38</v>
      </c>
      <c r="D3091">
        <v>6352</v>
      </c>
      <c r="E3091">
        <v>61647</v>
      </c>
      <c r="F3091">
        <f t="shared" si="312"/>
        <v>9.7051322418136028</v>
      </c>
      <c r="G3091">
        <f t="shared" si="311"/>
        <v>440.22479848866504</v>
      </c>
      <c r="H3091">
        <v>2330.9303571428577</v>
      </c>
      <c r="I3091" t="s">
        <v>38</v>
      </c>
      <c r="J3091">
        <f t="shared" si="310"/>
        <v>51.38735355253214</v>
      </c>
      <c r="K3091">
        <v>9606.8568095338396</v>
      </c>
    </row>
    <row r="3092" spans="1:11" x14ac:dyDescent="0.35">
      <c r="A3092" s="1">
        <v>44378</v>
      </c>
      <c r="B3092" t="s">
        <v>10</v>
      </c>
      <c r="C3092" t="s">
        <v>38</v>
      </c>
      <c r="D3092">
        <v>6599</v>
      </c>
      <c r="E3092">
        <v>61898</v>
      </c>
      <c r="F3092">
        <f t="shared" si="312"/>
        <v>9.3799060463706621</v>
      </c>
      <c r="G3092">
        <f t="shared" si="311"/>
        <v>425.47253826337322</v>
      </c>
      <c r="H3092">
        <v>2193.223125</v>
      </c>
      <c r="I3092" t="s">
        <v>38</v>
      </c>
      <c r="J3092">
        <f t="shared" si="310"/>
        <v>48.351479828042329</v>
      </c>
      <c r="K3092">
        <v>9606.8568095338396</v>
      </c>
    </row>
    <row r="3093" spans="1:11" x14ac:dyDescent="0.35">
      <c r="A3093" s="1">
        <v>44409</v>
      </c>
      <c r="B3093" t="s">
        <v>10</v>
      </c>
      <c r="C3093" t="s">
        <v>38</v>
      </c>
      <c r="D3093">
        <v>4945</v>
      </c>
      <c r="E3093">
        <v>52141</v>
      </c>
      <c r="F3093">
        <f t="shared" si="312"/>
        <v>10.544186046511628</v>
      </c>
      <c r="G3093">
        <f t="shared" si="311"/>
        <v>478.28427906976742</v>
      </c>
      <c r="H3093">
        <v>2228.75</v>
      </c>
      <c r="I3093" t="s">
        <v>38</v>
      </c>
      <c r="J3093">
        <f t="shared" si="310"/>
        <v>49.134700176366842</v>
      </c>
      <c r="K3093">
        <v>9606.8568095338396</v>
      </c>
    </row>
    <row r="3094" spans="1:11" x14ac:dyDescent="0.35">
      <c r="A3094" s="1">
        <v>44440</v>
      </c>
      <c r="B3094" t="s">
        <v>10</v>
      </c>
      <c r="C3094" t="s">
        <v>38</v>
      </c>
      <c r="D3094">
        <v>4689</v>
      </c>
      <c r="E3094">
        <v>45844</v>
      </c>
      <c r="F3094">
        <f t="shared" si="312"/>
        <v>9.776924717423757</v>
      </c>
      <c r="G3094">
        <f t="shared" si="311"/>
        <v>443.4813051823416</v>
      </c>
      <c r="H3094">
        <v>2292.5047619047618</v>
      </c>
      <c r="I3094" t="s">
        <v>38</v>
      </c>
      <c r="J3094">
        <f t="shared" si="310"/>
        <v>50.540228437053834</v>
      </c>
      <c r="K3094">
        <v>9606.8568095338396</v>
      </c>
    </row>
    <row r="3095" spans="1:11" x14ac:dyDescent="0.35">
      <c r="A3095" s="1">
        <v>44470</v>
      </c>
      <c r="B3095" t="s">
        <v>10</v>
      </c>
      <c r="C3095" t="s">
        <v>38</v>
      </c>
      <c r="D3095">
        <v>4185</v>
      </c>
      <c r="E3095">
        <v>44643</v>
      </c>
      <c r="F3095">
        <f t="shared" si="312"/>
        <v>10.667383512544802</v>
      </c>
      <c r="G3095">
        <f t="shared" si="311"/>
        <v>483.87251612903225</v>
      </c>
      <c r="H3095">
        <v>2397.6309523809532</v>
      </c>
      <c r="I3095" t="s">
        <v>38</v>
      </c>
      <c r="J3095">
        <f t="shared" si="310"/>
        <v>52.857825228856996</v>
      </c>
      <c r="K3095">
        <v>9606.8568095338396</v>
      </c>
    </row>
    <row r="3096" spans="1:11" x14ac:dyDescent="0.35">
      <c r="A3096" s="1">
        <v>44501</v>
      </c>
      <c r="B3096" t="s">
        <v>10</v>
      </c>
      <c r="C3096" t="s">
        <v>38</v>
      </c>
      <c r="D3096">
        <v>7830</v>
      </c>
      <c r="E3096">
        <v>123840</v>
      </c>
      <c r="F3096">
        <f t="shared" si="312"/>
        <v>15.816091954022989</v>
      </c>
      <c r="G3096">
        <f t="shared" si="311"/>
        <v>717.41793103448276</v>
      </c>
      <c r="H3096">
        <v>2110.34</v>
      </c>
      <c r="I3096" t="s">
        <v>38</v>
      </c>
      <c r="J3096">
        <f t="shared" si="310"/>
        <v>46.524250440917115</v>
      </c>
      <c r="K3096">
        <v>9606.8568095338396</v>
      </c>
    </row>
    <row r="3097" spans="1:11" x14ac:dyDescent="0.35">
      <c r="A3097" s="1">
        <v>44531</v>
      </c>
      <c r="B3097" t="s">
        <v>10</v>
      </c>
      <c r="C3097" t="s">
        <v>38</v>
      </c>
      <c r="D3097">
        <v>8037</v>
      </c>
      <c r="E3097">
        <v>102387</v>
      </c>
      <c r="F3097">
        <f>E3097/D3097</f>
        <v>12.739455020530048</v>
      </c>
      <c r="G3097">
        <f t="shared" si="311"/>
        <v>577.86167973124293</v>
      </c>
      <c r="H3097">
        <v>2355.9928571428572</v>
      </c>
      <c r="I3097" t="s">
        <v>38</v>
      </c>
      <c r="J3097">
        <f t="shared" si="310"/>
        <v>51.939877802973044</v>
      </c>
      <c r="K3097">
        <v>9606.8568095338396</v>
      </c>
    </row>
    <row r="3098" spans="1:11" x14ac:dyDescent="0.35">
      <c r="A3098" s="1">
        <v>44197</v>
      </c>
      <c r="B3098" t="s">
        <v>11</v>
      </c>
      <c r="C3098" t="s">
        <v>38</v>
      </c>
      <c r="D3098">
        <v>27451</v>
      </c>
      <c r="E3098">
        <v>289954</v>
      </c>
      <c r="F3098">
        <f t="shared" ref="F3098:F3161" si="313">E3098/D3098</f>
        <v>10.56260245528396</v>
      </c>
      <c r="G3098">
        <f t="shared" si="311"/>
        <v>479.1196473716804</v>
      </c>
      <c r="H3098">
        <v>624.75520833333337</v>
      </c>
      <c r="I3098" t="s">
        <v>38</v>
      </c>
      <c r="J3098">
        <f t="shared" si="310"/>
        <v>13.773262970311583</v>
      </c>
      <c r="K3098">
        <v>5403.3874144923848</v>
      </c>
    </row>
    <row r="3099" spans="1:11" x14ac:dyDescent="0.35">
      <c r="A3099" s="1">
        <v>44228</v>
      </c>
      <c r="B3099" t="s">
        <v>11</v>
      </c>
      <c r="C3099" t="s">
        <v>38</v>
      </c>
      <c r="D3099">
        <v>37214</v>
      </c>
      <c r="E3099">
        <v>425789</v>
      </c>
      <c r="F3099">
        <f t="shared" si="313"/>
        <v>11.44163486859784</v>
      </c>
      <c r="G3099">
        <f t="shared" si="311"/>
        <v>518.99255763959798</v>
      </c>
      <c r="H3099">
        <v>637.16937499999995</v>
      </c>
      <c r="I3099" t="s">
        <v>38</v>
      </c>
      <c r="J3099">
        <f t="shared" si="310"/>
        <v>14.046943893298058</v>
      </c>
      <c r="K3099">
        <v>5403.3874144923848</v>
      </c>
    </row>
    <row r="3100" spans="1:11" x14ac:dyDescent="0.35">
      <c r="A3100" s="1">
        <v>44256</v>
      </c>
      <c r="B3100" t="s">
        <v>11</v>
      </c>
      <c r="C3100" t="s">
        <v>38</v>
      </c>
      <c r="D3100">
        <v>29668</v>
      </c>
      <c r="E3100">
        <v>295411</v>
      </c>
      <c r="F3100">
        <f t="shared" si="313"/>
        <v>9.9572266414992576</v>
      </c>
      <c r="G3100">
        <f t="shared" si="311"/>
        <v>451.65980045840632</v>
      </c>
      <c r="H3100">
        <v>654.39781249999999</v>
      </c>
      <c r="I3100" t="s">
        <v>38</v>
      </c>
      <c r="J3100">
        <f t="shared" si="310"/>
        <v>14.426759534832451</v>
      </c>
      <c r="K3100">
        <v>5403.3874144923848</v>
      </c>
    </row>
    <row r="3101" spans="1:11" x14ac:dyDescent="0.35">
      <c r="A3101" s="1">
        <v>44287</v>
      </c>
      <c r="B3101" t="s">
        <v>11</v>
      </c>
      <c r="C3101" t="s">
        <v>38</v>
      </c>
      <c r="D3101">
        <v>30102</v>
      </c>
      <c r="E3101">
        <v>292140</v>
      </c>
      <c r="F3101">
        <f t="shared" si="313"/>
        <v>9.7050029898345631</v>
      </c>
      <c r="G3101">
        <f t="shared" si="311"/>
        <v>440.21893561889578</v>
      </c>
      <c r="H3101">
        <v>757.80989583333337</v>
      </c>
      <c r="I3101" t="s">
        <v>38</v>
      </c>
      <c r="J3101">
        <f t="shared" si="310"/>
        <v>16.70656736845973</v>
      </c>
      <c r="K3101">
        <v>5403.3874144923848</v>
      </c>
    </row>
    <row r="3102" spans="1:11" x14ac:dyDescent="0.35">
      <c r="A3102" s="1">
        <v>44317</v>
      </c>
      <c r="B3102" t="s">
        <v>11</v>
      </c>
      <c r="C3102" t="s">
        <v>38</v>
      </c>
      <c r="D3102">
        <v>26887</v>
      </c>
      <c r="E3102">
        <v>295999</v>
      </c>
      <c r="F3102">
        <f t="shared" si="313"/>
        <v>11.009000632275821</v>
      </c>
      <c r="G3102">
        <f t="shared" si="311"/>
        <v>499.36826868003124</v>
      </c>
      <c r="H3102">
        <v>756.4993750000001</v>
      </c>
      <c r="I3102" t="s">
        <v>38</v>
      </c>
      <c r="J3102">
        <f t="shared" si="310"/>
        <v>16.677675815696652</v>
      </c>
      <c r="K3102">
        <v>5403.3874144923848</v>
      </c>
    </row>
    <row r="3103" spans="1:11" x14ac:dyDescent="0.35">
      <c r="A3103" s="1">
        <v>44348</v>
      </c>
      <c r="B3103" t="s">
        <v>11</v>
      </c>
      <c r="C3103" t="s">
        <v>38</v>
      </c>
      <c r="D3103">
        <v>40210</v>
      </c>
      <c r="E3103">
        <v>389898</v>
      </c>
      <c r="F3103">
        <f t="shared" si="313"/>
        <v>9.6965431484705302</v>
      </c>
      <c r="G3103">
        <f t="shared" si="311"/>
        <v>439.83519721462324</v>
      </c>
      <c r="H3103">
        <v>776.44143749999989</v>
      </c>
      <c r="I3103" t="s">
        <v>38</v>
      </c>
      <c r="J3103">
        <f t="shared" ref="J3103:J3133" si="314">H3103/45.36</f>
        <v>17.11731564153439</v>
      </c>
      <c r="K3103">
        <v>5403.3874144923848</v>
      </c>
    </row>
    <row r="3104" spans="1:11" x14ac:dyDescent="0.35">
      <c r="A3104" s="1">
        <v>44378</v>
      </c>
      <c r="B3104" t="s">
        <v>11</v>
      </c>
      <c r="C3104" t="s">
        <v>38</v>
      </c>
      <c r="D3104">
        <v>30324</v>
      </c>
      <c r="E3104">
        <v>304251</v>
      </c>
      <c r="F3104">
        <f t="shared" si="313"/>
        <v>10.033339928769292</v>
      </c>
      <c r="G3104">
        <f t="shared" si="311"/>
        <v>455.11229916897508</v>
      </c>
      <c r="H3104">
        <v>746.82312500000012</v>
      </c>
      <c r="I3104" t="s">
        <v>38</v>
      </c>
      <c r="J3104">
        <f t="shared" si="314"/>
        <v>16.464354607583775</v>
      </c>
      <c r="K3104">
        <v>5403.3874144923848</v>
      </c>
    </row>
    <row r="3105" spans="1:11" x14ac:dyDescent="0.35">
      <c r="A3105" s="1">
        <v>44409</v>
      </c>
      <c r="B3105" t="s">
        <v>11</v>
      </c>
      <c r="C3105" t="s">
        <v>38</v>
      </c>
      <c r="D3105">
        <v>32477</v>
      </c>
      <c r="E3105">
        <v>347145</v>
      </c>
      <c r="F3105">
        <f t="shared" si="313"/>
        <v>10.688949102441727</v>
      </c>
      <c r="G3105">
        <f t="shared" si="311"/>
        <v>484.85073128675674</v>
      </c>
      <c r="H3105">
        <v>723.44791666666674</v>
      </c>
      <c r="I3105" t="s">
        <v>38</v>
      </c>
      <c r="J3105">
        <f t="shared" si="314"/>
        <v>15.949028145208702</v>
      </c>
      <c r="K3105">
        <v>5403.3874144923848</v>
      </c>
    </row>
    <row r="3106" spans="1:11" x14ac:dyDescent="0.35">
      <c r="A3106" s="1">
        <v>44440</v>
      </c>
      <c r="B3106" t="s">
        <v>11</v>
      </c>
      <c r="C3106" t="s">
        <v>38</v>
      </c>
      <c r="D3106">
        <v>28654</v>
      </c>
      <c r="E3106">
        <v>345214</v>
      </c>
      <c r="F3106">
        <f t="shared" si="313"/>
        <v>12.04767222726321</v>
      </c>
      <c r="G3106">
        <f t="shared" si="311"/>
        <v>546.4824122286592</v>
      </c>
      <c r="H3106">
        <v>758.61458333333326</v>
      </c>
      <c r="I3106" t="s">
        <v>38</v>
      </c>
      <c r="J3106">
        <f t="shared" si="314"/>
        <v>16.72430739271017</v>
      </c>
      <c r="K3106">
        <v>5403.3874144923848</v>
      </c>
    </row>
    <row r="3107" spans="1:11" x14ac:dyDescent="0.35">
      <c r="A3107" s="1">
        <v>44470</v>
      </c>
      <c r="B3107" t="s">
        <v>11</v>
      </c>
      <c r="C3107" t="s">
        <v>38</v>
      </c>
      <c r="D3107">
        <v>17295</v>
      </c>
      <c r="E3107">
        <v>205460</v>
      </c>
      <c r="F3107">
        <f t="shared" si="313"/>
        <v>11.879734027175484</v>
      </c>
      <c r="G3107">
        <f t="shared" si="311"/>
        <v>538.86473547267997</v>
      </c>
      <c r="H3107">
        <v>820.60590277777771</v>
      </c>
      <c r="I3107" t="s">
        <v>38</v>
      </c>
      <c r="J3107">
        <f t="shared" si="314"/>
        <v>18.090959055947479</v>
      </c>
      <c r="K3107">
        <v>5403.3874144923848</v>
      </c>
    </row>
    <row r="3108" spans="1:11" x14ac:dyDescent="0.35">
      <c r="A3108" s="1">
        <v>44501</v>
      </c>
      <c r="B3108" t="s">
        <v>11</v>
      </c>
      <c r="C3108" t="s">
        <v>38</v>
      </c>
      <c r="D3108">
        <v>22227</v>
      </c>
      <c r="E3108">
        <v>278615</v>
      </c>
      <c r="F3108">
        <f t="shared" si="313"/>
        <v>12.534979979304449</v>
      </c>
      <c r="G3108">
        <f t="shared" si="311"/>
        <v>568.58669186124985</v>
      </c>
      <c r="H3108">
        <v>814.34180555555554</v>
      </c>
      <c r="I3108" t="s">
        <v>38</v>
      </c>
      <c r="J3108">
        <f t="shared" si="314"/>
        <v>17.952861674505193</v>
      </c>
      <c r="K3108">
        <v>5403.3874144923848</v>
      </c>
    </row>
    <row r="3109" spans="1:11" x14ac:dyDescent="0.35">
      <c r="A3109" s="1">
        <v>44531</v>
      </c>
      <c r="B3109" t="s">
        <v>11</v>
      </c>
      <c r="C3109" t="s">
        <v>38</v>
      </c>
      <c r="D3109">
        <v>20590</v>
      </c>
      <c r="E3109">
        <v>232513</v>
      </c>
      <c r="F3109">
        <f t="shared" si="313"/>
        <v>11.292520641087906</v>
      </c>
      <c r="G3109">
        <f t="shared" si="311"/>
        <v>512.22873627974741</v>
      </c>
      <c r="H3109">
        <v>822.06364583333334</v>
      </c>
      <c r="I3109" t="s">
        <v>38</v>
      </c>
      <c r="J3109">
        <f t="shared" si="314"/>
        <v>18.123096248530278</v>
      </c>
      <c r="K3109">
        <v>5403.3874144923848</v>
      </c>
    </row>
    <row r="3110" spans="1:11" x14ac:dyDescent="0.35">
      <c r="A3110" s="1">
        <v>44197</v>
      </c>
      <c r="B3110" t="s">
        <v>12</v>
      </c>
      <c r="C3110" t="s">
        <v>38</v>
      </c>
      <c r="D3110">
        <v>13421</v>
      </c>
      <c r="E3110">
        <v>86524</v>
      </c>
      <c r="F3110">
        <f t="shared" si="313"/>
        <v>6.4469115565159081</v>
      </c>
      <c r="G3110">
        <f t="shared" si="311"/>
        <v>292.43190820356159</v>
      </c>
      <c r="H3110">
        <v>879.97354861111103</v>
      </c>
      <c r="I3110" t="s">
        <v>38</v>
      </c>
      <c r="J3110">
        <f t="shared" si="314"/>
        <v>19.399769590192044</v>
      </c>
      <c r="K3110">
        <v>1910.9913592487353</v>
      </c>
    </row>
    <row r="3111" spans="1:11" x14ac:dyDescent="0.35">
      <c r="A3111" s="1">
        <v>44228</v>
      </c>
      <c r="B3111" t="s">
        <v>12</v>
      </c>
      <c r="C3111" t="s">
        <v>38</v>
      </c>
      <c r="D3111">
        <v>14201</v>
      </c>
      <c r="E3111">
        <v>93254</v>
      </c>
      <c r="F3111">
        <f t="shared" si="313"/>
        <v>6.566720653475107</v>
      </c>
      <c r="G3111">
        <f t="shared" si="311"/>
        <v>297.86644884163087</v>
      </c>
      <c r="H3111">
        <v>834.30312499999991</v>
      </c>
      <c r="I3111" t="s">
        <v>38</v>
      </c>
      <c r="J3111">
        <f t="shared" si="314"/>
        <v>18.392926036155202</v>
      </c>
      <c r="K3111">
        <v>1910.9913592487353</v>
      </c>
    </row>
    <row r="3112" spans="1:11" x14ac:dyDescent="0.35">
      <c r="A3112" s="1">
        <v>44256</v>
      </c>
      <c r="B3112" t="s">
        <v>12</v>
      </c>
      <c r="C3112" t="s">
        <v>38</v>
      </c>
      <c r="D3112">
        <v>14812</v>
      </c>
      <c r="E3112">
        <v>83995</v>
      </c>
      <c r="F3112">
        <f t="shared" si="313"/>
        <v>5.670739940588712</v>
      </c>
      <c r="G3112">
        <f t="shared" si="311"/>
        <v>257.22476370510395</v>
      </c>
      <c r="H3112">
        <v>902.37152777777771</v>
      </c>
      <c r="I3112" t="s">
        <v>38</v>
      </c>
      <c r="J3112">
        <f t="shared" si="314"/>
        <v>19.893552199686457</v>
      </c>
      <c r="K3112">
        <v>1910.9913592487353</v>
      </c>
    </row>
    <row r="3113" spans="1:11" x14ac:dyDescent="0.35">
      <c r="A3113" s="1">
        <v>44287</v>
      </c>
      <c r="B3113" t="s">
        <v>12</v>
      </c>
      <c r="C3113" t="s">
        <v>38</v>
      </c>
      <c r="D3113">
        <v>9214</v>
      </c>
      <c r="E3113">
        <v>74547</v>
      </c>
      <c r="F3113">
        <f t="shared" si="313"/>
        <v>8.0906229650531802</v>
      </c>
      <c r="G3113">
        <f t="shared" si="311"/>
        <v>366.99065769481223</v>
      </c>
      <c r="H3113">
        <v>1049.6284722222222</v>
      </c>
      <c r="I3113" t="s">
        <v>38</v>
      </c>
      <c r="J3113">
        <f t="shared" si="314"/>
        <v>23.139957500489906</v>
      </c>
      <c r="K3113">
        <v>1910.9913592487353</v>
      </c>
    </row>
    <row r="3114" spans="1:11" x14ac:dyDescent="0.35">
      <c r="A3114" s="1">
        <v>44317</v>
      </c>
      <c r="B3114" t="s">
        <v>12</v>
      </c>
      <c r="C3114" t="s">
        <v>38</v>
      </c>
      <c r="D3114">
        <v>11120</v>
      </c>
      <c r="E3114">
        <v>76584</v>
      </c>
      <c r="F3114">
        <f t="shared" si="313"/>
        <v>6.8870503597122301</v>
      </c>
      <c r="G3114">
        <f t="shared" si="311"/>
        <v>312.39660431654676</v>
      </c>
      <c r="H3114">
        <v>979.16840277777771</v>
      </c>
      <c r="I3114" t="s">
        <v>38</v>
      </c>
      <c r="J3114">
        <f t="shared" si="314"/>
        <v>21.58660499951009</v>
      </c>
      <c r="K3114">
        <v>1910.9913592487353</v>
      </c>
    </row>
    <row r="3115" spans="1:11" x14ac:dyDescent="0.35">
      <c r="A3115" s="1">
        <v>44348</v>
      </c>
      <c r="B3115" t="s">
        <v>12</v>
      </c>
      <c r="C3115" t="s">
        <v>38</v>
      </c>
      <c r="D3115">
        <v>11201</v>
      </c>
      <c r="E3115">
        <v>68254</v>
      </c>
      <c r="F3115">
        <f t="shared" si="313"/>
        <v>6.0935630747254708</v>
      </c>
      <c r="G3115">
        <f t="shared" si="311"/>
        <v>276.40402106954735</v>
      </c>
      <c r="H3115">
        <v>999.35868055555557</v>
      </c>
      <c r="I3115" t="s">
        <v>38</v>
      </c>
      <c r="J3115">
        <f t="shared" si="314"/>
        <v>22.03171694346463</v>
      </c>
      <c r="K3115">
        <v>1910.9913592487353</v>
      </c>
    </row>
    <row r="3116" spans="1:11" x14ac:dyDescent="0.35">
      <c r="A3116" s="1">
        <v>44378</v>
      </c>
      <c r="B3116" t="s">
        <v>12</v>
      </c>
      <c r="C3116" t="s">
        <v>38</v>
      </c>
      <c r="D3116">
        <v>9214</v>
      </c>
      <c r="E3116">
        <v>52147</v>
      </c>
      <c r="F3116">
        <f t="shared" si="313"/>
        <v>5.6595398306924247</v>
      </c>
      <c r="G3116">
        <f t="shared" si="311"/>
        <v>256.71672672020838</v>
      </c>
      <c r="H3116">
        <v>1031.8463541666667</v>
      </c>
      <c r="I3116" t="s">
        <v>38</v>
      </c>
      <c r="J3116">
        <f t="shared" si="314"/>
        <v>22.747935497501473</v>
      </c>
      <c r="K3116">
        <v>1910.9913592487353</v>
      </c>
    </row>
    <row r="3117" spans="1:11" x14ac:dyDescent="0.35">
      <c r="A3117" s="1">
        <v>44409</v>
      </c>
      <c r="B3117" t="s">
        <v>12</v>
      </c>
      <c r="C3117" t="s">
        <v>38</v>
      </c>
      <c r="D3117">
        <v>9324</v>
      </c>
      <c r="E3117">
        <v>81254</v>
      </c>
      <c r="F3117">
        <f t="shared" si="313"/>
        <v>8.7145002145002142</v>
      </c>
      <c r="G3117">
        <f t="shared" si="311"/>
        <v>395.28972972972969</v>
      </c>
      <c r="H3117">
        <v>1260.6468430555556</v>
      </c>
      <c r="I3117" t="s">
        <v>38</v>
      </c>
      <c r="J3117">
        <f t="shared" si="314"/>
        <v>27.792037986233588</v>
      </c>
      <c r="K3117">
        <v>1910.9913592487353</v>
      </c>
    </row>
    <row r="3118" spans="1:11" x14ac:dyDescent="0.35">
      <c r="A3118" s="1">
        <v>44440</v>
      </c>
      <c r="B3118" t="s">
        <v>12</v>
      </c>
      <c r="C3118" t="s">
        <v>38</v>
      </c>
      <c r="D3118">
        <v>10285</v>
      </c>
      <c r="E3118">
        <v>64214</v>
      </c>
      <c r="F3118">
        <f t="shared" si="313"/>
        <v>6.2434613514827415</v>
      </c>
      <c r="G3118">
        <f t="shared" si="311"/>
        <v>283.20340690325713</v>
      </c>
      <c r="H3118">
        <v>1270.1958333333332</v>
      </c>
      <c r="I3118" t="s">
        <v>38</v>
      </c>
      <c r="J3118">
        <f t="shared" si="314"/>
        <v>28.002553644914755</v>
      </c>
      <c r="K3118">
        <v>1910.9913592487353</v>
      </c>
    </row>
    <row r="3119" spans="1:11" x14ac:dyDescent="0.35">
      <c r="A3119" s="1">
        <v>44470</v>
      </c>
      <c r="B3119" t="s">
        <v>12</v>
      </c>
      <c r="C3119" t="s">
        <v>38</v>
      </c>
      <c r="D3119">
        <v>7431</v>
      </c>
      <c r="E3119">
        <v>75837</v>
      </c>
      <c r="F3119">
        <f t="shared" si="313"/>
        <v>10.205490512716997</v>
      </c>
      <c r="G3119">
        <f t="shared" si="311"/>
        <v>462.92104965684297</v>
      </c>
      <c r="H3119">
        <v>1168.4956597222222</v>
      </c>
      <c r="I3119" t="s">
        <v>38</v>
      </c>
      <c r="J3119">
        <f t="shared" si="314"/>
        <v>25.760486325445815</v>
      </c>
      <c r="K3119">
        <v>1910.9913592487353</v>
      </c>
    </row>
    <row r="3120" spans="1:11" x14ac:dyDescent="0.35">
      <c r="A3120" s="1">
        <v>44501</v>
      </c>
      <c r="B3120" t="s">
        <v>12</v>
      </c>
      <c r="C3120" t="s">
        <v>38</v>
      </c>
      <c r="D3120">
        <v>9444</v>
      </c>
      <c r="E3120">
        <v>94383</v>
      </c>
      <c r="F3120">
        <f t="shared" si="313"/>
        <v>9.9939644218551464</v>
      </c>
      <c r="G3120">
        <f t="shared" si="311"/>
        <v>453.32622617534946</v>
      </c>
      <c r="H3120">
        <v>1304.4765625</v>
      </c>
      <c r="I3120" t="s">
        <v>38</v>
      </c>
      <c r="J3120">
        <f t="shared" si="314"/>
        <v>28.758301642416225</v>
      </c>
      <c r="K3120">
        <v>1910.9913592487353</v>
      </c>
    </row>
    <row r="3121" spans="1:11" x14ac:dyDescent="0.35">
      <c r="A3121" s="1">
        <v>44531</v>
      </c>
      <c r="B3121" t="s">
        <v>12</v>
      </c>
      <c r="C3121" t="s">
        <v>38</v>
      </c>
      <c r="D3121">
        <v>9362</v>
      </c>
      <c r="E3121">
        <v>86699</v>
      </c>
      <c r="F3121">
        <f t="shared" si="313"/>
        <v>9.2607348857081817</v>
      </c>
      <c r="G3121">
        <f t="shared" si="311"/>
        <v>420.0669344157231</v>
      </c>
      <c r="H3121">
        <v>1415.8916666666664</v>
      </c>
      <c r="I3121" t="s">
        <v>38</v>
      </c>
      <c r="J3121">
        <f t="shared" si="314"/>
        <v>31.214542915931801</v>
      </c>
      <c r="K3121">
        <v>1910.9913592487353</v>
      </c>
    </row>
    <row r="3122" spans="1:11" x14ac:dyDescent="0.35">
      <c r="A3122" s="1">
        <v>44197</v>
      </c>
      <c r="B3122" t="s">
        <v>13</v>
      </c>
      <c r="C3122" t="s">
        <v>38</v>
      </c>
      <c r="D3122">
        <v>6784</v>
      </c>
      <c r="E3122">
        <v>57547</v>
      </c>
      <c r="F3122">
        <f t="shared" si="313"/>
        <v>8.4827535377358494</v>
      </c>
      <c r="G3122">
        <f t="shared" si="311"/>
        <v>384.7777004716981</v>
      </c>
      <c r="H3122">
        <v>809.0333333333333</v>
      </c>
      <c r="I3122" t="s">
        <v>38</v>
      </c>
      <c r="J3122">
        <f t="shared" si="314"/>
        <v>17.835831863609641</v>
      </c>
      <c r="K3122">
        <v>10561.256970793258</v>
      </c>
    </row>
    <row r="3123" spans="1:11" x14ac:dyDescent="0.35">
      <c r="A3123" s="1">
        <v>44228</v>
      </c>
      <c r="B3123" t="s">
        <v>13</v>
      </c>
      <c r="C3123" t="s">
        <v>38</v>
      </c>
      <c r="D3123">
        <v>6824</v>
      </c>
      <c r="E3123">
        <v>63994</v>
      </c>
      <c r="F3123">
        <f t="shared" si="313"/>
        <v>9.3777842907385693</v>
      </c>
      <c r="G3123">
        <f t="shared" si="311"/>
        <v>425.37629542790148</v>
      </c>
      <c r="H3123">
        <v>682.33842592592589</v>
      </c>
      <c r="I3123" t="s">
        <v>38</v>
      </c>
      <c r="J3123">
        <f t="shared" si="314"/>
        <v>15.042734257626233</v>
      </c>
      <c r="K3123">
        <v>10561.256970793258</v>
      </c>
    </row>
    <row r="3124" spans="1:11" x14ac:dyDescent="0.35">
      <c r="A3124" s="1">
        <v>44256</v>
      </c>
      <c r="B3124" t="s">
        <v>13</v>
      </c>
      <c r="C3124" t="s">
        <v>38</v>
      </c>
      <c r="D3124">
        <v>5954</v>
      </c>
      <c r="E3124">
        <v>55989</v>
      </c>
      <c r="F3124">
        <f t="shared" si="313"/>
        <v>9.403594222371515</v>
      </c>
      <c r="G3124">
        <f t="shared" ref="G3124:G3187" si="315">F3124*45.36</f>
        <v>426.54703392677192</v>
      </c>
      <c r="H3124">
        <v>839.453125</v>
      </c>
      <c r="I3124" t="s">
        <v>38</v>
      </c>
      <c r="J3124">
        <f t="shared" si="314"/>
        <v>18.506462191358025</v>
      </c>
      <c r="K3124">
        <v>10561.256970793258</v>
      </c>
    </row>
    <row r="3125" spans="1:11" x14ac:dyDescent="0.35">
      <c r="A3125" s="1">
        <v>44287</v>
      </c>
      <c r="B3125" t="s">
        <v>13</v>
      </c>
      <c r="C3125" t="s">
        <v>38</v>
      </c>
      <c r="D3125">
        <v>2014</v>
      </c>
      <c r="E3125">
        <v>49857</v>
      </c>
      <c r="F3125">
        <f t="shared" si="313"/>
        <v>24.755213505461768</v>
      </c>
      <c r="G3125">
        <f t="shared" si="315"/>
        <v>1122.8964846077458</v>
      </c>
      <c r="H3125">
        <v>667.3716071428571</v>
      </c>
      <c r="I3125" t="s">
        <v>38</v>
      </c>
      <c r="J3125">
        <f t="shared" si="314"/>
        <v>14.712777935248173</v>
      </c>
      <c r="K3125">
        <v>10561.256970793258</v>
      </c>
    </row>
    <row r="3126" spans="1:11" x14ac:dyDescent="0.35">
      <c r="A3126" s="1">
        <v>44317</v>
      </c>
      <c r="B3126" t="s">
        <v>13</v>
      </c>
      <c r="C3126" t="s">
        <v>38</v>
      </c>
      <c r="D3126">
        <v>4520</v>
      </c>
      <c r="E3126">
        <v>48755</v>
      </c>
      <c r="F3126">
        <f t="shared" si="313"/>
        <v>10.78650442477876</v>
      </c>
      <c r="G3126">
        <f t="shared" si="315"/>
        <v>489.27584070796456</v>
      </c>
      <c r="H3126">
        <v>668.54583333333335</v>
      </c>
      <c r="I3126" t="s">
        <v>38</v>
      </c>
      <c r="J3126">
        <f t="shared" si="314"/>
        <v>14.738664756025868</v>
      </c>
      <c r="K3126">
        <v>10561.256970793258</v>
      </c>
    </row>
    <row r="3127" spans="1:11" x14ac:dyDescent="0.35">
      <c r="A3127" s="1">
        <v>44348</v>
      </c>
      <c r="B3127" t="s">
        <v>13</v>
      </c>
      <c r="C3127" t="s">
        <v>38</v>
      </c>
      <c r="D3127">
        <v>8365</v>
      </c>
      <c r="E3127">
        <v>58241</v>
      </c>
      <c r="F3127">
        <f t="shared" si="313"/>
        <v>6.96246264196055</v>
      </c>
      <c r="G3127">
        <f t="shared" si="315"/>
        <v>315.81730543933054</v>
      </c>
      <c r="H3127">
        <v>748.21666666666658</v>
      </c>
      <c r="I3127" t="s">
        <v>38</v>
      </c>
      <c r="J3127">
        <f t="shared" si="314"/>
        <v>16.495076425631979</v>
      </c>
      <c r="K3127">
        <v>10561.256970793258</v>
      </c>
    </row>
    <row r="3128" spans="1:11" x14ac:dyDescent="0.35">
      <c r="A3128" s="1">
        <v>44378</v>
      </c>
      <c r="B3128" t="s">
        <v>13</v>
      </c>
      <c r="C3128" t="s">
        <v>38</v>
      </c>
      <c r="D3128">
        <v>5077</v>
      </c>
      <c r="E3128">
        <v>51044</v>
      </c>
      <c r="F3128">
        <f t="shared" si="313"/>
        <v>10.053968879259406</v>
      </c>
      <c r="G3128">
        <f t="shared" si="315"/>
        <v>456.04802836320664</v>
      </c>
      <c r="H3128">
        <v>862.21875</v>
      </c>
      <c r="I3128" t="s">
        <v>38</v>
      </c>
      <c r="J3128">
        <f t="shared" si="314"/>
        <v>19.008349867724867</v>
      </c>
      <c r="K3128">
        <v>10561.256970793258</v>
      </c>
    </row>
    <row r="3129" spans="1:11" x14ac:dyDescent="0.35">
      <c r="A3129" s="1">
        <v>44409</v>
      </c>
      <c r="B3129" t="s">
        <v>13</v>
      </c>
      <c r="C3129" t="s">
        <v>38</v>
      </c>
      <c r="D3129">
        <v>4788</v>
      </c>
      <c r="E3129">
        <v>47889</v>
      </c>
      <c r="F3129">
        <f t="shared" si="313"/>
        <v>10.00187969924812</v>
      </c>
      <c r="G3129">
        <f t="shared" si="315"/>
        <v>453.68526315789472</v>
      </c>
      <c r="H3129">
        <v>1119.6071428571429</v>
      </c>
      <c r="I3129" t="s">
        <v>38</v>
      </c>
      <c r="J3129">
        <f t="shared" si="314"/>
        <v>24.682697152935248</v>
      </c>
      <c r="K3129">
        <v>10561.256970793258</v>
      </c>
    </row>
    <row r="3130" spans="1:11" x14ac:dyDescent="0.35">
      <c r="A3130" s="1">
        <v>44440</v>
      </c>
      <c r="B3130" t="s">
        <v>13</v>
      </c>
      <c r="C3130" t="s">
        <v>38</v>
      </c>
      <c r="D3130">
        <v>4886</v>
      </c>
      <c r="E3130">
        <v>44577</v>
      </c>
      <c r="F3130">
        <f t="shared" si="313"/>
        <v>9.1234138354482202</v>
      </c>
      <c r="G3130">
        <f t="shared" si="315"/>
        <v>413.83805157593127</v>
      </c>
      <c r="H3130">
        <v>1081.0395833333334</v>
      </c>
      <c r="I3130" t="s">
        <v>38</v>
      </c>
      <c r="J3130">
        <f t="shared" si="314"/>
        <v>23.832442313345094</v>
      </c>
      <c r="K3130">
        <v>10561.256970793258</v>
      </c>
    </row>
    <row r="3131" spans="1:11" x14ac:dyDescent="0.35">
      <c r="A3131" s="1">
        <v>44470</v>
      </c>
      <c r="B3131" t="s">
        <v>13</v>
      </c>
      <c r="C3131" t="s">
        <v>38</v>
      </c>
      <c r="D3131">
        <v>1673</v>
      </c>
      <c r="E3131">
        <v>12252</v>
      </c>
      <c r="F3131">
        <f t="shared" si="313"/>
        <v>7.3233711894799765</v>
      </c>
      <c r="G3131">
        <f t="shared" si="315"/>
        <v>332.18811715481172</v>
      </c>
      <c r="H3131">
        <v>805.14222222222224</v>
      </c>
      <c r="I3131" t="s">
        <v>38</v>
      </c>
      <c r="J3131">
        <f t="shared" si="314"/>
        <v>17.750048990789733</v>
      </c>
      <c r="K3131">
        <v>10561.256970793258</v>
      </c>
    </row>
    <row r="3132" spans="1:11" x14ac:dyDescent="0.35">
      <c r="A3132" s="1">
        <v>44501</v>
      </c>
      <c r="B3132" t="s">
        <v>13</v>
      </c>
      <c r="C3132" t="s">
        <v>38</v>
      </c>
      <c r="D3132">
        <v>1278</v>
      </c>
      <c r="E3132">
        <v>13954</v>
      </c>
      <c r="F3132">
        <f t="shared" si="313"/>
        <v>10.918622848200313</v>
      </c>
      <c r="G3132">
        <f t="shared" si="315"/>
        <v>495.26873239436617</v>
      </c>
      <c r="H3132">
        <v>993.97500000000002</v>
      </c>
      <c r="I3132" t="s">
        <v>38</v>
      </c>
      <c r="J3132">
        <f t="shared" si="314"/>
        <v>21.913029100529101</v>
      </c>
      <c r="K3132">
        <v>10561.256970793258</v>
      </c>
    </row>
    <row r="3133" spans="1:11" x14ac:dyDescent="0.35">
      <c r="A3133" s="1">
        <v>44531</v>
      </c>
      <c r="B3133" t="s">
        <v>13</v>
      </c>
      <c r="C3133" t="s">
        <v>38</v>
      </c>
      <c r="D3133">
        <v>2910</v>
      </c>
      <c r="E3133">
        <v>38169</v>
      </c>
      <c r="F3133">
        <f t="shared" si="313"/>
        <v>13.116494845360824</v>
      </c>
      <c r="G3133">
        <f t="shared" si="315"/>
        <v>594.96420618556704</v>
      </c>
      <c r="H3133">
        <v>1257.1309523809523</v>
      </c>
      <c r="I3133" t="s">
        <v>38</v>
      </c>
      <c r="J3133">
        <f t="shared" si="314"/>
        <v>27.714527168892246</v>
      </c>
      <c r="K3133">
        <v>10561.2569707933</v>
      </c>
    </row>
    <row r="3134" spans="1:11" x14ac:dyDescent="0.35">
      <c r="A3134" s="1">
        <v>44197</v>
      </c>
      <c r="B3134" t="s">
        <v>14</v>
      </c>
      <c r="C3134" t="s">
        <v>38</v>
      </c>
      <c r="D3134">
        <v>66441</v>
      </c>
      <c r="E3134">
        <v>1226087</v>
      </c>
      <c r="F3134">
        <f t="shared" si="313"/>
        <v>18.453771014885387</v>
      </c>
      <c r="G3134">
        <f t="shared" si="315"/>
        <v>837.0630532352011</v>
      </c>
      <c r="H3134">
        <v>12062.5</v>
      </c>
      <c r="I3134" t="s">
        <v>40</v>
      </c>
      <c r="J3134">
        <f>(H3134/1000)/0.56234</f>
        <v>21.450545933065406</v>
      </c>
      <c r="K3134">
        <v>20320.344000000001</v>
      </c>
    </row>
    <row r="3135" spans="1:11" x14ac:dyDescent="0.35">
      <c r="A3135" s="1">
        <v>44228</v>
      </c>
      <c r="B3135" t="s">
        <v>14</v>
      </c>
      <c r="C3135" t="s">
        <v>38</v>
      </c>
      <c r="D3135">
        <v>90154</v>
      </c>
      <c r="E3135">
        <v>1916060</v>
      </c>
      <c r="F3135">
        <f t="shared" si="313"/>
        <v>21.253188987732102</v>
      </c>
      <c r="G3135">
        <f t="shared" si="315"/>
        <v>964.04465248352813</v>
      </c>
      <c r="H3135">
        <v>12055.555555555557</v>
      </c>
      <c r="I3135" t="s">
        <v>40</v>
      </c>
      <c r="J3135">
        <f t="shared" ref="J3135:J3145" si="316">(H3135/1000)/0.56234</f>
        <v>21.438196741394101</v>
      </c>
      <c r="K3135">
        <v>20320.344000000001</v>
      </c>
    </row>
    <row r="3136" spans="1:11" x14ac:dyDescent="0.35">
      <c r="A3136" s="1">
        <v>44256</v>
      </c>
      <c r="B3136" t="s">
        <v>14</v>
      </c>
      <c r="C3136" t="s">
        <v>38</v>
      </c>
      <c r="D3136">
        <v>76547</v>
      </c>
      <c r="E3136">
        <v>1270395</v>
      </c>
      <c r="F3136">
        <f t="shared" si="313"/>
        <v>16.59627418448796</v>
      </c>
      <c r="G3136">
        <f t="shared" si="315"/>
        <v>752.80699700837386</v>
      </c>
      <c r="H3136">
        <v>12333.333333333334</v>
      </c>
      <c r="I3136" t="s">
        <v>40</v>
      </c>
      <c r="J3136">
        <f t="shared" si="316"/>
        <v>21.932164408246496</v>
      </c>
      <c r="K3136">
        <v>20320.344000000001</v>
      </c>
    </row>
    <row r="3137" spans="1:12" x14ac:dyDescent="0.35">
      <c r="A3137" s="1">
        <v>44287</v>
      </c>
      <c r="B3137" t="s">
        <v>14</v>
      </c>
      <c r="C3137" t="s">
        <v>38</v>
      </c>
      <c r="D3137">
        <v>12301</v>
      </c>
      <c r="E3137">
        <v>173749</v>
      </c>
      <c r="F3137">
        <f t="shared" si="313"/>
        <v>14.124786602715226</v>
      </c>
      <c r="G3137">
        <f t="shared" si="315"/>
        <v>640.70032029916263</v>
      </c>
      <c r="H3137">
        <v>9888.2591170634932</v>
      </c>
      <c r="I3137" t="s">
        <v>40</v>
      </c>
      <c r="J3137">
        <f t="shared" si="316"/>
        <v>17.584129027036123</v>
      </c>
      <c r="K3137">
        <v>20320.344000000001</v>
      </c>
    </row>
    <row r="3138" spans="1:12" x14ac:dyDescent="0.35">
      <c r="A3138" s="1">
        <v>44317</v>
      </c>
      <c r="B3138" t="s">
        <v>14</v>
      </c>
      <c r="C3138" t="s">
        <v>38</v>
      </c>
      <c r="D3138">
        <v>10878</v>
      </c>
      <c r="E3138">
        <v>322375</v>
      </c>
      <c r="F3138">
        <f t="shared" si="313"/>
        <v>29.635502849788566</v>
      </c>
      <c r="G3138">
        <f t="shared" si="315"/>
        <v>1344.2664092664093</v>
      </c>
      <c r="H3138">
        <v>9888.2591170634932</v>
      </c>
      <c r="I3138" t="s">
        <v>40</v>
      </c>
      <c r="J3138">
        <f t="shared" si="316"/>
        <v>17.584129027036123</v>
      </c>
      <c r="K3138">
        <v>20320.344000000001</v>
      </c>
    </row>
    <row r="3139" spans="1:12" x14ac:dyDescent="0.35">
      <c r="A3139" s="1">
        <v>44348</v>
      </c>
      <c r="B3139" t="s">
        <v>14</v>
      </c>
      <c r="C3139" t="s">
        <v>38</v>
      </c>
      <c r="D3139">
        <v>46255</v>
      </c>
      <c r="E3139">
        <v>1362748</v>
      </c>
      <c r="F3139">
        <f t="shared" si="313"/>
        <v>29.461636579829207</v>
      </c>
      <c r="G3139">
        <f t="shared" si="315"/>
        <v>1336.3798352610529</v>
      </c>
      <c r="H3139">
        <v>15333.333333333334</v>
      </c>
      <c r="I3139" t="s">
        <v>40</v>
      </c>
      <c r="J3139">
        <f t="shared" si="316"/>
        <v>27.267015210252403</v>
      </c>
      <c r="K3139">
        <v>20320.344000000001</v>
      </c>
    </row>
    <row r="3140" spans="1:12" x14ac:dyDescent="0.35">
      <c r="A3140" s="1">
        <v>44378</v>
      </c>
      <c r="B3140" t="s">
        <v>14</v>
      </c>
      <c r="C3140" t="s">
        <v>38</v>
      </c>
      <c r="D3140">
        <v>34401</v>
      </c>
      <c r="E3140">
        <v>1264775</v>
      </c>
      <c r="F3140">
        <f t="shared" si="313"/>
        <v>36.765646347489898</v>
      </c>
      <c r="G3140">
        <f t="shared" si="315"/>
        <v>1667.6897183221417</v>
      </c>
      <c r="H3140">
        <v>8600</v>
      </c>
      <c r="I3140" t="s">
        <v>40</v>
      </c>
      <c r="J3140">
        <f t="shared" si="316"/>
        <v>15.293238965750259</v>
      </c>
      <c r="K3140">
        <v>20320.344000000001</v>
      </c>
    </row>
    <row r="3141" spans="1:12" x14ac:dyDescent="0.35">
      <c r="A3141" s="1">
        <v>44409</v>
      </c>
      <c r="B3141" t="s">
        <v>14</v>
      </c>
      <c r="C3141" t="s">
        <v>38</v>
      </c>
      <c r="D3141">
        <v>54352</v>
      </c>
      <c r="E3141">
        <v>1475451</v>
      </c>
      <c r="F3141">
        <f t="shared" si="313"/>
        <v>27.146213570797762</v>
      </c>
      <c r="G3141">
        <f t="shared" si="315"/>
        <v>1231.3522475713864</v>
      </c>
      <c r="H3141">
        <v>5916.1750000000002</v>
      </c>
      <c r="I3141" t="s">
        <v>40</v>
      </c>
      <c r="J3141">
        <f t="shared" si="316"/>
        <v>10.52063698118576</v>
      </c>
      <c r="K3141">
        <v>20320.344000000001</v>
      </c>
    </row>
    <row r="3142" spans="1:12" x14ac:dyDescent="0.35">
      <c r="A3142" s="1">
        <v>44440</v>
      </c>
      <c r="B3142" t="s">
        <v>14</v>
      </c>
      <c r="C3142" t="s">
        <v>38</v>
      </c>
      <c r="D3142">
        <v>75844</v>
      </c>
      <c r="E3142">
        <v>1799538</v>
      </c>
      <c r="F3142">
        <f t="shared" si="313"/>
        <v>23.726834027741152</v>
      </c>
      <c r="G3142">
        <f t="shared" si="315"/>
        <v>1076.2491914983386</v>
      </c>
      <c r="H3142">
        <v>6006.0555555555557</v>
      </c>
      <c r="I3142" t="s">
        <v>40</v>
      </c>
      <c r="J3142">
        <f t="shared" si="316"/>
        <v>10.68047009914919</v>
      </c>
      <c r="K3142">
        <v>20320.344000000001</v>
      </c>
    </row>
    <row r="3143" spans="1:12" x14ac:dyDescent="0.35">
      <c r="A3143" s="1">
        <v>44470</v>
      </c>
      <c r="B3143" t="s">
        <v>14</v>
      </c>
      <c r="C3143" t="s">
        <v>38</v>
      </c>
      <c r="D3143">
        <v>27140</v>
      </c>
      <c r="E3143">
        <v>826770</v>
      </c>
      <c r="F3143">
        <f t="shared" si="313"/>
        <v>30.463154016212233</v>
      </c>
      <c r="G3143">
        <f t="shared" si="315"/>
        <v>1381.8086661753869</v>
      </c>
      <c r="H3143">
        <v>7822.9375000000009</v>
      </c>
      <c r="I3143" t="s">
        <v>40</v>
      </c>
      <c r="J3143">
        <f t="shared" si="316"/>
        <v>13.911401465305691</v>
      </c>
      <c r="K3143">
        <v>20320.344000000001</v>
      </c>
    </row>
    <row r="3144" spans="1:12" x14ac:dyDescent="0.35">
      <c r="A3144" s="1">
        <v>44501</v>
      </c>
      <c r="B3144" t="s">
        <v>14</v>
      </c>
      <c r="C3144" t="s">
        <v>38</v>
      </c>
      <c r="D3144">
        <v>48718</v>
      </c>
      <c r="E3144">
        <v>1121022</v>
      </c>
      <c r="F3144">
        <f t="shared" si="313"/>
        <v>23.010427357444886</v>
      </c>
      <c r="G3144">
        <f t="shared" si="315"/>
        <v>1043.7529849337</v>
      </c>
      <c r="H3144">
        <v>8250.6770833333339</v>
      </c>
      <c r="I3144" t="s">
        <v>40</v>
      </c>
      <c r="J3144">
        <f t="shared" si="316"/>
        <v>14.672043751704193</v>
      </c>
      <c r="K3144">
        <v>20320.344000000001</v>
      </c>
    </row>
    <row r="3145" spans="1:12" x14ac:dyDescent="0.35">
      <c r="A3145" s="1">
        <v>44531</v>
      </c>
      <c r="B3145" t="s">
        <v>14</v>
      </c>
      <c r="C3145" t="s">
        <v>38</v>
      </c>
      <c r="D3145">
        <v>52713</v>
      </c>
      <c r="E3145">
        <v>1226310</v>
      </c>
      <c r="F3145">
        <f t="shared" si="313"/>
        <v>23.263900745546639</v>
      </c>
      <c r="G3145">
        <f t="shared" si="315"/>
        <v>1055.2505378179956</v>
      </c>
      <c r="H3145">
        <v>10502.023809523811</v>
      </c>
      <c r="I3145" t="s">
        <v>40</v>
      </c>
      <c r="J3145">
        <f t="shared" si="316"/>
        <v>18.675576714307734</v>
      </c>
      <c r="K3145">
        <v>20320.344000000001</v>
      </c>
    </row>
    <row r="3146" spans="1:12" x14ac:dyDescent="0.35">
      <c r="A3146" s="1">
        <v>44197</v>
      </c>
      <c r="B3146" t="s">
        <v>15</v>
      </c>
      <c r="C3146" t="s">
        <v>38</v>
      </c>
      <c r="D3146">
        <v>429547</v>
      </c>
      <c r="E3146">
        <v>1967392</v>
      </c>
      <c r="F3146">
        <f t="shared" si="313"/>
        <v>4.5801553729859599</v>
      </c>
      <c r="G3146">
        <f t="shared" si="315"/>
        <v>207.75584771864314</v>
      </c>
      <c r="H3146">
        <v>222.92187499999997</v>
      </c>
      <c r="I3146" t="s">
        <v>58</v>
      </c>
      <c r="J3146">
        <f>H3146/27.21</f>
        <v>8.1926451672179326</v>
      </c>
      <c r="K3146">
        <f>23910.1381432169+16682.2980513137</f>
        <v>40592.436194530601</v>
      </c>
      <c r="L3146">
        <v>23910.1381432169</v>
      </c>
    </row>
    <row r="3147" spans="1:12" x14ac:dyDescent="0.35">
      <c r="A3147" s="1">
        <v>44228</v>
      </c>
      <c r="B3147" t="s">
        <v>15</v>
      </c>
      <c r="C3147" t="s">
        <v>38</v>
      </c>
      <c r="D3147">
        <v>495219</v>
      </c>
      <c r="E3147">
        <v>2235248</v>
      </c>
      <c r="F3147">
        <f t="shared" si="313"/>
        <v>4.5136555746043667</v>
      </c>
      <c r="G3147">
        <f t="shared" si="315"/>
        <v>204.73941686405408</v>
      </c>
      <c r="H3147">
        <v>225.67447916666666</v>
      </c>
      <c r="I3147" t="s">
        <v>58</v>
      </c>
      <c r="J3147">
        <f t="shared" ref="J3147:J3156" si="317">H3147/27.21</f>
        <v>8.2938066580913876</v>
      </c>
      <c r="K3147">
        <f t="shared" ref="K3147:K3157" si="318">23910.1381432169+16682.2980513137</f>
        <v>40592.436194530601</v>
      </c>
      <c r="L3147">
        <v>16682.298051313701</v>
      </c>
    </row>
    <row r="3148" spans="1:12" x14ac:dyDescent="0.35">
      <c r="A3148" s="1">
        <v>44256</v>
      </c>
      <c r="B3148" t="s">
        <v>15</v>
      </c>
      <c r="C3148" t="s">
        <v>38</v>
      </c>
      <c r="D3148">
        <v>490124</v>
      </c>
      <c r="E3148">
        <v>2279939</v>
      </c>
      <c r="F3148">
        <f t="shared" si="313"/>
        <v>4.6517595547249266</v>
      </c>
      <c r="G3148">
        <f t="shared" si="315"/>
        <v>211.00381340232266</v>
      </c>
      <c r="H3148">
        <v>255.0625</v>
      </c>
      <c r="I3148" t="s">
        <v>58</v>
      </c>
      <c r="J3148">
        <f t="shared" si="317"/>
        <v>9.3738515251745671</v>
      </c>
      <c r="K3148">
        <f t="shared" si="318"/>
        <v>40592.436194530601</v>
      </c>
    </row>
    <row r="3149" spans="1:12" x14ac:dyDescent="0.35">
      <c r="A3149" s="1">
        <v>44287</v>
      </c>
      <c r="B3149" t="s">
        <v>15</v>
      </c>
      <c r="C3149" t="s">
        <v>38</v>
      </c>
      <c r="D3149">
        <v>498978</v>
      </c>
      <c r="E3149">
        <v>2529269</v>
      </c>
      <c r="F3149">
        <f t="shared" si="313"/>
        <v>5.0688988292068986</v>
      </c>
      <c r="G3149">
        <f t="shared" si="315"/>
        <v>229.92525089282492</v>
      </c>
      <c r="H3149">
        <v>221.7109375</v>
      </c>
      <c r="I3149" t="s">
        <v>58</v>
      </c>
      <c r="J3149">
        <f t="shared" si="317"/>
        <v>8.1481417677324508</v>
      </c>
      <c r="K3149">
        <f t="shared" si="318"/>
        <v>40592.436194530601</v>
      </c>
    </row>
    <row r="3150" spans="1:12" x14ac:dyDescent="0.35">
      <c r="A3150" s="1">
        <v>44317</v>
      </c>
      <c r="B3150" t="s">
        <v>15</v>
      </c>
      <c r="C3150" t="s">
        <v>38</v>
      </c>
      <c r="D3150">
        <v>520145</v>
      </c>
      <c r="E3150">
        <v>2461295</v>
      </c>
      <c r="F3150">
        <f t="shared" si="313"/>
        <v>4.731940132078555</v>
      </c>
      <c r="G3150">
        <f t="shared" si="315"/>
        <v>214.64080439108326</v>
      </c>
      <c r="H3150">
        <v>217.36770833333333</v>
      </c>
      <c r="I3150" t="s">
        <v>58</v>
      </c>
      <c r="J3150">
        <f t="shared" si="317"/>
        <v>7.9885229082445175</v>
      </c>
      <c r="K3150">
        <f t="shared" si="318"/>
        <v>40592.436194530601</v>
      </c>
    </row>
    <row r="3151" spans="1:12" x14ac:dyDescent="0.35">
      <c r="A3151" s="1">
        <v>44348</v>
      </c>
      <c r="B3151" t="s">
        <v>15</v>
      </c>
      <c r="C3151" t="s">
        <v>38</v>
      </c>
      <c r="D3151">
        <v>501756</v>
      </c>
      <c r="E3151">
        <v>2547089</v>
      </c>
      <c r="F3151">
        <f t="shared" si="313"/>
        <v>5.0763498592941589</v>
      </c>
      <c r="G3151">
        <f t="shared" si="315"/>
        <v>230.26322961758305</v>
      </c>
      <c r="H3151">
        <v>216.38708333333335</v>
      </c>
      <c r="I3151" t="s">
        <v>58</v>
      </c>
      <c r="J3151">
        <f t="shared" si="317"/>
        <v>7.9524837682224678</v>
      </c>
      <c r="K3151">
        <f t="shared" si="318"/>
        <v>40592.436194530601</v>
      </c>
    </row>
    <row r="3152" spans="1:12" x14ac:dyDescent="0.35">
      <c r="A3152" s="1">
        <v>44378</v>
      </c>
      <c r="B3152" t="s">
        <v>15</v>
      </c>
      <c r="C3152" t="s">
        <v>38</v>
      </c>
      <c r="D3152">
        <v>477888</v>
      </c>
      <c r="E3152">
        <v>2573753</v>
      </c>
      <c r="F3152">
        <f t="shared" si="313"/>
        <v>5.3856824193116379</v>
      </c>
      <c r="G3152">
        <f t="shared" si="315"/>
        <v>244.29455453997591</v>
      </c>
      <c r="H3152">
        <v>404.22395833333331</v>
      </c>
      <c r="I3152" t="s">
        <v>58</v>
      </c>
      <c r="J3152">
        <f t="shared" si="317"/>
        <v>14.85571327943158</v>
      </c>
      <c r="K3152">
        <f t="shared" si="318"/>
        <v>40592.436194530601</v>
      </c>
    </row>
    <row r="3153" spans="1:12" x14ac:dyDescent="0.35">
      <c r="A3153" s="1">
        <v>44409</v>
      </c>
      <c r="B3153" t="s">
        <v>15</v>
      </c>
      <c r="C3153" t="s">
        <v>38</v>
      </c>
      <c r="D3153">
        <v>490899</v>
      </c>
      <c r="E3153">
        <v>2595001</v>
      </c>
      <c r="F3153">
        <f t="shared" si="313"/>
        <v>5.2862218093742301</v>
      </c>
      <c r="G3153">
        <f t="shared" si="315"/>
        <v>239.78302127321507</v>
      </c>
      <c r="H3153">
        <v>204.36328125</v>
      </c>
      <c r="I3153" t="s">
        <v>58</v>
      </c>
      <c r="J3153">
        <f t="shared" si="317"/>
        <v>7.5105946802646084</v>
      </c>
      <c r="K3153">
        <f t="shared" si="318"/>
        <v>40592.436194530601</v>
      </c>
    </row>
    <row r="3154" spans="1:12" x14ac:dyDescent="0.35">
      <c r="A3154" s="1">
        <v>44440</v>
      </c>
      <c r="B3154" t="s">
        <v>15</v>
      </c>
      <c r="C3154" t="s">
        <v>38</v>
      </c>
      <c r="D3154">
        <v>434587</v>
      </c>
      <c r="E3154">
        <v>2189879</v>
      </c>
      <c r="F3154">
        <f t="shared" si="313"/>
        <v>5.0389887410345917</v>
      </c>
      <c r="G3154">
        <f t="shared" si="315"/>
        <v>228.56852929332908</v>
      </c>
      <c r="H3154">
        <v>220.02083333333334</v>
      </c>
      <c r="I3154" t="s">
        <v>58</v>
      </c>
      <c r="J3154">
        <f t="shared" si="317"/>
        <v>8.0860284209236806</v>
      </c>
      <c r="K3154">
        <f t="shared" si="318"/>
        <v>40592.436194530601</v>
      </c>
    </row>
    <row r="3155" spans="1:12" x14ac:dyDescent="0.35">
      <c r="A3155" s="1">
        <v>44470</v>
      </c>
      <c r="B3155" t="s">
        <v>15</v>
      </c>
      <c r="C3155" t="s">
        <v>38</v>
      </c>
      <c r="D3155">
        <v>339828</v>
      </c>
      <c r="E3155">
        <v>2200394</v>
      </c>
      <c r="F3155">
        <f t="shared" si="313"/>
        <v>6.4750226585213699</v>
      </c>
      <c r="G3155">
        <f t="shared" si="315"/>
        <v>293.70702779052931</v>
      </c>
      <c r="H3155">
        <v>196.62369791666666</v>
      </c>
      <c r="I3155" t="s">
        <v>58</v>
      </c>
      <c r="J3155">
        <f t="shared" si="317"/>
        <v>7.226155748499326</v>
      </c>
      <c r="K3155">
        <f t="shared" si="318"/>
        <v>40592.436194530601</v>
      </c>
    </row>
    <row r="3156" spans="1:12" x14ac:dyDescent="0.35">
      <c r="A3156" s="1">
        <v>44501</v>
      </c>
      <c r="B3156" t="s">
        <v>15</v>
      </c>
      <c r="C3156" t="s">
        <v>38</v>
      </c>
      <c r="D3156">
        <v>442154</v>
      </c>
      <c r="E3156">
        <v>1872069</v>
      </c>
      <c r="F3156">
        <f t="shared" si="313"/>
        <v>4.2339750403705496</v>
      </c>
      <c r="G3156">
        <f t="shared" si="315"/>
        <v>192.05310783120814</v>
      </c>
      <c r="H3156">
        <v>220.3125</v>
      </c>
      <c r="I3156" t="s">
        <v>58</v>
      </c>
      <c r="J3156">
        <f t="shared" si="317"/>
        <v>8.096747519294377</v>
      </c>
      <c r="K3156">
        <f t="shared" si="318"/>
        <v>40592.436194530601</v>
      </c>
    </row>
    <row r="3157" spans="1:12" x14ac:dyDescent="0.35">
      <c r="A3157" s="1">
        <v>44531</v>
      </c>
      <c r="B3157" t="s">
        <v>15</v>
      </c>
      <c r="C3157" t="s">
        <v>38</v>
      </c>
      <c r="D3157">
        <v>468579</v>
      </c>
      <c r="E3157">
        <v>2389112</v>
      </c>
      <c r="F3157">
        <f t="shared" si="313"/>
        <v>5.0986322477106318</v>
      </c>
      <c r="G3157">
        <f t="shared" si="315"/>
        <v>231.27395875615426</v>
      </c>
      <c r="H3157">
        <v>202.46328124999999</v>
      </c>
      <c r="I3157" t="s">
        <v>58</v>
      </c>
      <c r="J3157">
        <f>H3157/27.21</f>
        <v>7.4407674108783528</v>
      </c>
      <c r="K3157">
        <f t="shared" si="318"/>
        <v>40592.436194530601</v>
      </c>
    </row>
    <row r="3158" spans="1:12" x14ac:dyDescent="0.35">
      <c r="A3158" s="1">
        <v>44197</v>
      </c>
      <c r="B3158" t="s">
        <v>18</v>
      </c>
      <c r="C3158" t="s">
        <v>38</v>
      </c>
      <c r="D3158">
        <v>736584</v>
      </c>
      <c r="E3158">
        <v>1368126</v>
      </c>
      <c r="F3158">
        <f t="shared" si="313"/>
        <v>1.8573930468215438</v>
      </c>
      <c r="G3158">
        <f t="shared" si="315"/>
        <v>84.251348603825221</v>
      </c>
      <c r="H3158">
        <v>9687.3229166666679</v>
      </c>
      <c r="I3158" t="s">
        <v>40</v>
      </c>
      <c r="J3158">
        <f>(H3158/1000)/0.40815</f>
        <v>23.734712523990364</v>
      </c>
      <c r="K3158">
        <f>22633.568001+21329.8760334</f>
        <v>43963.444034400003</v>
      </c>
      <c r="L3158">
        <v>21329.8760334</v>
      </c>
    </row>
    <row r="3159" spans="1:12" x14ac:dyDescent="0.35">
      <c r="A3159" s="1">
        <v>44228</v>
      </c>
      <c r="B3159" t="s">
        <v>18</v>
      </c>
      <c r="C3159" t="s">
        <v>38</v>
      </c>
      <c r="D3159">
        <v>788458</v>
      </c>
      <c r="E3159">
        <v>1472301</v>
      </c>
      <c r="F3159">
        <f t="shared" si="313"/>
        <v>1.8673169655200403</v>
      </c>
      <c r="G3159">
        <f t="shared" si="315"/>
        <v>84.701497555989022</v>
      </c>
      <c r="H3159">
        <v>8810.546875</v>
      </c>
      <c r="I3159" t="s">
        <v>40</v>
      </c>
      <c r="J3159">
        <f t="shared" ref="J3159:J3169" si="319">(H3159/1000)/0.40815</f>
        <v>21.586541406345706</v>
      </c>
      <c r="K3159">
        <f t="shared" ref="K3159:K3169" si="320">22633.568001+21329.8760334</f>
        <v>43963.444034400003</v>
      </c>
      <c r="L3159">
        <v>22633.568001</v>
      </c>
    </row>
    <row r="3160" spans="1:12" x14ac:dyDescent="0.35">
      <c r="A3160" s="1">
        <v>44256</v>
      </c>
      <c r="B3160" t="s">
        <v>18</v>
      </c>
      <c r="C3160" t="s">
        <v>38</v>
      </c>
      <c r="D3160">
        <v>765241</v>
      </c>
      <c r="E3160">
        <v>1787166</v>
      </c>
      <c r="F3160">
        <f t="shared" si="313"/>
        <v>2.3354289694357724</v>
      </c>
      <c r="G3160">
        <f t="shared" si="315"/>
        <v>105.93505805360664</v>
      </c>
      <c r="H3160">
        <v>7782.5677083333339</v>
      </c>
      <c r="I3160" t="s">
        <v>40</v>
      </c>
      <c r="J3160">
        <f t="shared" si="319"/>
        <v>19.067910592510923</v>
      </c>
      <c r="K3160">
        <f t="shared" si="320"/>
        <v>43963.444034400003</v>
      </c>
    </row>
    <row r="3161" spans="1:12" x14ac:dyDescent="0.35">
      <c r="A3161" s="1">
        <v>44287</v>
      </c>
      <c r="B3161" t="s">
        <v>18</v>
      </c>
      <c r="C3161" t="s">
        <v>38</v>
      </c>
      <c r="D3161">
        <v>810219</v>
      </c>
      <c r="E3161">
        <v>3379266</v>
      </c>
      <c r="F3161">
        <f t="shared" si="313"/>
        <v>4.1708056710593064</v>
      </c>
      <c r="G3161">
        <f t="shared" si="315"/>
        <v>189.18774523925015</v>
      </c>
      <c r="H3161">
        <v>7716.9505208333339</v>
      </c>
      <c r="I3161" t="s">
        <v>40</v>
      </c>
      <c r="J3161">
        <f t="shared" si="319"/>
        <v>18.907143258197557</v>
      </c>
      <c r="K3161">
        <f t="shared" si="320"/>
        <v>43963.444034400003</v>
      </c>
    </row>
    <row r="3162" spans="1:12" x14ac:dyDescent="0.35">
      <c r="A3162" s="1">
        <v>44317</v>
      </c>
      <c r="B3162" t="s">
        <v>18</v>
      </c>
      <c r="C3162" t="s">
        <v>38</v>
      </c>
      <c r="D3162">
        <v>852414</v>
      </c>
      <c r="E3162">
        <v>3079296</v>
      </c>
      <c r="F3162">
        <f t="shared" ref="F3162:F3225" si="321">E3162/D3162</f>
        <v>3.6124418416403299</v>
      </c>
      <c r="G3162">
        <f t="shared" si="315"/>
        <v>163.86036193680536</v>
      </c>
      <c r="H3162">
        <v>7609.2916666666661</v>
      </c>
      <c r="I3162" t="s">
        <v>40</v>
      </c>
      <c r="J3162">
        <f t="shared" si="319"/>
        <v>18.64337049287435</v>
      </c>
      <c r="K3162">
        <f t="shared" si="320"/>
        <v>43963.444034400003</v>
      </c>
    </row>
    <row r="3163" spans="1:12" x14ac:dyDescent="0.35">
      <c r="A3163" s="1">
        <v>44348</v>
      </c>
      <c r="B3163" t="s">
        <v>18</v>
      </c>
      <c r="C3163" t="s">
        <v>38</v>
      </c>
      <c r="D3163">
        <v>865475</v>
      </c>
      <c r="E3163">
        <v>2028735</v>
      </c>
      <c r="F3163">
        <f t="shared" si="321"/>
        <v>2.3440711747884109</v>
      </c>
      <c r="G3163">
        <f t="shared" si="315"/>
        <v>106.32706848840232</v>
      </c>
      <c r="H3163">
        <v>6871.8322916666675</v>
      </c>
      <c r="I3163" t="s">
        <v>40</v>
      </c>
      <c r="J3163">
        <f t="shared" si="319"/>
        <v>16.836536302013151</v>
      </c>
      <c r="K3163">
        <f t="shared" si="320"/>
        <v>43963.444034400003</v>
      </c>
    </row>
    <row r="3164" spans="1:12" x14ac:dyDescent="0.35">
      <c r="A3164" s="1">
        <v>44378</v>
      </c>
      <c r="B3164" t="s">
        <v>18</v>
      </c>
      <c r="C3164" t="s">
        <v>38</v>
      </c>
      <c r="D3164">
        <v>831998</v>
      </c>
      <c r="E3164">
        <v>2268441</v>
      </c>
      <c r="F3164">
        <f t="shared" si="321"/>
        <v>2.7264981406205302</v>
      </c>
      <c r="G3164">
        <f t="shared" si="315"/>
        <v>123.67395565854724</v>
      </c>
      <c r="H3164">
        <v>6441.677083333333</v>
      </c>
      <c r="I3164" t="s">
        <v>40</v>
      </c>
      <c r="J3164">
        <f t="shared" si="319"/>
        <v>15.78262178937482</v>
      </c>
      <c r="K3164">
        <f t="shared" si="320"/>
        <v>43963.444034400003</v>
      </c>
    </row>
    <row r="3165" spans="1:12" x14ac:dyDescent="0.35">
      <c r="A3165" s="1">
        <v>44409</v>
      </c>
      <c r="B3165" t="s">
        <v>18</v>
      </c>
      <c r="C3165" t="s">
        <v>38</v>
      </c>
      <c r="D3165">
        <v>778541</v>
      </c>
      <c r="E3165">
        <v>2325726</v>
      </c>
      <c r="F3165">
        <f t="shared" si="321"/>
        <v>2.9872877600537415</v>
      </c>
      <c r="G3165">
        <f t="shared" si="315"/>
        <v>135.50337279603772</v>
      </c>
      <c r="H3165">
        <v>6394.1909722222217</v>
      </c>
      <c r="I3165" t="s">
        <v>40</v>
      </c>
      <c r="J3165">
        <f t="shared" si="319"/>
        <v>15.666277035948111</v>
      </c>
      <c r="K3165">
        <f t="shared" si="320"/>
        <v>43963.444034400003</v>
      </c>
    </row>
    <row r="3166" spans="1:12" x14ac:dyDescent="0.35">
      <c r="A3166" s="1">
        <v>44440</v>
      </c>
      <c r="B3166" t="s">
        <v>18</v>
      </c>
      <c r="C3166" t="s">
        <v>38</v>
      </c>
      <c r="D3166">
        <v>765421</v>
      </c>
      <c r="E3166">
        <v>1892205</v>
      </c>
      <c r="F3166">
        <f t="shared" si="321"/>
        <v>2.4721101197902855</v>
      </c>
      <c r="G3166">
        <f t="shared" si="315"/>
        <v>112.13491503368735</v>
      </c>
      <c r="H3166">
        <v>6003.9958333333325</v>
      </c>
      <c r="I3166" t="s">
        <v>40</v>
      </c>
      <c r="J3166">
        <f t="shared" si="319"/>
        <v>14.710267875372615</v>
      </c>
      <c r="K3166">
        <f t="shared" si="320"/>
        <v>43963.444034400003</v>
      </c>
    </row>
    <row r="3167" spans="1:12" x14ac:dyDescent="0.35">
      <c r="A3167" s="1">
        <v>44470</v>
      </c>
      <c r="B3167" t="s">
        <v>18</v>
      </c>
      <c r="C3167" t="s">
        <v>38</v>
      </c>
      <c r="D3167">
        <v>548722</v>
      </c>
      <c r="E3167">
        <v>1280331</v>
      </c>
      <c r="F3167">
        <f t="shared" si="321"/>
        <v>2.3332962775321566</v>
      </c>
      <c r="G3167">
        <f t="shared" si="315"/>
        <v>105.83831914885862</v>
      </c>
      <c r="H3167">
        <v>5472.591145833333</v>
      </c>
      <c r="I3167" t="s">
        <v>40</v>
      </c>
      <c r="J3167">
        <f t="shared" si="319"/>
        <v>13.408284076524154</v>
      </c>
      <c r="K3167">
        <f t="shared" si="320"/>
        <v>43963.444034400003</v>
      </c>
    </row>
    <row r="3168" spans="1:12" x14ac:dyDescent="0.35">
      <c r="A3168" s="1">
        <v>44501</v>
      </c>
      <c r="B3168" t="s">
        <v>18</v>
      </c>
      <c r="C3168" t="s">
        <v>38</v>
      </c>
      <c r="D3168">
        <v>741244</v>
      </c>
      <c r="E3168">
        <v>1193040</v>
      </c>
      <c r="F3168">
        <f t="shared" si="321"/>
        <v>1.6095104985672735</v>
      </c>
      <c r="G3168">
        <f t="shared" si="315"/>
        <v>73.007396215011525</v>
      </c>
      <c r="H3168">
        <v>5790.231770833333</v>
      </c>
      <c r="I3168" t="s">
        <v>40</v>
      </c>
      <c r="J3168">
        <f t="shared" si="319"/>
        <v>14.186528900730938</v>
      </c>
      <c r="K3168">
        <f t="shared" si="320"/>
        <v>43963.444034400003</v>
      </c>
    </row>
    <row r="3169" spans="1:11" x14ac:dyDescent="0.35">
      <c r="A3169" s="1">
        <v>44531</v>
      </c>
      <c r="B3169" t="s">
        <v>18</v>
      </c>
      <c r="C3169" t="s">
        <v>38</v>
      </c>
      <c r="D3169">
        <v>753547</v>
      </c>
      <c r="E3169">
        <v>1636425</v>
      </c>
      <c r="F3169">
        <f t="shared" si="321"/>
        <v>2.1716296395579837</v>
      </c>
      <c r="G3169">
        <f t="shared" si="315"/>
        <v>98.505120450350134</v>
      </c>
      <c r="H3169">
        <v>6237.8145833333328</v>
      </c>
      <c r="I3169" t="s">
        <v>40</v>
      </c>
      <c r="J3169">
        <f t="shared" si="319"/>
        <v>15.283142431295682</v>
      </c>
      <c r="K3169">
        <f t="shared" si="320"/>
        <v>43963.444034400003</v>
      </c>
    </row>
    <row r="3170" spans="1:11" x14ac:dyDescent="0.35">
      <c r="A3170" s="1">
        <v>44562</v>
      </c>
      <c r="B3170" t="s">
        <v>2</v>
      </c>
      <c r="C3170" t="s">
        <v>38</v>
      </c>
      <c r="D3170">
        <v>25388</v>
      </c>
      <c r="E3170">
        <v>92145</v>
      </c>
      <c r="F3170">
        <f t="shared" si="321"/>
        <v>3.6294706160390735</v>
      </c>
      <c r="G3170">
        <f t="shared" si="315"/>
        <v>164.63278714353237</v>
      </c>
      <c r="H3170">
        <v>2732.078232719105</v>
      </c>
      <c r="I3170" t="s">
        <v>59</v>
      </c>
      <c r="J3170">
        <f>H3170/110</f>
        <v>24.837074842900954</v>
      </c>
      <c r="K3170">
        <v>10006.778605990603</v>
      </c>
    </row>
    <row r="3171" spans="1:11" x14ac:dyDescent="0.35">
      <c r="A3171" s="1">
        <v>44593</v>
      </c>
      <c r="B3171" t="s">
        <v>2</v>
      </c>
      <c r="C3171" t="s">
        <v>38</v>
      </c>
      <c r="D3171">
        <v>5842</v>
      </c>
      <c r="E3171">
        <v>20784</v>
      </c>
      <c r="F3171">
        <f t="shared" si="321"/>
        <v>3.5576857240671003</v>
      </c>
      <c r="G3171">
        <f t="shared" si="315"/>
        <v>161.37662444368365</v>
      </c>
      <c r="H3171">
        <v>2856.2894206087276</v>
      </c>
      <c r="I3171" t="s">
        <v>59</v>
      </c>
      <c r="J3171">
        <f t="shared" ref="J3171:J3181" si="322">H3171/110</f>
        <v>25.96626746007934</v>
      </c>
      <c r="K3171">
        <v>10006.778605990603</v>
      </c>
    </row>
    <row r="3172" spans="1:11" x14ac:dyDescent="0.35">
      <c r="A3172" s="1">
        <v>44621</v>
      </c>
      <c r="B3172" t="s">
        <v>2</v>
      </c>
      <c r="C3172" t="s">
        <v>38</v>
      </c>
      <c r="D3172">
        <v>154875</v>
      </c>
      <c r="E3172">
        <v>820565</v>
      </c>
      <c r="F3172">
        <f t="shared" si="321"/>
        <v>5.2982405165456017</v>
      </c>
      <c r="G3172">
        <f t="shared" si="315"/>
        <v>240.32818983050848</v>
      </c>
      <c r="H3172">
        <v>2743.4329333975065</v>
      </c>
      <c r="I3172" t="s">
        <v>59</v>
      </c>
      <c r="J3172">
        <f t="shared" si="322"/>
        <v>24.940299394522786</v>
      </c>
      <c r="K3172">
        <v>10006.778605990603</v>
      </c>
    </row>
    <row r="3173" spans="1:11" x14ac:dyDescent="0.35">
      <c r="A3173" s="1">
        <v>44652</v>
      </c>
      <c r="B3173" t="s">
        <v>2</v>
      </c>
      <c r="C3173" t="s">
        <v>38</v>
      </c>
      <c r="D3173">
        <v>567989</v>
      </c>
      <c r="E3173">
        <v>2952000</v>
      </c>
      <c r="F3173">
        <f t="shared" si="321"/>
        <v>5.1972837502134723</v>
      </c>
      <c r="G3173">
        <f t="shared" si="315"/>
        <v>235.74879090968309</v>
      </c>
      <c r="H3173">
        <v>2691.2592879079571</v>
      </c>
      <c r="I3173" t="s">
        <v>59</v>
      </c>
      <c r="J3173">
        <f t="shared" si="322"/>
        <v>24.465993526435973</v>
      </c>
      <c r="K3173">
        <v>10006.778605990603</v>
      </c>
    </row>
    <row r="3174" spans="1:11" x14ac:dyDescent="0.35">
      <c r="A3174" s="1">
        <v>44682</v>
      </c>
      <c r="B3174" t="s">
        <v>2</v>
      </c>
      <c r="C3174" t="s">
        <v>38</v>
      </c>
      <c r="D3174">
        <v>472495.37</v>
      </c>
      <c r="E3174">
        <v>2708765.1087000002</v>
      </c>
      <c r="F3174">
        <f t="shared" si="321"/>
        <v>5.7328923851677116</v>
      </c>
      <c r="G3174">
        <f t="shared" si="315"/>
        <v>260.04399859120741</v>
      </c>
      <c r="H3174">
        <v>2775.3000874194563</v>
      </c>
      <c r="I3174" t="s">
        <v>59</v>
      </c>
      <c r="J3174">
        <f t="shared" si="322"/>
        <v>25.230000794722329</v>
      </c>
      <c r="K3174">
        <v>10006.778605990603</v>
      </c>
    </row>
    <row r="3175" spans="1:11" x14ac:dyDescent="0.35">
      <c r="A3175" s="1">
        <v>44713</v>
      </c>
      <c r="B3175" t="s">
        <v>2</v>
      </c>
      <c r="C3175" t="s">
        <v>38</v>
      </c>
      <c r="D3175">
        <v>183504</v>
      </c>
      <c r="E3175">
        <v>998865</v>
      </c>
      <c r="F3175">
        <f t="shared" si="321"/>
        <v>5.4432873397855088</v>
      </c>
      <c r="G3175">
        <f t="shared" si="315"/>
        <v>246.90751373267068</v>
      </c>
      <c r="H3175">
        <v>2718.566596076274</v>
      </c>
      <c r="I3175" t="s">
        <v>59</v>
      </c>
      <c r="J3175">
        <f t="shared" si="322"/>
        <v>24.714241782511582</v>
      </c>
      <c r="K3175">
        <v>10006.778605990603</v>
      </c>
    </row>
    <row r="3176" spans="1:11" x14ac:dyDescent="0.35">
      <c r="A3176" s="1">
        <v>44743</v>
      </c>
      <c r="B3176" t="s">
        <v>2</v>
      </c>
      <c r="C3176" t="s">
        <v>38</v>
      </c>
      <c r="D3176">
        <v>156175</v>
      </c>
      <c r="E3176">
        <v>752763.5</v>
      </c>
      <c r="F3176">
        <f t="shared" si="321"/>
        <v>4.82</v>
      </c>
      <c r="G3176">
        <f t="shared" si="315"/>
        <v>218.6352</v>
      </c>
      <c r="H3176">
        <v>2658.9189868292383</v>
      </c>
      <c r="I3176" t="s">
        <v>59</v>
      </c>
      <c r="J3176">
        <f t="shared" si="322"/>
        <v>24.171990789356713</v>
      </c>
      <c r="K3176">
        <v>10006.778605990603</v>
      </c>
    </row>
    <row r="3177" spans="1:11" x14ac:dyDescent="0.35">
      <c r="A3177" s="1">
        <v>44774</v>
      </c>
      <c r="B3177" t="s">
        <v>2</v>
      </c>
      <c r="C3177" t="s">
        <v>38</v>
      </c>
      <c r="D3177">
        <v>362113</v>
      </c>
      <c r="E3177">
        <v>1745960.0000000002</v>
      </c>
      <c r="F3177">
        <f t="shared" si="321"/>
        <v>4.8215888410523791</v>
      </c>
      <c r="G3177">
        <f t="shared" si="315"/>
        <v>218.70726983013591</v>
      </c>
      <c r="H3177">
        <v>2704.3307891455811</v>
      </c>
      <c r="I3177" t="s">
        <v>59</v>
      </c>
      <c r="J3177">
        <f t="shared" si="322"/>
        <v>24.584825355868919</v>
      </c>
      <c r="K3177">
        <v>10006.778605990603</v>
      </c>
    </row>
    <row r="3178" spans="1:11" x14ac:dyDescent="0.35">
      <c r="A3178" s="1">
        <v>44805</v>
      </c>
      <c r="B3178" t="s">
        <v>2</v>
      </c>
      <c r="C3178" t="s">
        <v>38</v>
      </c>
      <c r="D3178">
        <v>417577</v>
      </c>
      <c r="E3178">
        <v>1732944.55</v>
      </c>
      <c r="F3178">
        <f t="shared" si="321"/>
        <v>4.1500000000000004</v>
      </c>
      <c r="G3178">
        <f t="shared" si="315"/>
        <v>188.244</v>
      </c>
      <c r="H3178">
        <v>2693.7679922808948</v>
      </c>
      <c r="I3178" t="s">
        <v>59</v>
      </c>
      <c r="J3178">
        <f t="shared" si="322"/>
        <v>24.488799929826317</v>
      </c>
      <c r="K3178">
        <v>10006.778605990603</v>
      </c>
    </row>
    <row r="3179" spans="1:11" x14ac:dyDescent="0.35">
      <c r="A3179" s="1">
        <v>44835</v>
      </c>
      <c r="B3179" t="s">
        <v>2</v>
      </c>
      <c r="C3179" t="s">
        <v>38</v>
      </c>
      <c r="D3179">
        <v>329382</v>
      </c>
      <c r="E3179">
        <v>1357053.84</v>
      </c>
      <c r="F3179">
        <f t="shared" si="321"/>
        <v>4.12</v>
      </c>
      <c r="G3179">
        <f t="shared" si="315"/>
        <v>186.88320000000002</v>
      </c>
      <c r="H3179">
        <v>2689.0693756875685</v>
      </c>
      <c r="I3179" t="s">
        <v>59</v>
      </c>
      <c r="J3179">
        <f t="shared" si="322"/>
        <v>24.446085233523348</v>
      </c>
      <c r="K3179">
        <v>10006.778605990603</v>
      </c>
    </row>
    <row r="3180" spans="1:11" x14ac:dyDescent="0.35">
      <c r="A3180" s="1">
        <v>44866</v>
      </c>
      <c r="B3180" t="s">
        <v>2</v>
      </c>
      <c r="C3180" t="s">
        <v>38</v>
      </c>
      <c r="D3180">
        <v>334822</v>
      </c>
      <c r="E3180">
        <v>1055854</v>
      </c>
      <c r="F3180">
        <f t="shared" si="321"/>
        <v>3.1534785647299164</v>
      </c>
      <c r="G3180">
        <f t="shared" si="315"/>
        <v>143.04178769614902</v>
      </c>
      <c r="H3180">
        <v>2629.3532728272826</v>
      </c>
      <c r="I3180" t="s">
        <v>59</v>
      </c>
      <c r="J3180">
        <f t="shared" si="322"/>
        <v>23.903211571157115</v>
      </c>
      <c r="K3180">
        <v>10006.778605990603</v>
      </c>
    </row>
    <row r="3181" spans="1:11" x14ac:dyDescent="0.35">
      <c r="A3181" s="1">
        <v>44896</v>
      </c>
      <c r="B3181" t="s">
        <v>2</v>
      </c>
      <c r="C3181" t="s">
        <v>38</v>
      </c>
      <c r="D3181">
        <v>135423.110999347</v>
      </c>
      <c r="E3181">
        <v>512300</v>
      </c>
      <c r="F3181">
        <f t="shared" si="321"/>
        <v>3.7829584346387541</v>
      </c>
      <c r="G3181">
        <f t="shared" si="315"/>
        <v>171.59499459521388</v>
      </c>
      <c r="H3181">
        <v>2702.5151570712628</v>
      </c>
      <c r="I3181" t="s">
        <v>59</v>
      </c>
      <c r="J3181">
        <f t="shared" si="322"/>
        <v>24.568319609738754</v>
      </c>
      <c r="K3181">
        <v>10006.778605990603</v>
      </c>
    </row>
    <row r="3182" spans="1:11" x14ac:dyDescent="0.35">
      <c r="A3182" s="1">
        <v>44562</v>
      </c>
      <c r="B3182" t="s">
        <v>5</v>
      </c>
      <c r="C3182" t="s">
        <v>38</v>
      </c>
      <c r="D3182">
        <v>53245</v>
      </c>
      <c r="E3182">
        <v>98785</v>
      </c>
      <c r="F3182">
        <f t="shared" si="321"/>
        <v>1.855291576673866</v>
      </c>
      <c r="G3182">
        <f t="shared" si="315"/>
        <v>84.156025917926556</v>
      </c>
      <c r="H3182">
        <v>1125.9453125</v>
      </c>
      <c r="I3182" t="s">
        <v>38</v>
      </c>
      <c r="J3182">
        <f>H3182/45.36</f>
        <v>24.82242752425044</v>
      </c>
      <c r="K3182">
        <v>4130.0977179150004</v>
      </c>
    </row>
    <row r="3183" spans="1:11" x14ac:dyDescent="0.35">
      <c r="A3183" s="1">
        <v>44593</v>
      </c>
      <c r="B3183" t="s">
        <v>5</v>
      </c>
      <c r="C3183" t="s">
        <v>38</v>
      </c>
      <c r="D3183">
        <v>32454</v>
      </c>
      <c r="E3183">
        <v>80577</v>
      </c>
      <c r="F3183">
        <f t="shared" si="321"/>
        <v>2.4828064337215752</v>
      </c>
      <c r="G3183">
        <f t="shared" si="315"/>
        <v>112.62009983361065</v>
      </c>
      <c r="H3183">
        <v>1240.9661458333333</v>
      </c>
      <c r="I3183" t="s">
        <v>38</v>
      </c>
      <c r="J3183">
        <f t="shared" ref="J3183:J3246" si="323">H3183/45.36</f>
        <v>27.358160181510875</v>
      </c>
      <c r="K3183">
        <v>4130.0977179150004</v>
      </c>
    </row>
    <row r="3184" spans="1:11" x14ac:dyDescent="0.35">
      <c r="A3184" s="1">
        <v>44621</v>
      </c>
      <c r="B3184" t="s">
        <v>5</v>
      </c>
      <c r="C3184" t="s">
        <v>38</v>
      </c>
      <c r="D3184">
        <v>34455</v>
      </c>
      <c r="E3184">
        <v>84677</v>
      </c>
      <c r="F3184">
        <f t="shared" si="321"/>
        <v>2.4576113771586128</v>
      </c>
      <c r="G3184">
        <f t="shared" si="315"/>
        <v>111.47725206791468</v>
      </c>
      <c r="H3184">
        <v>1413.0541666666668</v>
      </c>
      <c r="I3184" t="s">
        <v>38</v>
      </c>
      <c r="J3184">
        <f t="shared" si="323"/>
        <v>31.151987801293359</v>
      </c>
      <c r="K3184">
        <v>4130.0977179150004</v>
      </c>
    </row>
    <row r="3185" spans="1:11" x14ac:dyDescent="0.35">
      <c r="A3185" s="1">
        <v>44652</v>
      </c>
      <c r="B3185" t="s">
        <v>5</v>
      </c>
      <c r="C3185" t="s">
        <v>38</v>
      </c>
      <c r="D3185">
        <v>28577</v>
      </c>
      <c r="E3185">
        <v>71542</v>
      </c>
      <c r="F3185">
        <f t="shared" si="321"/>
        <v>2.5034818210448964</v>
      </c>
      <c r="G3185">
        <f t="shared" si="315"/>
        <v>113.5579354025965</v>
      </c>
      <c r="H3185">
        <v>1505.3605034722223</v>
      </c>
      <c r="I3185" t="s">
        <v>38</v>
      </c>
      <c r="J3185">
        <f t="shared" si="323"/>
        <v>33.186959953091318</v>
      </c>
      <c r="K3185">
        <v>4130.0977179150004</v>
      </c>
    </row>
    <row r="3186" spans="1:11" x14ac:dyDescent="0.35">
      <c r="A3186" s="1">
        <v>44682</v>
      </c>
      <c r="B3186" t="s">
        <v>5</v>
      </c>
      <c r="C3186" t="s">
        <v>38</v>
      </c>
      <c r="D3186">
        <v>34468</v>
      </c>
      <c r="E3186">
        <v>84025</v>
      </c>
      <c r="F3186">
        <f t="shared" si="321"/>
        <v>2.43776836486016</v>
      </c>
      <c r="G3186">
        <f t="shared" si="315"/>
        <v>110.57717303005685</v>
      </c>
      <c r="H3186">
        <v>1453.8880208333335</v>
      </c>
      <c r="I3186" t="s">
        <v>38</v>
      </c>
      <c r="J3186">
        <f t="shared" si="323"/>
        <v>32.052205044826579</v>
      </c>
      <c r="K3186">
        <v>4130.0977179150004</v>
      </c>
    </row>
    <row r="3187" spans="1:11" x14ac:dyDescent="0.35">
      <c r="A3187" s="1">
        <v>44713</v>
      </c>
      <c r="B3187" t="s">
        <v>5</v>
      </c>
      <c r="C3187" t="s">
        <v>38</v>
      </c>
      <c r="D3187">
        <v>40080</v>
      </c>
      <c r="E3187">
        <v>129319.45</v>
      </c>
      <c r="F3187">
        <f t="shared" si="321"/>
        <v>3.2265331836327347</v>
      </c>
      <c r="G3187">
        <f t="shared" si="315"/>
        <v>146.35554520958084</v>
      </c>
      <c r="H3187">
        <v>1522.0958333333333</v>
      </c>
      <c r="I3187" t="s">
        <v>38</v>
      </c>
      <c r="J3187">
        <f t="shared" si="323"/>
        <v>33.555904614932395</v>
      </c>
      <c r="K3187">
        <v>4130.0977179150004</v>
      </c>
    </row>
    <row r="3188" spans="1:11" x14ac:dyDescent="0.35">
      <c r="A3188" s="1">
        <v>44743</v>
      </c>
      <c r="B3188" t="s">
        <v>5</v>
      </c>
      <c r="C3188" t="s">
        <v>38</v>
      </c>
      <c r="D3188">
        <v>50725</v>
      </c>
      <c r="E3188">
        <v>123699.51000000001</v>
      </c>
      <c r="F3188">
        <f t="shared" si="321"/>
        <v>2.438630064070971</v>
      </c>
      <c r="G3188">
        <f t="shared" ref="G3188:G3251" si="324">F3188*45.36</f>
        <v>110.61625970625924</v>
      </c>
      <c r="H3188">
        <v>1296.1848958333333</v>
      </c>
      <c r="I3188" t="s">
        <v>38</v>
      </c>
      <c r="J3188">
        <f t="shared" si="323"/>
        <v>28.575504758230451</v>
      </c>
      <c r="K3188">
        <v>4130.0977179150004</v>
      </c>
    </row>
    <row r="3189" spans="1:11" x14ac:dyDescent="0.35">
      <c r="A3189" s="1">
        <v>44774</v>
      </c>
      <c r="B3189" t="s">
        <v>5</v>
      </c>
      <c r="C3189" t="s">
        <v>38</v>
      </c>
      <c r="D3189">
        <v>53960</v>
      </c>
      <c r="E3189">
        <v>135236</v>
      </c>
      <c r="F3189">
        <f t="shared" si="321"/>
        <v>2.5062268346923648</v>
      </c>
      <c r="G3189">
        <f t="shared" si="324"/>
        <v>113.68244922164567</v>
      </c>
      <c r="H3189">
        <v>1231.047619047619</v>
      </c>
      <c r="I3189" t="s">
        <v>38</v>
      </c>
      <c r="J3189">
        <f t="shared" si="323"/>
        <v>27.139497774418409</v>
      </c>
      <c r="K3189">
        <v>4130.0977179150004</v>
      </c>
    </row>
    <row r="3190" spans="1:11" x14ac:dyDescent="0.35">
      <c r="A3190" s="1">
        <v>44805</v>
      </c>
      <c r="B3190" t="s">
        <v>5</v>
      </c>
      <c r="C3190" t="s">
        <v>38</v>
      </c>
      <c r="D3190">
        <v>52864</v>
      </c>
      <c r="E3190">
        <v>150133.75999999998</v>
      </c>
      <c r="F3190">
        <f t="shared" si="321"/>
        <v>2.8399999999999994</v>
      </c>
      <c r="G3190">
        <f t="shared" si="324"/>
        <v>128.82239999999996</v>
      </c>
      <c r="H3190">
        <v>1260.7796354166667</v>
      </c>
      <c r="I3190" t="s">
        <v>38</v>
      </c>
      <c r="J3190">
        <f t="shared" si="323"/>
        <v>27.794965507422106</v>
      </c>
      <c r="K3190">
        <v>4130.0977179150004</v>
      </c>
    </row>
    <row r="3191" spans="1:11" x14ac:dyDescent="0.35">
      <c r="A3191" s="1">
        <v>44835</v>
      </c>
      <c r="B3191" t="s">
        <v>5</v>
      </c>
      <c r="C3191" t="s">
        <v>38</v>
      </c>
      <c r="D3191">
        <v>71508</v>
      </c>
      <c r="E3191">
        <v>190211.28</v>
      </c>
      <c r="F3191">
        <f t="shared" si="321"/>
        <v>2.66</v>
      </c>
      <c r="G3191">
        <f t="shared" si="324"/>
        <v>120.6576</v>
      </c>
      <c r="H3191">
        <v>1256.6890625000001</v>
      </c>
      <c r="I3191" t="s">
        <v>38</v>
      </c>
      <c r="J3191">
        <f t="shared" si="323"/>
        <v>27.704785328483247</v>
      </c>
      <c r="K3191">
        <v>4130.0977179150004</v>
      </c>
    </row>
    <row r="3192" spans="1:11" x14ac:dyDescent="0.35">
      <c r="A3192" s="1">
        <v>44866</v>
      </c>
      <c r="B3192" t="s">
        <v>5</v>
      </c>
      <c r="C3192" t="s">
        <v>38</v>
      </c>
      <c r="D3192">
        <v>45644</v>
      </c>
      <c r="E3192">
        <v>121413.04000000001</v>
      </c>
      <c r="F3192">
        <f t="shared" si="321"/>
        <v>2.66</v>
      </c>
      <c r="G3192">
        <f t="shared" si="324"/>
        <v>120.6576</v>
      </c>
      <c r="H3192">
        <v>1269.4179583333332</v>
      </c>
      <c r="I3192" t="s">
        <v>38</v>
      </c>
      <c r="J3192">
        <f t="shared" si="323"/>
        <v>27.985404725161668</v>
      </c>
      <c r="K3192">
        <v>4130.0977179150004</v>
      </c>
    </row>
    <row r="3193" spans="1:11" x14ac:dyDescent="0.35">
      <c r="A3193" s="1">
        <v>44896</v>
      </c>
      <c r="B3193" t="s">
        <v>5</v>
      </c>
      <c r="C3193" t="s">
        <v>38</v>
      </c>
      <c r="D3193">
        <v>43300.835020800005</v>
      </c>
      <c r="E3193">
        <v>115419.91272727273</v>
      </c>
      <c r="F3193">
        <f t="shared" si="321"/>
        <v>2.6655354953739248</v>
      </c>
      <c r="G3193">
        <f t="shared" si="324"/>
        <v>120.90869007016123</v>
      </c>
      <c r="H3193">
        <v>1294.859375</v>
      </c>
      <c r="I3193" t="s">
        <v>38</v>
      </c>
      <c r="J3193">
        <f t="shared" si="323"/>
        <v>28.546282517636683</v>
      </c>
      <c r="K3193">
        <v>4130.0977179150004</v>
      </c>
    </row>
    <row r="3194" spans="1:11" x14ac:dyDescent="0.35">
      <c r="A3194" s="1">
        <v>44562</v>
      </c>
      <c r="B3194" t="s">
        <v>7</v>
      </c>
      <c r="C3194" t="s">
        <v>38</v>
      </c>
      <c r="D3194">
        <v>6288</v>
      </c>
      <c r="E3194">
        <v>85417</v>
      </c>
      <c r="F3194">
        <f t="shared" si="321"/>
        <v>13.584128498727736</v>
      </c>
      <c r="G3194">
        <f t="shared" si="324"/>
        <v>616.17606870229008</v>
      </c>
      <c r="H3194">
        <v>893.77083333333337</v>
      </c>
      <c r="I3194" t="s">
        <v>38</v>
      </c>
      <c r="J3194">
        <f t="shared" si="323"/>
        <v>19.703942533803644</v>
      </c>
      <c r="K3194">
        <v>5858.17</v>
      </c>
    </row>
    <row r="3195" spans="1:11" x14ac:dyDescent="0.35">
      <c r="A3195" s="1">
        <v>44593</v>
      </c>
      <c r="B3195" t="s">
        <v>7</v>
      </c>
      <c r="C3195" t="s">
        <v>38</v>
      </c>
      <c r="D3195">
        <v>11524</v>
      </c>
      <c r="E3195">
        <v>111201</v>
      </c>
      <c r="F3195">
        <f t="shared" si="321"/>
        <v>9.649514057618882</v>
      </c>
      <c r="G3195">
        <f t="shared" si="324"/>
        <v>437.7019576535925</v>
      </c>
      <c r="H3195">
        <v>930.91666666666663</v>
      </c>
      <c r="I3195" t="s">
        <v>38</v>
      </c>
      <c r="J3195">
        <f t="shared" si="323"/>
        <v>20.522854203409757</v>
      </c>
      <c r="K3195">
        <v>5858.17</v>
      </c>
    </row>
    <row r="3196" spans="1:11" x14ac:dyDescent="0.35">
      <c r="A3196" s="1">
        <v>44621</v>
      </c>
      <c r="B3196" t="s">
        <v>7</v>
      </c>
      <c r="C3196" t="s">
        <v>38</v>
      </c>
      <c r="D3196">
        <v>10780</v>
      </c>
      <c r="E3196">
        <v>128995</v>
      </c>
      <c r="F3196">
        <f t="shared" si="321"/>
        <v>11.966141001855288</v>
      </c>
      <c r="G3196">
        <f t="shared" si="324"/>
        <v>542.78415584415586</v>
      </c>
      <c r="H3196">
        <v>984.69583333333344</v>
      </c>
      <c r="I3196" t="s">
        <v>38</v>
      </c>
      <c r="J3196">
        <f t="shared" si="323"/>
        <v>21.708461934156382</v>
      </c>
      <c r="K3196">
        <v>5858.17</v>
      </c>
    </row>
    <row r="3197" spans="1:11" x14ac:dyDescent="0.35">
      <c r="A3197" s="1">
        <v>44652</v>
      </c>
      <c r="B3197" t="s">
        <v>7</v>
      </c>
      <c r="C3197" t="s">
        <v>38</v>
      </c>
      <c r="D3197">
        <v>11887</v>
      </c>
      <c r="E3197">
        <v>138878</v>
      </c>
      <c r="F3197">
        <f t="shared" si="321"/>
        <v>11.683183309497771</v>
      </c>
      <c r="G3197">
        <f t="shared" si="324"/>
        <v>529.94919491881888</v>
      </c>
      <c r="H3197">
        <v>1035.5868055555557</v>
      </c>
      <c r="I3197" t="s">
        <v>38</v>
      </c>
      <c r="J3197">
        <f t="shared" si="323"/>
        <v>22.830396947873801</v>
      </c>
      <c r="K3197">
        <v>5858.17</v>
      </c>
    </row>
    <row r="3198" spans="1:11" x14ac:dyDescent="0.35">
      <c r="A3198" s="1">
        <v>44682</v>
      </c>
      <c r="B3198" t="s">
        <v>7</v>
      </c>
      <c r="C3198" t="s">
        <v>38</v>
      </c>
      <c r="D3198">
        <v>9512.5499999999993</v>
      </c>
      <c r="E3198">
        <v>116729.95348403396</v>
      </c>
      <c r="F3198">
        <f t="shared" si="321"/>
        <v>12.271152686086692</v>
      </c>
      <c r="G3198">
        <f t="shared" si="324"/>
        <v>556.61948584089237</v>
      </c>
      <c r="H3198">
        <v>961.61411458333339</v>
      </c>
      <c r="I3198" t="s">
        <v>38</v>
      </c>
      <c r="J3198">
        <f t="shared" si="323"/>
        <v>21.199605700690771</v>
      </c>
      <c r="K3198">
        <v>5858.17</v>
      </c>
    </row>
    <row r="3199" spans="1:11" x14ac:dyDescent="0.35">
      <c r="A3199" s="1">
        <v>44713</v>
      </c>
      <c r="B3199" t="s">
        <v>7</v>
      </c>
      <c r="C3199" t="s">
        <v>38</v>
      </c>
      <c r="D3199">
        <v>11377</v>
      </c>
      <c r="E3199">
        <v>150961</v>
      </c>
      <c r="F3199">
        <f t="shared" si="321"/>
        <v>13.268963698690341</v>
      </c>
      <c r="G3199">
        <f t="shared" si="324"/>
        <v>601.88019337259379</v>
      </c>
      <c r="H3199">
        <v>1090.87375</v>
      </c>
      <c r="I3199" t="s">
        <v>38</v>
      </c>
      <c r="J3199">
        <f t="shared" si="323"/>
        <v>24.049244929453263</v>
      </c>
      <c r="K3199">
        <v>5858.17</v>
      </c>
    </row>
    <row r="3200" spans="1:11" x14ac:dyDescent="0.35">
      <c r="A3200" s="1">
        <v>44743</v>
      </c>
      <c r="B3200" t="s">
        <v>7</v>
      </c>
      <c r="C3200" t="s">
        <v>38</v>
      </c>
      <c r="D3200">
        <v>10602</v>
      </c>
      <c r="E3200">
        <v>112209</v>
      </c>
      <c r="F3200">
        <f t="shared" si="321"/>
        <v>10.58375778155065</v>
      </c>
      <c r="G3200">
        <f t="shared" si="324"/>
        <v>480.07925297113746</v>
      </c>
      <c r="H3200">
        <v>1007.27734375</v>
      </c>
      <c r="I3200" t="s">
        <v>38</v>
      </c>
      <c r="J3200">
        <f t="shared" si="323"/>
        <v>22.206290647045854</v>
      </c>
      <c r="K3200">
        <v>5858.17</v>
      </c>
    </row>
    <row r="3201" spans="1:11" x14ac:dyDescent="0.35">
      <c r="A3201" s="1">
        <v>44774</v>
      </c>
      <c r="B3201" t="s">
        <v>7</v>
      </c>
      <c r="C3201" t="s">
        <v>38</v>
      </c>
      <c r="D3201">
        <v>8002</v>
      </c>
      <c r="E3201">
        <v>97990</v>
      </c>
      <c r="F3201">
        <f t="shared" si="321"/>
        <v>12.245688577855535</v>
      </c>
      <c r="G3201">
        <f t="shared" si="324"/>
        <v>555.46443389152705</v>
      </c>
      <c r="H3201">
        <v>1245.4791666666665</v>
      </c>
      <c r="I3201" t="s">
        <v>38</v>
      </c>
      <c r="J3201">
        <f t="shared" si="323"/>
        <v>27.457653586125804</v>
      </c>
      <c r="K3201">
        <v>5858.17</v>
      </c>
    </row>
    <row r="3202" spans="1:11" x14ac:dyDescent="0.35">
      <c r="A3202" s="1">
        <v>44805</v>
      </c>
      <c r="B3202" t="s">
        <v>7</v>
      </c>
      <c r="C3202" t="s">
        <v>38</v>
      </c>
      <c r="D3202">
        <v>7919</v>
      </c>
      <c r="E3202">
        <v>87900.9</v>
      </c>
      <c r="F3202">
        <f t="shared" si="321"/>
        <v>11.1</v>
      </c>
      <c r="G3202">
        <f t="shared" si="324"/>
        <v>503.49599999999998</v>
      </c>
      <c r="H3202">
        <v>1381.2529761904764</v>
      </c>
      <c r="I3202" t="s">
        <v>38</v>
      </c>
      <c r="J3202">
        <f t="shared" si="323"/>
        <v>30.450903355169231</v>
      </c>
      <c r="K3202">
        <v>5858.17</v>
      </c>
    </row>
    <row r="3203" spans="1:11" x14ac:dyDescent="0.35">
      <c r="A3203" s="1">
        <v>44835</v>
      </c>
      <c r="B3203" t="s">
        <v>7</v>
      </c>
      <c r="C3203" t="s">
        <v>38</v>
      </c>
      <c r="D3203">
        <v>8483.4000000000015</v>
      </c>
      <c r="E3203">
        <v>110284.20000000001</v>
      </c>
      <c r="F3203">
        <f t="shared" si="321"/>
        <v>13</v>
      </c>
      <c r="G3203">
        <f t="shared" si="324"/>
        <v>589.67999999999995</v>
      </c>
      <c r="H3203">
        <v>1359.7089285714287</v>
      </c>
      <c r="I3203" t="s">
        <v>38</v>
      </c>
      <c r="J3203">
        <f t="shared" si="323"/>
        <v>29.975946397077355</v>
      </c>
      <c r="K3203">
        <v>5858.17</v>
      </c>
    </row>
    <row r="3204" spans="1:11" x14ac:dyDescent="0.35">
      <c r="A3204" s="1">
        <v>44866</v>
      </c>
      <c r="B3204" t="s">
        <v>7</v>
      </c>
      <c r="C3204" t="s">
        <v>38</v>
      </c>
      <c r="D3204">
        <v>9023</v>
      </c>
      <c r="E3204">
        <v>117299</v>
      </c>
      <c r="F3204">
        <f t="shared" si="321"/>
        <v>13</v>
      </c>
      <c r="G3204">
        <f t="shared" si="324"/>
        <v>589.67999999999995</v>
      </c>
      <c r="H3204">
        <v>1358.9214285714286</v>
      </c>
      <c r="I3204" t="s">
        <v>38</v>
      </c>
      <c r="J3204">
        <f t="shared" si="323"/>
        <v>29.95858528596624</v>
      </c>
      <c r="K3204">
        <v>5858.17</v>
      </c>
    </row>
    <row r="3205" spans="1:11" x14ac:dyDescent="0.35">
      <c r="A3205" s="1">
        <v>44896</v>
      </c>
      <c r="B3205" t="s">
        <v>7</v>
      </c>
      <c r="C3205" t="s">
        <v>38</v>
      </c>
      <c r="D3205">
        <v>9974.9669407158908</v>
      </c>
      <c r="E3205">
        <v>114351.36849854855</v>
      </c>
      <c r="F3205">
        <f t="shared" si="321"/>
        <v>11.463834334306243</v>
      </c>
      <c r="G3205">
        <f t="shared" si="324"/>
        <v>519.99952540413119</v>
      </c>
      <c r="H3205">
        <v>1218.0234375</v>
      </c>
      <c r="I3205" t="s">
        <v>38</v>
      </c>
      <c r="J3205">
        <f t="shared" si="323"/>
        <v>26.852368551587301</v>
      </c>
      <c r="K3205">
        <v>5858.17</v>
      </c>
    </row>
    <row r="3206" spans="1:11" x14ac:dyDescent="0.35">
      <c r="A3206" s="1">
        <v>44562</v>
      </c>
      <c r="B3206" t="s">
        <v>8</v>
      </c>
      <c r="C3206" t="s">
        <v>38</v>
      </c>
      <c r="D3206">
        <v>8876</v>
      </c>
      <c r="E3206">
        <v>74587</v>
      </c>
      <c r="F3206">
        <f t="shared" si="321"/>
        <v>8.4032221721496168</v>
      </c>
      <c r="G3206">
        <f t="shared" si="324"/>
        <v>381.17015772870661</v>
      </c>
      <c r="H3206">
        <v>1721.3125</v>
      </c>
      <c r="I3206" t="s">
        <v>38</v>
      </c>
      <c r="J3206">
        <f t="shared" si="323"/>
        <v>37.947806437389772</v>
      </c>
      <c r="K3206">
        <v>12106.08</v>
      </c>
    </row>
    <row r="3207" spans="1:11" x14ac:dyDescent="0.35">
      <c r="A3207" s="1">
        <v>44593</v>
      </c>
      <c r="B3207" t="s">
        <v>8</v>
      </c>
      <c r="C3207" t="s">
        <v>38</v>
      </c>
      <c r="D3207">
        <v>9822</v>
      </c>
      <c r="E3207">
        <v>84524</v>
      </c>
      <c r="F3207">
        <f t="shared" si="321"/>
        <v>8.6055793117491337</v>
      </c>
      <c r="G3207">
        <f t="shared" si="324"/>
        <v>390.34907758094067</v>
      </c>
      <c r="H3207">
        <v>1829.0803571428571</v>
      </c>
      <c r="I3207" t="s">
        <v>38</v>
      </c>
      <c r="J3207">
        <f t="shared" si="323"/>
        <v>40.323641030486272</v>
      </c>
      <c r="K3207">
        <v>12106.08</v>
      </c>
    </row>
    <row r="3208" spans="1:11" x14ac:dyDescent="0.35">
      <c r="A3208" s="1">
        <v>44621</v>
      </c>
      <c r="B3208" t="s">
        <v>8</v>
      </c>
      <c r="C3208" t="s">
        <v>38</v>
      </c>
      <c r="D3208">
        <v>7123</v>
      </c>
      <c r="E3208">
        <v>73214</v>
      </c>
      <c r="F3208">
        <f t="shared" si="321"/>
        <v>10.278534325424681</v>
      </c>
      <c r="G3208">
        <f t="shared" si="324"/>
        <v>466.23431700126355</v>
      </c>
      <c r="H3208">
        <v>1852.645238095238</v>
      </c>
      <c r="I3208" t="s">
        <v>38</v>
      </c>
      <c r="J3208">
        <f t="shared" si="323"/>
        <v>40.843148987990254</v>
      </c>
      <c r="K3208">
        <v>12106.08</v>
      </c>
    </row>
    <row r="3209" spans="1:11" x14ac:dyDescent="0.35">
      <c r="A3209" s="1">
        <v>44652</v>
      </c>
      <c r="B3209" t="s">
        <v>8</v>
      </c>
      <c r="C3209" t="s">
        <v>38</v>
      </c>
      <c r="D3209">
        <v>8937</v>
      </c>
      <c r="E3209">
        <v>86547</v>
      </c>
      <c r="F3209">
        <f t="shared" si="321"/>
        <v>9.6841221886539106</v>
      </c>
      <c r="G3209">
        <f t="shared" si="324"/>
        <v>439.27178247734139</v>
      </c>
      <c r="H3209">
        <v>1721.7083333333335</v>
      </c>
      <c r="I3209" t="s">
        <v>38</v>
      </c>
      <c r="J3209">
        <f t="shared" si="323"/>
        <v>37.956532921810705</v>
      </c>
      <c r="K3209">
        <v>12106.08</v>
      </c>
    </row>
    <row r="3210" spans="1:11" x14ac:dyDescent="0.35">
      <c r="A3210" s="1">
        <v>44682</v>
      </c>
      <c r="B3210" t="s">
        <v>8</v>
      </c>
      <c r="C3210" t="s">
        <v>38</v>
      </c>
      <c r="D3210">
        <v>5036</v>
      </c>
      <c r="E3210">
        <v>66246</v>
      </c>
      <c r="F3210">
        <f t="shared" si="321"/>
        <v>13.15448768864178</v>
      </c>
      <c r="G3210">
        <f t="shared" si="324"/>
        <v>596.68756155679114</v>
      </c>
      <c r="H3210">
        <v>1763.1119791666667</v>
      </c>
      <c r="I3210" t="s">
        <v>38</v>
      </c>
      <c r="J3210">
        <f t="shared" si="323"/>
        <v>38.869311710023517</v>
      </c>
      <c r="K3210">
        <v>12106.08</v>
      </c>
    </row>
    <row r="3211" spans="1:11" x14ac:dyDescent="0.35">
      <c r="A3211" s="1">
        <v>44713</v>
      </c>
      <c r="B3211" t="s">
        <v>8</v>
      </c>
      <c r="C3211" t="s">
        <v>38</v>
      </c>
      <c r="D3211">
        <v>6801.333333333333</v>
      </c>
      <c r="E3211">
        <v>49532</v>
      </c>
      <c r="F3211">
        <f t="shared" si="321"/>
        <v>7.2826896686924139</v>
      </c>
      <c r="G3211">
        <f t="shared" si="324"/>
        <v>330.3428033718879</v>
      </c>
      <c r="H3211">
        <v>1991.9444444444443</v>
      </c>
      <c r="I3211" t="s">
        <v>38</v>
      </c>
      <c r="J3211">
        <f t="shared" si="323"/>
        <v>43.914119145600623</v>
      </c>
      <c r="K3211">
        <v>12106.08</v>
      </c>
    </row>
    <row r="3212" spans="1:11" x14ac:dyDescent="0.35">
      <c r="A3212" s="1">
        <v>44743</v>
      </c>
      <c r="B3212" t="s">
        <v>8</v>
      </c>
      <c r="C3212" t="s">
        <v>38</v>
      </c>
      <c r="D3212">
        <v>5045</v>
      </c>
      <c r="E3212">
        <v>57554</v>
      </c>
      <c r="F3212">
        <f t="shared" si="321"/>
        <v>11.408126858275521</v>
      </c>
      <c r="G3212">
        <f t="shared" si="324"/>
        <v>517.47263429137763</v>
      </c>
      <c r="H3212">
        <v>2020.625</v>
      </c>
      <c r="I3212" t="s">
        <v>38</v>
      </c>
      <c r="J3212">
        <f t="shared" si="323"/>
        <v>44.54640652557319</v>
      </c>
      <c r="K3212">
        <v>12106.08</v>
      </c>
    </row>
    <row r="3213" spans="1:11" x14ac:dyDescent="0.35">
      <c r="A3213" s="1">
        <v>44774</v>
      </c>
      <c r="B3213" t="s">
        <v>8</v>
      </c>
      <c r="C3213" t="s">
        <v>38</v>
      </c>
      <c r="D3213">
        <v>5801</v>
      </c>
      <c r="E3213">
        <v>77618</v>
      </c>
      <c r="F3213">
        <f t="shared" si="321"/>
        <v>13.380106878124462</v>
      </c>
      <c r="G3213">
        <f t="shared" si="324"/>
        <v>606.92164799172554</v>
      </c>
      <c r="H3213">
        <v>2080.7799999999997</v>
      </c>
      <c r="I3213" t="s">
        <v>38</v>
      </c>
      <c r="J3213">
        <f t="shared" si="323"/>
        <v>45.872574955908284</v>
      </c>
      <c r="K3213">
        <v>12106.08</v>
      </c>
    </row>
    <row r="3214" spans="1:11" x14ac:dyDescent="0.35">
      <c r="A3214" s="1">
        <v>44805</v>
      </c>
      <c r="B3214" t="s">
        <v>8</v>
      </c>
      <c r="C3214" t="s">
        <v>38</v>
      </c>
      <c r="D3214">
        <v>4739</v>
      </c>
      <c r="E3214">
        <v>43512</v>
      </c>
      <c r="F3214">
        <f t="shared" si="321"/>
        <v>9.1816838995568677</v>
      </c>
      <c r="G3214">
        <f t="shared" si="324"/>
        <v>416.48118168389954</v>
      </c>
      <c r="H3214">
        <v>1862.3697916666667</v>
      </c>
      <c r="I3214" t="s">
        <v>38</v>
      </c>
      <c r="J3214">
        <f t="shared" si="323"/>
        <v>41.05753508965315</v>
      </c>
      <c r="K3214">
        <v>12106.08</v>
      </c>
    </row>
    <row r="3215" spans="1:11" x14ac:dyDescent="0.35">
      <c r="A3215" s="1">
        <v>44835</v>
      </c>
      <c r="B3215" t="s">
        <v>8</v>
      </c>
      <c r="C3215" t="s">
        <v>38</v>
      </c>
      <c r="D3215">
        <v>5906</v>
      </c>
      <c r="E3215">
        <v>77939</v>
      </c>
      <c r="F3215">
        <f t="shared" si="321"/>
        <v>13.196579749407382</v>
      </c>
      <c r="G3215">
        <f t="shared" si="324"/>
        <v>598.59685743311888</v>
      </c>
      <c r="H3215">
        <v>2263.5972222222222</v>
      </c>
      <c r="I3215" t="s">
        <v>38</v>
      </c>
      <c r="J3215">
        <f t="shared" si="323"/>
        <v>49.902936997844407</v>
      </c>
      <c r="K3215">
        <v>12106.08</v>
      </c>
    </row>
    <row r="3216" spans="1:11" x14ac:dyDescent="0.35">
      <c r="A3216" s="1">
        <v>44866</v>
      </c>
      <c r="B3216" t="s">
        <v>8</v>
      </c>
      <c r="C3216" t="s">
        <v>38</v>
      </c>
      <c r="D3216">
        <v>3995</v>
      </c>
      <c r="E3216">
        <v>58047.35</v>
      </c>
      <c r="F3216">
        <f t="shared" si="321"/>
        <v>14.53</v>
      </c>
      <c r="G3216">
        <f t="shared" si="324"/>
        <v>659.08079999999995</v>
      </c>
      <c r="H3216">
        <v>2068.9809523809522</v>
      </c>
      <c r="I3216" t="s">
        <v>38</v>
      </c>
      <c r="J3216">
        <f t="shared" si="323"/>
        <v>45.612454858486601</v>
      </c>
      <c r="K3216">
        <v>12106.08</v>
      </c>
    </row>
    <row r="3217" spans="1:11" x14ac:dyDescent="0.35">
      <c r="A3217" s="1">
        <v>44896</v>
      </c>
      <c r="B3217" t="s">
        <v>8</v>
      </c>
      <c r="C3217" t="s">
        <v>38</v>
      </c>
      <c r="D3217">
        <v>5425.3464368133427</v>
      </c>
      <c r="E3217">
        <v>68120.031818181815</v>
      </c>
      <c r="F3217">
        <f t="shared" si="321"/>
        <v>12.555886082399766</v>
      </c>
      <c r="G3217">
        <f t="shared" si="324"/>
        <v>569.53499269765337</v>
      </c>
      <c r="H3217">
        <v>2256.1220238095239</v>
      </c>
      <c r="I3217" t="s">
        <v>38</v>
      </c>
      <c r="J3217">
        <f t="shared" si="323"/>
        <v>49.738139854707313</v>
      </c>
      <c r="K3217">
        <v>12106.08</v>
      </c>
    </row>
    <row r="3218" spans="1:11" x14ac:dyDescent="0.35">
      <c r="A3218" s="1">
        <v>44562</v>
      </c>
      <c r="B3218" t="s">
        <v>9</v>
      </c>
      <c r="C3218" t="s">
        <v>38</v>
      </c>
      <c r="D3218">
        <v>4899</v>
      </c>
      <c r="E3218">
        <v>138747</v>
      </c>
      <c r="F3218">
        <f t="shared" si="321"/>
        <v>28.321494182486223</v>
      </c>
      <c r="G3218">
        <f t="shared" si="324"/>
        <v>1284.662976117575</v>
      </c>
      <c r="H3218">
        <v>1439.3888888888889</v>
      </c>
      <c r="I3218" t="s">
        <v>38</v>
      </c>
      <c r="J3218">
        <f t="shared" si="323"/>
        <v>31.732559278855575</v>
      </c>
      <c r="K3218">
        <v>30322</v>
      </c>
    </row>
    <row r="3219" spans="1:11" x14ac:dyDescent="0.35">
      <c r="A3219" s="1">
        <v>44593</v>
      </c>
      <c r="B3219" t="s">
        <v>9</v>
      </c>
      <c r="C3219" t="s">
        <v>38</v>
      </c>
      <c r="D3219">
        <v>5180</v>
      </c>
      <c r="E3219">
        <v>176544</v>
      </c>
      <c r="F3219">
        <f t="shared" si="321"/>
        <v>34.081853281853284</v>
      </c>
      <c r="G3219">
        <f t="shared" si="324"/>
        <v>1545.952864864865</v>
      </c>
      <c r="H3219">
        <v>1633.3333333333335</v>
      </c>
      <c r="I3219" t="s">
        <v>38</v>
      </c>
      <c r="J3219">
        <f t="shared" si="323"/>
        <v>36.008230452674901</v>
      </c>
      <c r="K3219">
        <v>30322</v>
      </c>
    </row>
    <row r="3220" spans="1:11" x14ac:dyDescent="0.35">
      <c r="A3220" s="1">
        <v>44621</v>
      </c>
      <c r="B3220" t="s">
        <v>9</v>
      </c>
      <c r="C3220" t="s">
        <v>38</v>
      </c>
      <c r="D3220">
        <v>4722</v>
      </c>
      <c r="E3220">
        <v>212122</v>
      </c>
      <c r="F3220">
        <f t="shared" si="321"/>
        <v>44.922066920796276</v>
      </c>
      <c r="G3220">
        <f t="shared" si="324"/>
        <v>2037.6649555273191</v>
      </c>
      <c r="H3220">
        <v>1452.625</v>
      </c>
      <c r="I3220" t="s">
        <v>38</v>
      </c>
      <c r="J3220">
        <f t="shared" si="323"/>
        <v>32.024360670194007</v>
      </c>
      <c r="K3220">
        <v>30322</v>
      </c>
    </row>
    <row r="3221" spans="1:11" x14ac:dyDescent="0.35">
      <c r="A3221" s="1">
        <v>44652</v>
      </c>
      <c r="B3221" t="s">
        <v>9</v>
      </c>
      <c r="C3221" t="s">
        <v>38</v>
      </c>
      <c r="D3221">
        <v>4422</v>
      </c>
      <c r="E3221">
        <v>169899</v>
      </c>
      <c r="F3221">
        <f t="shared" si="321"/>
        <v>38.421302578018995</v>
      </c>
      <c r="G3221">
        <f t="shared" si="324"/>
        <v>1742.7902849389416</v>
      </c>
      <c r="H3221">
        <v>1443</v>
      </c>
      <c r="I3221" t="s">
        <v>38</v>
      </c>
      <c r="J3221">
        <f t="shared" si="323"/>
        <v>31.812169312169313</v>
      </c>
      <c r="K3221">
        <v>30322</v>
      </c>
    </row>
    <row r="3222" spans="1:11" x14ac:dyDescent="0.35">
      <c r="A3222" s="1">
        <v>44682</v>
      </c>
      <c r="B3222" t="s">
        <v>9</v>
      </c>
      <c r="C3222" t="s">
        <v>38</v>
      </c>
      <c r="D3222">
        <v>4265</v>
      </c>
      <c r="E3222">
        <v>170000</v>
      </c>
      <c r="F3222">
        <f t="shared" si="321"/>
        <v>39.859320046893316</v>
      </c>
      <c r="G3222">
        <f t="shared" si="324"/>
        <v>1808.0187573270807</v>
      </c>
      <c r="H3222">
        <v>1128.9375</v>
      </c>
      <c r="I3222" t="s">
        <v>38</v>
      </c>
      <c r="J3222">
        <f t="shared" si="323"/>
        <v>24.888392857142858</v>
      </c>
      <c r="K3222">
        <v>30322</v>
      </c>
    </row>
    <row r="3223" spans="1:11" x14ac:dyDescent="0.35">
      <c r="A3223" s="1">
        <v>44713</v>
      </c>
      <c r="B3223" t="s">
        <v>9</v>
      </c>
      <c r="C3223" t="s">
        <v>38</v>
      </c>
      <c r="D3223">
        <v>3490</v>
      </c>
      <c r="E3223">
        <v>136080</v>
      </c>
      <c r="F3223">
        <f t="shared" si="321"/>
        <v>38.99140401146132</v>
      </c>
      <c r="G3223">
        <f t="shared" si="324"/>
        <v>1768.6500859598855</v>
      </c>
      <c r="H3223">
        <v>1050</v>
      </c>
      <c r="I3223" t="s">
        <v>38</v>
      </c>
      <c r="J3223">
        <f t="shared" si="323"/>
        <v>23.148148148148149</v>
      </c>
      <c r="K3223">
        <v>30322</v>
      </c>
    </row>
    <row r="3224" spans="1:11" x14ac:dyDescent="0.35">
      <c r="A3224" s="1">
        <v>44743</v>
      </c>
      <c r="B3224" t="s">
        <v>9</v>
      </c>
      <c r="C3224" t="s">
        <v>38</v>
      </c>
      <c r="D3224">
        <v>4046</v>
      </c>
      <c r="E3224">
        <v>159380</v>
      </c>
      <c r="F3224">
        <f t="shared" si="321"/>
        <v>39.391992090954027</v>
      </c>
      <c r="G3224">
        <f t="shared" si="324"/>
        <v>1786.8207612456747</v>
      </c>
      <c r="H3224">
        <v>1194</v>
      </c>
      <c r="I3224" t="s">
        <v>38</v>
      </c>
      <c r="J3224">
        <f t="shared" si="323"/>
        <v>26.322751322751323</v>
      </c>
      <c r="K3224">
        <v>30322</v>
      </c>
    </row>
    <row r="3225" spans="1:11" x14ac:dyDescent="0.35">
      <c r="A3225" s="1">
        <v>44774</v>
      </c>
      <c r="B3225" t="s">
        <v>9</v>
      </c>
      <c r="C3225" t="s">
        <v>38</v>
      </c>
      <c r="D3225">
        <v>4414</v>
      </c>
      <c r="E3225">
        <v>176280</v>
      </c>
      <c r="F3225">
        <f t="shared" si="321"/>
        <v>39.936565473493431</v>
      </c>
      <c r="G3225">
        <f t="shared" si="324"/>
        <v>1811.522609877662</v>
      </c>
      <c r="H3225">
        <v>1137</v>
      </c>
      <c r="I3225" t="s">
        <v>38</v>
      </c>
      <c r="J3225">
        <f t="shared" si="323"/>
        <v>25.066137566137566</v>
      </c>
      <c r="K3225">
        <v>30322</v>
      </c>
    </row>
    <row r="3226" spans="1:11" x14ac:dyDescent="0.35">
      <c r="A3226" s="1">
        <v>44805</v>
      </c>
      <c r="B3226" t="s">
        <v>9</v>
      </c>
      <c r="C3226" t="s">
        <v>38</v>
      </c>
      <c r="D3226">
        <v>4720</v>
      </c>
      <c r="E3226">
        <v>198240</v>
      </c>
      <c r="F3226">
        <f t="shared" ref="F3226:F3289" si="325">E3226/D3226</f>
        <v>42</v>
      </c>
      <c r="G3226">
        <f t="shared" si="324"/>
        <v>1905.12</v>
      </c>
      <c r="H3226">
        <v>1206.25</v>
      </c>
      <c r="I3226" t="s">
        <v>38</v>
      </c>
      <c r="J3226">
        <f t="shared" si="323"/>
        <v>26.592813051146386</v>
      </c>
      <c r="K3226">
        <v>30322</v>
      </c>
    </row>
    <row r="3227" spans="1:11" x14ac:dyDescent="0.35">
      <c r="A3227" s="1">
        <v>44835</v>
      </c>
      <c r="B3227" t="s">
        <v>9</v>
      </c>
      <c r="C3227" t="s">
        <v>38</v>
      </c>
      <c r="D3227">
        <v>4237.75</v>
      </c>
      <c r="E3227">
        <v>169510</v>
      </c>
      <c r="F3227">
        <f t="shared" si="325"/>
        <v>40</v>
      </c>
      <c r="G3227">
        <f t="shared" si="324"/>
        <v>1814.4</v>
      </c>
      <c r="H3227">
        <v>1375</v>
      </c>
      <c r="I3227" t="s">
        <v>38</v>
      </c>
      <c r="J3227">
        <f t="shared" si="323"/>
        <v>30.313051146384481</v>
      </c>
      <c r="K3227">
        <v>30322</v>
      </c>
    </row>
    <row r="3228" spans="1:11" x14ac:dyDescent="0.35">
      <c r="A3228" s="1">
        <v>44866</v>
      </c>
      <c r="B3228" t="s">
        <v>9</v>
      </c>
      <c r="C3228" t="s">
        <v>38</v>
      </c>
      <c r="D3228">
        <v>4600</v>
      </c>
      <c r="E3228">
        <v>161000</v>
      </c>
      <c r="F3228">
        <f t="shared" si="325"/>
        <v>35</v>
      </c>
      <c r="G3228">
        <f t="shared" si="324"/>
        <v>1587.6</v>
      </c>
      <c r="H3228">
        <v>1647.5</v>
      </c>
      <c r="I3228" t="s">
        <v>38</v>
      </c>
      <c r="J3228">
        <f t="shared" si="323"/>
        <v>36.320546737213405</v>
      </c>
      <c r="K3228">
        <v>30322</v>
      </c>
    </row>
    <row r="3229" spans="1:11" x14ac:dyDescent="0.35">
      <c r="A3229" s="1">
        <v>44896</v>
      </c>
      <c r="B3229" t="s">
        <v>9</v>
      </c>
      <c r="C3229" t="s">
        <v>38</v>
      </c>
      <c r="D3229">
        <v>4376.3288161582532</v>
      </c>
      <c r="E3229">
        <v>169800.181818182</v>
      </c>
      <c r="F3229">
        <f t="shared" si="325"/>
        <v>38.799685524370759</v>
      </c>
      <c r="G3229">
        <f t="shared" si="324"/>
        <v>1759.9537353854575</v>
      </c>
      <c r="H3229">
        <v>2456.25</v>
      </c>
      <c r="I3229" t="s">
        <v>38</v>
      </c>
      <c r="J3229">
        <f t="shared" si="323"/>
        <v>54.150132275132279</v>
      </c>
      <c r="K3229">
        <v>30322</v>
      </c>
    </row>
    <row r="3230" spans="1:11" x14ac:dyDescent="0.35">
      <c r="A3230" s="1">
        <v>44562</v>
      </c>
      <c r="B3230" t="s">
        <v>10</v>
      </c>
      <c r="C3230" t="s">
        <v>38</v>
      </c>
      <c r="D3230">
        <v>6170</v>
      </c>
      <c r="E3230">
        <v>74189</v>
      </c>
      <c r="F3230">
        <f t="shared" si="325"/>
        <v>12.024149108589951</v>
      </c>
      <c r="G3230">
        <f t="shared" si="324"/>
        <v>545.41540356564019</v>
      </c>
      <c r="H3230">
        <v>2426.8898809523812</v>
      </c>
      <c r="I3230" t="s">
        <v>38</v>
      </c>
      <c r="J3230">
        <f t="shared" si="323"/>
        <v>53.502863336692705</v>
      </c>
      <c r="K3230">
        <v>16342.43</v>
      </c>
    </row>
    <row r="3231" spans="1:11" x14ac:dyDescent="0.35">
      <c r="A3231" s="1">
        <v>44593</v>
      </c>
      <c r="B3231" t="s">
        <v>10</v>
      </c>
      <c r="C3231" t="s">
        <v>38</v>
      </c>
      <c r="D3231">
        <v>7925</v>
      </c>
      <c r="E3231">
        <v>70144</v>
      </c>
      <c r="F3231">
        <f t="shared" si="325"/>
        <v>8.8509779179810728</v>
      </c>
      <c r="G3231">
        <f t="shared" si="324"/>
        <v>401.48035835962145</v>
      </c>
      <c r="H3231">
        <v>2328.1160714285716</v>
      </c>
      <c r="I3231" t="s">
        <v>38</v>
      </c>
      <c r="J3231">
        <f t="shared" si="323"/>
        <v>51.32531021667927</v>
      </c>
      <c r="K3231">
        <v>16342.43</v>
      </c>
    </row>
    <row r="3232" spans="1:11" x14ac:dyDescent="0.35">
      <c r="A3232" s="1">
        <v>44621</v>
      </c>
      <c r="B3232" t="s">
        <v>10</v>
      </c>
      <c r="C3232" t="s">
        <v>38</v>
      </c>
      <c r="D3232">
        <v>6456</v>
      </c>
      <c r="E3232">
        <v>54677</v>
      </c>
      <c r="F3232">
        <f t="shared" si="325"/>
        <v>8.4691759603469645</v>
      </c>
      <c r="G3232">
        <f t="shared" si="324"/>
        <v>384.16182156133829</v>
      </c>
      <c r="H3232">
        <v>2462.4773809523808</v>
      </c>
      <c r="I3232" t="s">
        <v>38</v>
      </c>
      <c r="J3232">
        <f t="shared" si="323"/>
        <v>54.287420214999578</v>
      </c>
      <c r="K3232">
        <v>16342.43</v>
      </c>
    </row>
    <row r="3233" spans="1:11" x14ac:dyDescent="0.35">
      <c r="A3233" s="1">
        <v>44652</v>
      </c>
      <c r="B3233" t="s">
        <v>10</v>
      </c>
      <c r="C3233" t="s">
        <v>38</v>
      </c>
      <c r="D3233">
        <v>6699</v>
      </c>
      <c r="E3233">
        <v>64585</v>
      </c>
      <c r="F3233">
        <f t="shared" si="325"/>
        <v>9.6409911927153313</v>
      </c>
      <c r="G3233">
        <f t="shared" si="324"/>
        <v>437.3153605015674</v>
      </c>
      <c r="H3233">
        <v>2453.5297619047619</v>
      </c>
      <c r="I3233" t="s">
        <v>38</v>
      </c>
      <c r="J3233">
        <f t="shared" si="323"/>
        <v>54.090162299487694</v>
      </c>
      <c r="K3233">
        <v>16342.43</v>
      </c>
    </row>
    <row r="3234" spans="1:11" x14ac:dyDescent="0.35">
      <c r="A3234" s="1">
        <v>44682</v>
      </c>
      <c r="B3234" t="s">
        <v>10</v>
      </c>
      <c r="C3234" t="s">
        <v>38</v>
      </c>
      <c r="D3234">
        <v>9059</v>
      </c>
      <c r="E3234">
        <v>130822</v>
      </c>
      <c r="F3234">
        <f t="shared" si="325"/>
        <v>14.441108290098246</v>
      </c>
      <c r="G3234">
        <f t="shared" si="324"/>
        <v>655.04867203885647</v>
      </c>
      <c r="H3234">
        <v>2565.1458333333335</v>
      </c>
      <c r="I3234" t="s">
        <v>38</v>
      </c>
      <c r="J3234">
        <f t="shared" si="323"/>
        <v>56.550834068195186</v>
      </c>
      <c r="K3234">
        <v>16342.43</v>
      </c>
    </row>
    <row r="3235" spans="1:11" x14ac:dyDescent="0.35">
      <c r="A3235" s="1">
        <v>44713</v>
      </c>
      <c r="B3235" t="s">
        <v>10</v>
      </c>
      <c r="C3235" t="s">
        <v>38</v>
      </c>
      <c r="D3235">
        <v>7953</v>
      </c>
      <c r="E3235">
        <v>110591</v>
      </c>
      <c r="F3235">
        <f t="shared" si="325"/>
        <v>13.905570225072299</v>
      </c>
      <c r="G3235">
        <f t="shared" si="324"/>
        <v>630.75666540927955</v>
      </c>
      <c r="H3235">
        <v>2676.5809523809521</v>
      </c>
      <c r="I3235" t="s">
        <v>38</v>
      </c>
      <c r="J3235">
        <f t="shared" si="323"/>
        <v>59.007516586881664</v>
      </c>
      <c r="K3235">
        <v>16342.43</v>
      </c>
    </row>
    <row r="3236" spans="1:11" x14ac:dyDescent="0.35">
      <c r="A3236" s="1">
        <v>44743</v>
      </c>
      <c r="B3236" t="s">
        <v>10</v>
      </c>
      <c r="C3236" t="s">
        <v>38</v>
      </c>
      <c r="D3236">
        <v>7783</v>
      </c>
      <c r="E3236">
        <v>102943</v>
      </c>
      <c r="F3236">
        <f t="shared" si="325"/>
        <v>13.226647822176538</v>
      </c>
      <c r="G3236">
        <f t="shared" si="324"/>
        <v>599.96074521392779</v>
      </c>
      <c r="H3236">
        <v>2886.1904761904766</v>
      </c>
      <c r="I3236" t="s">
        <v>38</v>
      </c>
      <c r="J3236">
        <f t="shared" si="323"/>
        <v>63.628537834887048</v>
      </c>
      <c r="K3236">
        <v>16342.43</v>
      </c>
    </row>
    <row r="3237" spans="1:11" x14ac:dyDescent="0.35">
      <c r="A3237" s="1">
        <v>44774</v>
      </c>
      <c r="B3237" t="s">
        <v>10</v>
      </c>
      <c r="C3237" t="s">
        <v>38</v>
      </c>
      <c r="D3237">
        <v>7542</v>
      </c>
      <c r="E3237">
        <v>101817</v>
      </c>
      <c r="F3237">
        <f t="shared" si="325"/>
        <v>13.5</v>
      </c>
      <c r="G3237">
        <f t="shared" si="324"/>
        <v>612.36</v>
      </c>
      <c r="H3237">
        <v>3143.6285714285718</v>
      </c>
      <c r="I3237" t="s">
        <v>38</v>
      </c>
      <c r="J3237">
        <f t="shared" si="323"/>
        <v>69.303980851599903</v>
      </c>
      <c r="K3237">
        <v>16342.43</v>
      </c>
    </row>
    <row r="3238" spans="1:11" x14ac:dyDescent="0.35">
      <c r="A3238" s="1">
        <v>44805</v>
      </c>
      <c r="B3238" t="s">
        <v>10</v>
      </c>
      <c r="C3238" t="s">
        <v>38</v>
      </c>
      <c r="D3238">
        <v>5931</v>
      </c>
      <c r="E3238">
        <v>86715</v>
      </c>
      <c r="F3238">
        <f t="shared" si="325"/>
        <v>14.620637329286799</v>
      </c>
      <c r="G3238">
        <f t="shared" si="324"/>
        <v>663.19210925644916</v>
      </c>
      <c r="H3238">
        <v>3347.3988095238096</v>
      </c>
      <c r="I3238" t="s">
        <v>38</v>
      </c>
      <c r="J3238">
        <f t="shared" si="323"/>
        <v>73.796270051230366</v>
      </c>
      <c r="K3238">
        <v>16342.43</v>
      </c>
    </row>
    <row r="3239" spans="1:11" x14ac:dyDescent="0.35">
      <c r="A3239" s="1">
        <v>44835</v>
      </c>
      <c r="B3239" t="s">
        <v>10</v>
      </c>
      <c r="C3239" t="s">
        <v>38</v>
      </c>
      <c r="D3239">
        <v>5930</v>
      </c>
      <c r="E3239">
        <v>82026</v>
      </c>
      <c r="F3239">
        <f t="shared" si="325"/>
        <v>13.832377740303542</v>
      </c>
      <c r="G3239">
        <f t="shared" si="324"/>
        <v>627.4366543001687</v>
      </c>
      <c r="H3239">
        <v>3520.6904761904761</v>
      </c>
      <c r="I3239" t="s">
        <v>38</v>
      </c>
      <c r="J3239">
        <f t="shared" si="323"/>
        <v>77.616633072982282</v>
      </c>
      <c r="K3239">
        <v>16342.43</v>
      </c>
    </row>
    <row r="3240" spans="1:11" x14ac:dyDescent="0.35">
      <c r="A3240" s="1">
        <v>44866</v>
      </c>
      <c r="B3240" t="s">
        <v>10</v>
      </c>
      <c r="C3240" t="s">
        <v>38</v>
      </c>
      <c r="D3240">
        <v>7991</v>
      </c>
      <c r="E3240">
        <v>126417.62</v>
      </c>
      <c r="F3240">
        <f t="shared" si="325"/>
        <v>15.82</v>
      </c>
      <c r="G3240">
        <f t="shared" si="324"/>
        <v>717.59519999999998</v>
      </c>
      <c r="H3240">
        <v>3638.8095238095234</v>
      </c>
      <c r="I3240" t="s">
        <v>38</v>
      </c>
      <c r="J3240">
        <f t="shared" si="323"/>
        <v>80.2206685143193</v>
      </c>
      <c r="K3240">
        <v>16342.43</v>
      </c>
    </row>
    <row r="3241" spans="1:11" x14ac:dyDescent="0.35">
      <c r="A3241" s="1">
        <v>44896</v>
      </c>
      <c r="B3241" t="s">
        <v>10</v>
      </c>
      <c r="C3241" t="s">
        <v>38</v>
      </c>
      <c r="D3241">
        <v>8825.672900000005</v>
      </c>
      <c r="E3241">
        <v>103019</v>
      </c>
      <c r="F3241">
        <f t="shared" si="325"/>
        <v>11.672651045111806</v>
      </c>
      <c r="G3241">
        <f t="shared" si="324"/>
        <v>529.47145140627151</v>
      </c>
      <c r="H3241">
        <v>4047.8333333333335</v>
      </c>
      <c r="I3241" t="s">
        <v>38</v>
      </c>
      <c r="J3241">
        <f t="shared" si="323"/>
        <v>89.237948265726047</v>
      </c>
      <c r="K3241">
        <v>16342.43</v>
      </c>
    </row>
    <row r="3242" spans="1:11" x14ac:dyDescent="0.35">
      <c r="A3242" s="1">
        <v>44562</v>
      </c>
      <c r="B3242" t="s">
        <v>11</v>
      </c>
      <c r="C3242" t="s">
        <v>38</v>
      </c>
      <c r="D3242">
        <v>27400</v>
      </c>
      <c r="E3242">
        <v>288785</v>
      </c>
      <c r="F3242">
        <f t="shared" si="325"/>
        <v>10.539598540145985</v>
      </c>
      <c r="G3242">
        <f t="shared" si="324"/>
        <v>478.07618978102187</v>
      </c>
      <c r="H3242">
        <v>847.00520833333337</v>
      </c>
      <c r="I3242" t="s">
        <v>38</v>
      </c>
      <c r="J3242">
        <f t="shared" si="323"/>
        <v>18.672954328336274</v>
      </c>
      <c r="K3242">
        <v>6557.61</v>
      </c>
    </row>
    <row r="3243" spans="1:11" x14ac:dyDescent="0.35">
      <c r="A3243" s="1">
        <v>44593</v>
      </c>
      <c r="B3243" t="s">
        <v>11</v>
      </c>
      <c r="C3243" t="s">
        <v>38</v>
      </c>
      <c r="D3243">
        <v>36677</v>
      </c>
      <c r="E3243">
        <v>419582</v>
      </c>
      <c r="F3243">
        <f t="shared" si="325"/>
        <v>11.439921476674755</v>
      </c>
      <c r="G3243">
        <f t="shared" si="324"/>
        <v>518.91483818196684</v>
      </c>
      <c r="H3243">
        <v>952.59895833333326</v>
      </c>
      <c r="I3243" t="s">
        <v>38</v>
      </c>
      <c r="J3243">
        <f t="shared" si="323"/>
        <v>21.00085886978248</v>
      </c>
      <c r="K3243">
        <v>6557.61</v>
      </c>
    </row>
    <row r="3244" spans="1:11" x14ac:dyDescent="0.35">
      <c r="A3244" s="1">
        <v>44621</v>
      </c>
      <c r="B3244" t="s">
        <v>11</v>
      </c>
      <c r="C3244" t="s">
        <v>38</v>
      </c>
      <c r="D3244">
        <v>28695</v>
      </c>
      <c r="E3244">
        <v>286547</v>
      </c>
      <c r="F3244">
        <f t="shared" si="325"/>
        <v>9.9859557414183655</v>
      </c>
      <c r="G3244">
        <f t="shared" si="324"/>
        <v>452.96295243073706</v>
      </c>
      <c r="H3244">
        <v>986.91041666666672</v>
      </c>
      <c r="I3244" t="s">
        <v>38</v>
      </c>
      <c r="J3244">
        <f t="shared" si="323"/>
        <v>21.757284318048207</v>
      </c>
      <c r="K3244">
        <v>6557.61</v>
      </c>
    </row>
    <row r="3245" spans="1:11" x14ac:dyDescent="0.35">
      <c r="A3245" s="1">
        <v>44652</v>
      </c>
      <c r="B3245" t="s">
        <v>11</v>
      </c>
      <c r="C3245" t="s">
        <v>38</v>
      </c>
      <c r="D3245">
        <v>29898</v>
      </c>
      <c r="E3245">
        <v>289985</v>
      </c>
      <c r="F3245">
        <f t="shared" si="325"/>
        <v>9.6991437554351467</v>
      </c>
      <c r="G3245">
        <f t="shared" si="324"/>
        <v>439.95316074653823</v>
      </c>
      <c r="H3245">
        <v>1021.8385416666665</v>
      </c>
      <c r="I3245" t="s">
        <v>38</v>
      </c>
      <c r="J3245">
        <f t="shared" si="323"/>
        <v>22.527304710464431</v>
      </c>
      <c r="K3245">
        <v>6557.61</v>
      </c>
    </row>
    <row r="3246" spans="1:11" x14ac:dyDescent="0.35">
      <c r="A3246" s="1">
        <v>44682</v>
      </c>
      <c r="B3246" t="s">
        <v>11</v>
      </c>
      <c r="C3246" t="s">
        <v>38</v>
      </c>
      <c r="D3246">
        <v>17911</v>
      </c>
      <c r="E3246">
        <v>238992</v>
      </c>
      <c r="F3246">
        <f t="shared" si="325"/>
        <v>13.343308581318743</v>
      </c>
      <c r="G3246">
        <f t="shared" si="324"/>
        <v>605.25247724861822</v>
      </c>
      <c r="H3246">
        <v>1152.3984375</v>
      </c>
      <c r="I3246" t="s">
        <v>38</v>
      </c>
      <c r="J3246">
        <f t="shared" si="323"/>
        <v>25.405609292328041</v>
      </c>
      <c r="K3246">
        <v>6557.61</v>
      </c>
    </row>
    <row r="3247" spans="1:11" x14ac:dyDescent="0.35">
      <c r="A3247" s="1">
        <v>44713</v>
      </c>
      <c r="B3247" t="s">
        <v>11</v>
      </c>
      <c r="C3247" t="s">
        <v>38</v>
      </c>
      <c r="D3247">
        <v>266392.5</v>
      </c>
      <c r="E3247">
        <v>310385</v>
      </c>
      <c r="F3247">
        <f t="shared" si="325"/>
        <v>1.1651416612704937</v>
      </c>
      <c r="G3247">
        <f t="shared" si="324"/>
        <v>52.850825755229593</v>
      </c>
      <c r="H3247">
        <v>1291.5</v>
      </c>
      <c r="I3247" t="s">
        <v>38</v>
      </c>
      <c r="J3247">
        <f t="shared" ref="J3247:J3276" si="326">H3247/45.36</f>
        <v>28.472222222222221</v>
      </c>
      <c r="K3247">
        <v>6557.61</v>
      </c>
    </row>
    <row r="3248" spans="1:11" x14ac:dyDescent="0.35">
      <c r="A3248" s="1">
        <v>44743</v>
      </c>
      <c r="B3248" t="s">
        <v>11</v>
      </c>
      <c r="C3248" t="s">
        <v>38</v>
      </c>
      <c r="D3248">
        <v>34324</v>
      </c>
      <c r="E3248">
        <v>411888</v>
      </c>
      <c r="F3248">
        <f t="shared" si="325"/>
        <v>12</v>
      </c>
      <c r="G3248">
        <f t="shared" si="324"/>
        <v>544.31999999999994</v>
      </c>
      <c r="H3248">
        <v>1403.1640625</v>
      </c>
      <c r="I3248" t="s">
        <v>38</v>
      </c>
      <c r="J3248">
        <f t="shared" si="326"/>
        <v>30.933951995149911</v>
      </c>
      <c r="K3248">
        <v>6557.61</v>
      </c>
    </row>
    <row r="3249" spans="1:11" x14ac:dyDescent="0.35">
      <c r="A3249" s="1">
        <v>44774</v>
      </c>
      <c r="B3249" t="s">
        <v>11</v>
      </c>
      <c r="C3249" t="s">
        <v>38</v>
      </c>
      <c r="D3249">
        <v>33711</v>
      </c>
      <c r="E3249">
        <v>404532</v>
      </c>
      <c r="F3249">
        <f t="shared" si="325"/>
        <v>12</v>
      </c>
      <c r="G3249">
        <f t="shared" si="324"/>
        <v>544.31999999999994</v>
      </c>
      <c r="H3249">
        <v>1410.1357499999999</v>
      </c>
      <c r="I3249" t="s">
        <v>38</v>
      </c>
      <c r="J3249">
        <f t="shared" si="326"/>
        <v>31.087648809523809</v>
      </c>
      <c r="K3249">
        <v>6557.61</v>
      </c>
    </row>
    <row r="3250" spans="1:11" x14ac:dyDescent="0.35">
      <c r="A3250" s="1">
        <v>44805</v>
      </c>
      <c r="B3250" t="s">
        <v>11</v>
      </c>
      <c r="C3250" t="s">
        <v>38</v>
      </c>
      <c r="D3250">
        <v>28745</v>
      </c>
      <c r="E3250">
        <v>346664.7</v>
      </c>
      <c r="F3250">
        <f t="shared" si="325"/>
        <v>12.06</v>
      </c>
      <c r="G3250">
        <f t="shared" si="324"/>
        <v>547.04160000000002</v>
      </c>
      <c r="H3250">
        <v>1500.9192708333333</v>
      </c>
      <c r="I3250" t="s">
        <v>38</v>
      </c>
      <c r="J3250">
        <f t="shared" si="326"/>
        <v>33.08904918062904</v>
      </c>
      <c r="K3250">
        <v>6557.61</v>
      </c>
    </row>
    <row r="3251" spans="1:11" x14ac:dyDescent="0.35">
      <c r="A3251" s="1">
        <v>44835</v>
      </c>
      <c r="B3251" t="s">
        <v>11</v>
      </c>
      <c r="C3251" t="s">
        <v>38</v>
      </c>
      <c r="D3251">
        <v>20752</v>
      </c>
      <c r="E3251">
        <v>259307</v>
      </c>
      <c r="F3251">
        <f t="shared" si="325"/>
        <v>12.495518504240556</v>
      </c>
      <c r="G3251">
        <f t="shared" si="324"/>
        <v>566.7967193523516</v>
      </c>
      <c r="H3251">
        <v>1476.8124999999998</v>
      </c>
      <c r="I3251" t="s">
        <v>38</v>
      </c>
      <c r="J3251">
        <f t="shared" si="326"/>
        <v>32.557594797178126</v>
      </c>
      <c r="K3251">
        <v>6557.61</v>
      </c>
    </row>
    <row r="3252" spans="1:11" x14ac:dyDescent="0.35">
      <c r="A3252" s="1">
        <v>44866</v>
      </c>
      <c r="B3252" t="s">
        <v>11</v>
      </c>
      <c r="C3252" t="s">
        <v>38</v>
      </c>
      <c r="D3252">
        <v>24672</v>
      </c>
      <c r="E3252">
        <v>308289.43253662298</v>
      </c>
      <c r="F3252">
        <f t="shared" si="325"/>
        <v>12.495518504240556</v>
      </c>
      <c r="G3252">
        <f t="shared" ref="G3252:G3313" si="327">F3252*45.36</f>
        <v>566.7967193523516</v>
      </c>
      <c r="H3252">
        <v>1464.0125</v>
      </c>
      <c r="I3252" t="s">
        <v>38</v>
      </c>
      <c r="J3252">
        <f t="shared" si="326"/>
        <v>32.275407848324519</v>
      </c>
      <c r="K3252">
        <v>6557.61</v>
      </c>
    </row>
    <row r="3253" spans="1:11" x14ac:dyDescent="0.35">
      <c r="A3253" s="1">
        <v>44896</v>
      </c>
      <c r="B3253" t="s">
        <v>11</v>
      </c>
      <c r="C3253" t="s">
        <v>38</v>
      </c>
      <c r="D3253">
        <v>28903.898296875064</v>
      </c>
      <c r="E3253">
        <v>324087.01204878394</v>
      </c>
      <c r="F3253">
        <f t="shared" si="325"/>
        <v>11.212571007552379</v>
      </c>
      <c r="G3253">
        <f t="shared" si="327"/>
        <v>508.60222090257588</v>
      </c>
      <c r="H3253">
        <v>1482.9983072916668</v>
      </c>
      <c r="I3253" t="s">
        <v>38</v>
      </c>
      <c r="J3253">
        <f t="shared" si="326"/>
        <v>32.693966210133752</v>
      </c>
      <c r="K3253">
        <v>6557.61</v>
      </c>
    </row>
    <row r="3254" spans="1:11" x14ac:dyDescent="0.35">
      <c r="A3254" s="1">
        <v>44562</v>
      </c>
      <c r="B3254" t="s">
        <v>12</v>
      </c>
      <c r="C3254" t="s">
        <v>38</v>
      </c>
      <c r="D3254">
        <v>13733</v>
      </c>
      <c r="E3254">
        <v>88541</v>
      </c>
      <c r="F3254">
        <f t="shared" si="325"/>
        <v>6.4473166824437484</v>
      </c>
      <c r="G3254">
        <f t="shared" si="327"/>
        <v>292.45028471564842</v>
      </c>
      <c r="H3254">
        <v>1494.3532986111111</v>
      </c>
      <c r="I3254" t="s">
        <v>38</v>
      </c>
      <c r="J3254">
        <f t="shared" si="326"/>
        <v>32.944296706594159</v>
      </c>
      <c r="K3254">
        <v>2133.92</v>
      </c>
    </row>
    <row r="3255" spans="1:11" x14ac:dyDescent="0.35">
      <c r="A3255" s="1">
        <v>44593</v>
      </c>
      <c r="B3255" t="s">
        <v>12</v>
      </c>
      <c r="C3255" t="s">
        <v>38</v>
      </c>
      <c r="D3255">
        <v>14444</v>
      </c>
      <c r="E3255">
        <v>94889</v>
      </c>
      <c r="F3255">
        <f t="shared" si="325"/>
        <v>6.5694405981722515</v>
      </c>
      <c r="G3255">
        <f t="shared" si="327"/>
        <v>297.98982553309332</v>
      </c>
      <c r="H3255">
        <v>1664.4704861111111</v>
      </c>
      <c r="I3255" t="s">
        <v>38</v>
      </c>
      <c r="J3255">
        <f t="shared" si="326"/>
        <v>36.694675619733488</v>
      </c>
      <c r="K3255">
        <v>2133.92</v>
      </c>
    </row>
    <row r="3256" spans="1:11" x14ac:dyDescent="0.35">
      <c r="A3256" s="1">
        <v>44621</v>
      </c>
      <c r="B3256" t="s">
        <v>12</v>
      </c>
      <c r="C3256" t="s">
        <v>38</v>
      </c>
      <c r="D3256">
        <v>13985</v>
      </c>
      <c r="E3256">
        <v>79533</v>
      </c>
      <c r="F3256">
        <f t="shared" si="325"/>
        <v>5.6870218090811582</v>
      </c>
      <c r="G3256">
        <f t="shared" si="327"/>
        <v>257.96330925992135</v>
      </c>
      <c r="H3256">
        <v>1300.8797500000001</v>
      </c>
      <c r="I3256" t="s">
        <v>38</v>
      </c>
      <c r="J3256">
        <f t="shared" si="326"/>
        <v>28.679006834215169</v>
      </c>
      <c r="K3256">
        <v>2133.92</v>
      </c>
    </row>
    <row r="3257" spans="1:11" x14ac:dyDescent="0.35">
      <c r="A3257" s="1">
        <v>44652</v>
      </c>
      <c r="B3257" t="s">
        <v>12</v>
      </c>
      <c r="C3257" t="s">
        <v>38</v>
      </c>
      <c r="D3257">
        <v>8912</v>
      </c>
      <c r="E3257">
        <v>72145</v>
      </c>
      <c r="F3257">
        <f t="shared" si="325"/>
        <v>8.0952648114901251</v>
      </c>
      <c r="G3257">
        <f t="shared" si="327"/>
        <v>367.20121184919208</v>
      </c>
      <c r="H3257">
        <v>1122.069375</v>
      </c>
      <c r="I3257" t="s">
        <v>38</v>
      </c>
      <c r="J3257">
        <f t="shared" si="326"/>
        <v>24.736979166666668</v>
      </c>
      <c r="K3257">
        <v>2133.92</v>
      </c>
    </row>
    <row r="3258" spans="1:11" x14ac:dyDescent="0.35">
      <c r="A3258" s="1">
        <v>44682</v>
      </c>
      <c r="B3258" t="s">
        <v>12</v>
      </c>
      <c r="C3258" t="s">
        <v>38</v>
      </c>
      <c r="D3258">
        <v>10751.77</v>
      </c>
      <c r="E3258">
        <v>92379</v>
      </c>
      <c r="F3258">
        <f t="shared" si="325"/>
        <v>8.5919806692293452</v>
      </c>
      <c r="G3258">
        <f t="shared" si="327"/>
        <v>389.7322431562431</v>
      </c>
      <c r="H3258">
        <v>1120.0373263888889</v>
      </c>
      <c r="I3258" t="s">
        <v>38</v>
      </c>
      <c r="J3258">
        <f t="shared" si="326"/>
        <v>24.692180916862629</v>
      </c>
      <c r="K3258">
        <v>2133.92</v>
      </c>
    </row>
    <row r="3259" spans="1:11" x14ac:dyDescent="0.35">
      <c r="A3259" s="1">
        <v>44713</v>
      </c>
      <c r="B3259" t="s">
        <v>12</v>
      </c>
      <c r="C3259" t="s">
        <v>38</v>
      </c>
      <c r="D3259">
        <v>12628</v>
      </c>
      <c r="E3259">
        <v>91488.1</v>
      </c>
      <c r="F3259">
        <f t="shared" si="325"/>
        <v>7.244860627177701</v>
      </c>
      <c r="G3259">
        <f t="shared" si="327"/>
        <v>328.6268780487805</v>
      </c>
      <c r="H3259">
        <v>917.22422222222224</v>
      </c>
      <c r="I3259" t="s">
        <v>38</v>
      </c>
      <c r="J3259">
        <f t="shared" si="326"/>
        <v>20.220992553399963</v>
      </c>
      <c r="K3259">
        <v>2133.92</v>
      </c>
    </row>
    <row r="3260" spans="1:11" x14ac:dyDescent="0.35">
      <c r="A3260" s="1">
        <v>44743</v>
      </c>
      <c r="B3260" t="s">
        <v>12</v>
      </c>
      <c r="C3260" t="s">
        <v>38</v>
      </c>
      <c r="D3260">
        <v>10413</v>
      </c>
      <c r="E3260">
        <v>109853</v>
      </c>
      <c r="F3260">
        <f t="shared" si="325"/>
        <v>10.54960145971382</v>
      </c>
      <c r="G3260">
        <f t="shared" si="327"/>
        <v>478.52992221261889</v>
      </c>
      <c r="H3260">
        <v>1155.6310763888889</v>
      </c>
      <c r="I3260" t="s">
        <v>38</v>
      </c>
      <c r="J3260">
        <f t="shared" si="326"/>
        <v>25.476875581765629</v>
      </c>
      <c r="K3260">
        <v>2133.92</v>
      </c>
    </row>
    <row r="3261" spans="1:11" x14ac:dyDescent="0.35">
      <c r="A3261" s="1">
        <v>44774</v>
      </c>
      <c r="B3261" t="s">
        <v>12</v>
      </c>
      <c r="C3261" t="s">
        <v>38</v>
      </c>
      <c r="D3261">
        <v>12006</v>
      </c>
      <c r="E3261">
        <v>126663.3</v>
      </c>
      <c r="F3261">
        <f t="shared" si="325"/>
        <v>10.55</v>
      </c>
      <c r="G3261">
        <f t="shared" si="327"/>
        <v>478.548</v>
      </c>
      <c r="H3261">
        <v>1341.0562500000001</v>
      </c>
      <c r="I3261" t="s">
        <v>38</v>
      </c>
      <c r="J3261">
        <f t="shared" si="326"/>
        <v>29.564732142857146</v>
      </c>
      <c r="K3261">
        <v>2133.92</v>
      </c>
    </row>
    <row r="3262" spans="1:11" x14ac:dyDescent="0.35">
      <c r="A3262" s="1">
        <v>44805</v>
      </c>
      <c r="B3262" t="s">
        <v>12</v>
      </c>
      <c r="C3262" t="s">
        <v>38</v>
      </c>
      <c r="D3262">
        <v>11220</v>
      </c>
      <c r="E3262">
        <v>89433</v>
      </c>
      <c r="F3262">
        <f t="shared" si="325"/>
        <v>7.9708556149732619</v>
      </c>
      <c r="G3262">
        <f t="shared" si="327"/>
        <v>361.55801069518714</v>
      </c>
      <c r="H3262">
        <v>1297.7161458333335</v>
      </c>
      <c r="I3262" t="s">
        <v>38</v>
      </c>
      <c r="J3262">
        <f t="shared" si="326"/>
        <v>28.609262474279838</v>
      </c>
      <c r="K3262">
        <v>2133.92</v>
      </c>
    </row>
    <row r="3263" spans="1:11" x14ac:dyDescent="0.35">
      <c r="A3263" s="1">
        <v>44835</v>
      </c>
      <c r="B3263" t="s">
        <v>12</v>
      </c>
      <c r="C3263" t="s">
        <v>38</v>
      </c>
      <c r="D3263">
        <v>13095</v>
      </c>
      <c r="E3263">
        <v>135126</v>
      </c>
      <c r="F3263">
        <f t="shared" si="325"/>
        <v>10.318900343642612</v>
      </c>
      <c r="G3263">
        <f t="shared" si="327"/>
        <v>468.06531958762889</v>
      </c>
      <c r="H3263">
        <v>1223.0911458333333</v>
      </c>
      <c r="I3263" t="s">
        <v>38</v>
      </c>
      <c r="J3263">
        <f t="shared" si="326"/>
        <v>26.964090516607875</v>
      </c>
      <c r="K3263">
        <v>2133.92</v>
      </c>
    </row>
    <row r="3264" spans="1:11" x14ac:dyDescent="0.35">
      <c r="A3264" s="1">
        <v>44866</v>
      </c>
      <c r="B3264" t="s">
        <v>12</v>
      </c>
      <c r="C3264" t="s">
        <v>38</v>
      </c>
      <c r="D3264">
        <v>9805</v>
      </c>
      <c r="E3264">
        <v>101176.81786941581</v>
      </c>
      <c r="F3264">
        <f t="shared" si="325"/>
        <v>10.318900343642612</v>
      </c>
      <c r="G3264">
        <f t="shared" si="327"/>
        <v>468.06531958762889</v>
      </c>
      <c r="H3264">
        <v>1423.2142857142858</v>
      </c>
      <c r="I3264" t="s">
        <v>38</v>
      </c>
      <c r="J3264">
        <f t="shared" si="326"/>
        <v>31.375976316452508</v>
      </c>
      <c r="K3264">
        <v>2133.92</v>
      </c>
    </row>
    <row r="3265" spans="1:11" x14ac:dyDescent="0.35">
      <c r="A3265" s="1">
        <v>44896</v>
      </c>
      <c r="B3265" t="s">
        <v>12</v>
      </c>
      <c r="C3265" t="s">
        <v>38</v>
      </c>
      <c r="D3265">
        <v>12954.478901969705</v>
      </c>
      <c r="E3265">
        <v>98293.383442674167</v>
      </c>
      <c r="F3265">
        <f t="shared" si="325"/>
        <v>7.5875984041109392</v>
      </c>
      <c r="G3265">
        <f t="shared" si="327"/>
        <v>344.1734636104722</v>
      </c>
      <c r="H3265">
        <v>1424.953125</v>
      </c>
      <c r="I3265" t="s">
        <v>38</v>
      </c>
      <c r="J3265">
        <f t="shared" si="326"/>
        <v>31.414310515873016</v>
      </c>
      <c r="K3265">
        <v>2133.92</v>
      </c>
    </row>
    <row r="3266" spans="1:11" x14ac:dyDescent="0.35">
      <c r="A3266" s="1">
        <v>44562</v>
      </c>
      <c r="B3266" t="s">
        <v>13</v>
      </c>
      <c r="C3266" t="s">
        <v>38</v>
      </c>
      <c r="D3266">
        <v>6978</v>
      </c>
      <c r="E3266">
        <v>59208</v>
      </c>
      <c r="F3266">
        <f t="shared" si="325"/>
        <v>8.4849527085124681</v>
      </c>
      <c r="G3266">
        <f t="shared" si="327"/>
        <v>384.87745485812553</v>
      </c>
      <c r="H3266">
        <v>1148.8845238095239</v>
      </c>
      <c r="I3266" t="s">
        <v>38</v>
      </c>
      <c r="J3266">
        <f t="shared" si="326"/>
        <v>25.328142059292855</v>
      </c>
      <c r="K3266">
        <v>11717.05</v>
      </c>
    </row>
    <row r="3267" spans="1:11" x14ac:dyDescent="0.35">
      <c r="A3267" s="1">
        <v>44593</v>
      </c>
      <c r="B3267" t="s">
        <v>13</v>
      </c>
      <c r="C3267" t="s">
        <v>38</v>
      </c>
      <c r="D3267">
        <v>6532</v>
      </c>
      <c r="E3267">
        <v>61254</v>
      </c>
      <c r="F3267">
        <f t="shared" si="325"/>
        <v>9.3775260257195345</v>
      </c>
      <c r="G3267">
        <f t="shared" si="327"/>
        <v>425.36458052663806</v>
      </c>
      <c r="H3267">
        <v>1093.9107142857142</v>
      </c>
      <c r="I3267" t="s">
        <v>38</v>
      </c>
      <c r="J3267">
        <f t="shared" si="326"/>
        <v>24.116197404887881</v>
      </c>
      <c r="K3267">
        <v>11717.05</v>
      </c>
    </row>
    <row r="3268" spans="1:11" x14ac:dyDescent="0.35">
      <c r="A3268" s="1">
        <v>44621</v>
      </c>
      <c r="B3268" t="s">
        <v>13</v>
      </c>
      <c r="C3268" t="s">
        <v>38</v>
      </c>
      <c r="D3268">
        <v>6254</v>
      </c>
      <c r="E3268">
        <v>58788</v>
      </c>
      <c r="F3268">
        <f t="shared" si="325"/>
        <v>9.4000639590661983</v>
      </c>
      <c r="G3268">
        <f t="shared" si="327"/>
        <v>426.38690118324274</v>
      </c>
      <c r="H3268">
        <v>1064.02</v>
      </c>
      <c r="I3268" t="s">
        <v>38</v>
      </c>
      <c r="J3268">
        <f t="shared" si="326"/>
        <v>23.457231040564373</v>
      </c>
      <c r="K3268">
        <v>11717.05</v>
      </c>
    </row>
    <row r="3269" spans="1:11" x14ac:dyDescent="0.35">
      <c r="A3269" s="1">
        <v>44652</v>
      </c>
      <c r="B3269" t="s">
        <v>13</v>
      </c>
      <c r="C3269" t="s">
        <v>38</v>
      </c>
      <c r="D3269">
        <v>1990</v>
      </c>
      <c r="E3269">
        <v>49215</v>
      </c>
      <c r="F3269">
        <f t="shared" si="325"/>
        <v>24.731155778894472</v>
      </c>
      <c r="G3269">
        <f t="shared" si="327"/>
        <v>1121.8052261306532</v>
      </c>
      <c r="H3269">
        <v>1118.526388888889</v>
      </c>
      <c r="I3269" t="s">
        <v>38</v>
      </c>
      <c r="J3269">
        <f t="shared" si="326"/>
        <v>24.658871007250639</v>
      </c>
      <c r="K3269">
        <v>11717.05</v>
      </c>
    </row>
    <row r="3270" spans="1:11" x14ac:dyDescent="0.35">
      <c r="A3270" s="1">
        <v>44682</v>
      </c>
      <c r="B3270" t="s">
        <v>13</v>
      </c>
      <c r="C3270" t="s">
        <v>38</v>
      </c>
      <c r="D3270">
        <v>2530.86</v>
      </c>
      <c r="E3270">
        <v>41623.630000000005</v>
      </c>
      <c r="F3270">
        <f t="shared" si="325"/>
        <v>16.446437179456787</v>
      </c>
      <c r="G3270">
        <f t="shared" si="327"/>
        <v>746.01039046015978</v>
      </c>
      <c r="H3270">
        <v>1041.8958333333333</v>
      </c>
      <c r="I3270" t="s">
        <v>38</v>
      </c>
      <c r="J3270">
        <f t="shared" si="326"/>
        <v>22.96948486184597</v>
      </c>
      <c r="K3270">
        <v>11717.05</v>
      </c>
    </row>
    <row r="3271" spans="1:11" x14ac:dyDescent="0.35">
      <c r="A3271" s="1">
        <v>44713</v>
      </c>
      <c r="B3271" t="s">
        <v>13</v>
      </c>
      <c r="C3271" t="s">
        <v>38</v>
      </c>
      <c r="D3271">
        <v>6810</v>
      </c>
      <c r="E3271">
        <v>36757.350000000006</v>
      </c>
      <c r="F3271">
        <f t="shared" si="325"/>
        <v>5.3975550660792964</v>
      </c>
      <c r="G3271">
        <f t="shared" si="327"/>
        <v>244.83309779735688</v>
      </c>
      <c r="H3271">
        <v>1097.7521428571429</v>
      </c>
      <c r="I3271" t="s">
        <v>38</v>
      </c>
      <c r="J3271">
        <f t="shared" si="326"/>
        <v>24.20088498362308</v>
      </c>
      <c r="K3271">
        <v>11717.05</v>
      </c>
    </row>
    <row r="3272" spans="1:11" x14ac:dyDescent="0.35">
      <c r="A3272" s="1">
        <v>44743</v>
      </c>
      <c r="B3272" t="s">
        <v>13</v>
      </c>
      <c r="C3272" t="s">
        <v>38</v>
      </c>
      <c r="D3272">
        <v>6189</v>
      </c>
      <c r="E3272">
        <v>62224.013393736466</v>
      </c>
      <c r="F3272">
        <f t="shared" si="325"/>
        <v>10.053968879259406</v>
      </c>
      <c r="G3272">
        <f t="shared" si="327"/>
        <v>456.04802836320664</v>
      </c>
      <c r="H3272">
        <v>1075.8541666666667</v>
      </c>
      <c r="I3272" t="s">
        <v>38</v>
      </c>
      <c r="J3272">
        <f t="shared" si="326"/>
        <v>23.718125367430925</v>
      </c>
      <c r="K3272">
        <v>11717.05</v>
      </c>
    </row>
    <row r="3273" spans="1:11" x14ac:dyDescent="0.35">
      <c r="A3273" s="1">
        <v>44774</v>
      </c>
      <c r="B3273" t="s">
        <v>13</v>
      </c>
      <c r="C3273" t="s">
        <v>38</v>
      </c>
      <c r="D3273">
        <v>4988</v>
      </c>
      <c r="E3273">
        <v>52773.04</v>
      </c>
      <c r="F3273">
        <f t="shared" si="325"/>
        <v>10.58</v>
      </c>
      <c r="G3273">
        <f t="shared" si="327"/>
        <v>479.90879999999999</v>
      </c>
      <c r="H3273">
        <v>1271.1944444444443</v>
      </c>
      <c r="I3273" t="s">
        <v>38</v>
      </c>
      <c r="J3273">
        <f t="shared" si="326"/>
        <v>28.02456888105036</v>
      </c>
      <c r="K3273">
        <v>11717.05</v>
      </c>
    </row>
    <row r="3274" spans="1:11" x14ac:dyDescent="0.35">
      <c r="A3274" s="1">
        <v>44805</v>
      </c>
      <c r="B3274" t="s">
        <v>13</v>
      </c>
      <c r="C3274" t="s">
        <v>38</v>
      </c>
      <c r="D3274">
        <v>4084</v>
      </c>
      <c r="E3274">
        <v>37260.022103970528</v>
      </c>
      <c r="F3274">
        <f t="shared" si="325"/>
        <v>9.1234138354482202</v>
      </c>
      <c r="G3274">
        <f t="shared" si="327"/>
        <v>413.83805157593127</v>
      </c>
      <c r="H3274">
        <v>1152.5416666666667</v>
      </c>
      <c r="I3274" t="s">
        <v>38</v>
      </c>
      <c r="J3274">
        <f t="shared" si="326"/>
        <v>25.40876690182246</v>
      </c>
      <c r="K3274">
        <v>11717.05</v>
      </c>
    </row>
    <row r="3275" spans="1:11" x14ac:dyDescent="0.35">
      <c r="A3275" s="1">
        <v>44835</v>
      </c>
      <c r="B3275" t="s">
        <v>13</v>
      </c>
      <c r="C3275" t="s">
        <v>38</v>
      </c>
      <c r="D3275">
        <v>2284</v>
      </c>
      <c r="E3275">
        <v>28849</v>
      </c>
      <c r="F3275">
        <f t="shared" si="325"/>
        <v>12.630910683012258</v>
      </c>
      <c r="G3275">
        <f t="shared" si="327"/>
        <v>572.93810858143604</v>
      </c>
      <c r="H3275">
        <v>1197.3541666666667</v>
      </c>
      <c r="I3275" t="s">
        <v>38</v>
      </c>
      <c r="J3275">
        <f t="shared" si="326"/>
        <v>26.396696796002352</v>
      </c>
      <c r="K3275">
        <v>11717.05</v>
      </c>
    </row>
    <row r="3276" spans="1:11" x14ac:dyDescent="0.35">
      <c r="A3276" s="1">
        <v>44866</v>
      </c>
      <c r="B3276" t="s">
        <v>13</v>
      </c>
      <c r="C3276" t="s">
        <v>38</v>
      </c>
      <c r="D3276">
        <v>1989</v>
      </c>
      <c r="E3276">
        <v>25122.881348511382</v>
      </c>
      <c r="F3276">
        <f t="shared" si="325"/>
        <v>12.630910683012258</v>
      </c>
      <c r="G3276">
        <f t="shared" si="327"/>
        <v>572.93810858143604</v>
      </c>
      <c r="H3276">
        <v>1212.6666666666667</v>
      </c>
      <c r="I3276" t="s">
        <v>38</v>
      </c>
      <c r="J3276">
        <f t="shared" si="326"/>
        <v>26.734273956496182</v>
      </c>
      <c r="K3276">
        <v>11717.05</v>
      </c>
    </row>
    <row r="3277" spans="1:11" x14ac:dyDescent="0.35">
      <c r="A3277" s="1">
        <v>44896</v>
      </c>
      <c r="B3277" t="s">
        <v>13</v>
      </c>
      <c r="C3277" t="s">
        <v>38</v>
      </c>
      <c r="D3277">
        <v>5624.8663460000025</v>
      </c>
      <c r="E3277">
        <v>46643.176076928939</v>
      </c>
      <c r="F3277">
        <f t="shared" si="325"/>
        <v>8.292317222808002</v>
      </c>
      <c r="G3277">
        <f t="shared" si="327"/>
        <v>376.13950922657096</v>
      </c>
      <c r="H3277">
        <v>874.9805555555555</v>
      </c>
      <c r="I3277" t="s">
        <v>38</v>
      </c>
      <c r="J3277">
        <f>H3277/45.36</f>
        <v>19.289694787379972</v>
      </c>
      <c r="K3277">
        <v>11717.05</v>
      </c>
    </row>
    <row r="3278" spans="1:11" x14ac:dyDescent="0.35">
      <c r="A3278" s="1">
        <v>44562</v>
      </c>
      <c r="B3278" t="s">
        <v>14</v>
      </c>
      <c r="C3278" t="s">
        <v>38</v>
      </c>
      <c r="D3278">
        <v>66874</v>
      </c>
      <c r="E3278">
        <v>1198248</v>
      </c>
      <c r="F3278">
        <f t="shared" si="325"/>
        <v>17.917995035439784</v>
      </c>
      <c r="G3278">
        <f t="shared" si="327"/>
        <v>812.76025480754856</v>
      </c>
      <c r="H3278">
        <v>9653.8194444444453</v>
      </c>
      <c r="I3278" t="s">
        <v>40</v>
      </c>
      <c r="J3278">
        <f>(H3278/1000)/0.56234</f>
        <v>17.167228801871548</v>
      </c>
      <c r="K3278">
        <v>8552.64</v>
      </c>
    </row>
    <row r="3279" spans="1:11" x14ac:dyDescent="0.35">
      <c r="A3279" s="1">
        <v>44593</v>
      </c>
      <c r="B3279" t="s">
        <v>14</v>
      </c>
      <c r="C3279" t="s">
        <v>38</v>
      </c>
      <c r="D3279">
        <v>91254</v>
      </c>
      <c r="E3279">
        <v>1871844</v>
      </c>
      <c r="F3279">
        <f t="shared" si="325"/>
        <v>20.512459727792756</v>
      </c>
      <c r="G3279">
        <f t="shared" si="327"/>
        <v>930.44517325267941</v>
      </c>
      <c r="H3279">
        <v>9916.6666666666661</v>
      </c>
      <c r="I3279" t="s">
        <v>40</v>
      </c>
      <c r="J3279">
        <f t="shared" ref="J3279:J3289" si="328">(H3279/1000)/0.56234</f>
        <v>17.634645706630629</v>
      </c>
      <c r="K3279">
        <v>8552.64</v>
      </c>
    </row>
    <row r="3280" spans="1:11" x14ac:dyDescent="0.35">
      <c r="A3280" s="1">
        <v>44621</v>
      </c>
      <c r="B3280" t="s">
        <v>14</v>
      </c>
      <c r="C3280" t="s">
        <v>38</v>
      </c>
      <c r="D3280">
        <v>74564</v>
      </c>
      <c r="E3280">
        <v>1195980</v>
      </c>
      <c r="F3280">
        <f t="shared" si="325"/>
        <v>16.039643795933696</v>
      </c>
      <c r="G3280">
        <f t="shared" si="327"/>
        <v>727.55824258355244</v>
      </c>
      <c r="H3280">
        <v>9350</v>
      </c>
      <c r="I3280" t="s">
        <v>40</v>
      </c>
      <c r="J3280">
        <f t="shared" si="328"/>
        <v>16.626951666251735</v>
      </c>
      <c r="K3280">
        <v>8552.64</v>
      </c>
    </row>
    <row r="3281" spans="1:11" x14ac:dyDescent="0.35">
      <c r="A3281" s="1">
        <v>44652</v>
      </c>
      <c r="B3281" t="s">
        <v>14</v>
      </c>
      <c r="C3281" t="s">
        <v>38</v>
      </c>
      <c r="D3281">
        <v>11433</v>
      </c>
      <c r="E3281">
        <v>156252</v>
      </c>
      <c r="F3281">
        <f t="shared" si="325"/>
        <v>13.66675413277355</v>
      </c>
      <c r="G3281">
        <f t="shared" si="327"/>
        <v>619.92396746260818</v>
      </c>
      <c r="H3281">
        <v>6750</v>
      </c>
      <c r="I3281" t="s">
        <v>40</v>
      </c>
      <c r="J3281">
        <f t="shared" si="328"/>
        <v>12.003414304513285</v>
      </c>
      <c r="K3281">
        <v>8552.64</v>
      </c>
    </row>
    <row r="3282" spans="1:11" x14ac:dyDescent="0.35">
      <c r="A3282" s="1">
        <v>44682</v>
      </c>
      <c r="B3282" t="s">
        <v>14</v>
      </c>
      <c r="C3282" t="s">
        <v>38</v>
      </c>
      <c r="D3282">
        <v>13738.660000000002</v>
      </c>
      <c r="E3282">
        <v>482975.6098064516</v>
      </c>
      <c r="F3282">
        <f t="shared" si="325"/>
        <v>35.154491763130579</v>
      </c>
      <c r="G3282">
        <f t="shared" si="327"/>
        <v>1594.607746375603</v>
      </c>
      <c r="H3282">
        <v>7278.4766666666665</v>
      </c>
      <c r="I3282" t="s">
        <v>40</v>
      </c>
      <c r="J3282">
        <f t="shared" si="328"/>
        <v>12.943195694182641</v>
      </c>
      <c r="K3282">
        <v>8552.64</v>
      </c>
    </row>
    <row r="3283" spans="1:11" x14ac:dyDescent="0.35">
      <c r="A3283" s="1">
        <v>44713</v>
      </c>
      <c r="B3283" t="s">
        <v>14</v>
      </c>
      <c r="C3283" t="s">
        <v>38</v>
      </c>
      <c r="D3283">
        <v>46218.333333333336</v>
      </c>
      <c r="E3283">
        <v>1306968</v>
      </c>
      <c r="F3283">
        <f t="shared" si="325"/>
        <v>28.278129169521474</v>
      </c>
      <c r="G3283">
        <f t="shared" si="327"/>
        <v>1282.695939129494</v>
      </c>
      <c r="H3283">
        <v>7625</v>
      </c>
      <c r="I3283" t="s">
        <v>40</v>
      </c>
      <c r="J3283">
        <f t="shared" si="328"/>
        <v>13.559412455098339</v>
      </c>
      <c r="K3283">
        <v>8552.64</v>
      </c>
    </row>
    <row r="3284" spans="1:11" x14ac:dyDescent="0.35">
      <c r="A3284" s="1">
        <v>44743</v>
      </c>
      <c r="B3284" t="s">
        <v>14</v>
      </c>
      <c r="C3284" t="s">
        <v>38</v>
      </c>
      <c r="D3284">
        <v>40500</v>
      </c>
      <c r="E3284">
        <v>1458000</v>
      </c>
      <c r="F3284">
        <f t="shared" si="325"/>
        <v>36</v>
      </c>
      <c r="G3284">
        <f t="shared" si="327"/>
        <v>1632.96</v>
      </c>
      <c r="H3284">
        <v>7515</v>
      </c>
      <c r="I3284" t="s">
        <v>40</v>
      </c>
      <c r="J3284">
        <f t="shared" si="328"/>
        <v>13.36380125902479</v>
      </c>
      <c r="K3284">
        <v>8552.64</v>
      </c>
    </row>
    <row r="3285" spans="1:11" x14ac:dyDescent="0.35">
      <c r="A3285" s="1">
        <v>44774</v>
      </c>
      <c r="B3285" t="s">
        <v>14</v>
      </c>
      <c r="C3285" t="s">
        <v>38</v>
      </c>
      <c r="D3285">
        <v>54728</v>
      </c>
      <c r="E3285">
        <v>2340576</v>
      </c>
      <c r="F3285">
        <f t="shared" si="325"/>
        <v>42.767431662037716</v>
      </c>
      <c r="G3285">
        <f t="shared" si="327"/>
        <v>1939.9307001900308</v>
      </c>
      <c r="H3285">
        <v>6243.416666666667</v>
      </c>
      <c r="I3285" t="s">
        <v>40</v>
      </c>
      <c r="J3285">
        <f t="shared" si="328"/>
        <v>11.102565470474566</v>
      </c>
      <c r="K3285">
        <v>8552.64</v>
      </c>
    </row>
    <row r="3286" spans="1:11" x14ac:dyDescent="0.35">
      <c r="A3286" s="1">
        <v>44805</v>
      </c>
      <c r="B3286" t="s">
        <v>14</v>
      </c>
      <c r="C3286" t="s">
        <v>38</v>
      </c>
      <c r="D3286">
        <v>89918</v>
      </c>
      <c r="E3286">
        <v>2108662.7999999998</v>
      </c>
      <c r="F3286">
        <f t="shared" si="325"/>
        <v>23.45095309059365</v>
      </c>
      <c r="G3286">
        <f t="shared" si="327"/>
        <v>1063.7352321893279</v>
      </c>
      <c r="H3286">
        <v>4972.916666666667</v>
      </c>
      <c r="I3286" t="s">
        <v>40</v>
      </c>
      <c r="J3286">
        <f t="shared" si="328"/>
        <v>8.8432561558250669</v>
      </c>
      <c r="K3286">
        <v>8552.64</v>
      </c>
    </row>
    <row r="3287" spans="1:11" x14ac:dyDescent="0.35">
      <c r="A3287" s="1">
        <v>44835</v>
      </c>
      <c r="B3287" t="s">
        <v>14</v>
      </c>
      <c r="C3287" t="s">
        <v>38</v>
      </c>
      <c r="D3287">
        <v>28199.600000000002</v>
      </c>
      <c r="E3287">
        <v>1015185.6000000001</v>
      </c>
      <c r="F3287">
        <f t="shared" si="325"/>
        <v>36</v>
      </c>
      <c r="G3287">
        <f t="shared" si="327"/>
        <v>1632.96</v>
      </c>
      <c r="H3287">
        <v>5853.8233333333328</v>
      </c>
      <c r="I3287" t="s">
        <v>40</v>
      </c>
      <c r="J3287">
        <f t="shared" si="328"/>
        <v>10.409758034878069</v>
      </c>
      <c r="K3287">
        <v>8552.64</v>
      </c>
    </row>
    <row r="3288" spans="1:11" x14ac:dyDescent="0.35">
      <c r="A3288" s="1">
        <v>44866</v>
      </c>
      <c r="B3288" t="s">
        <v>14</v>
      </c>
      <c r="C3288" t="s">
        <v>38</v>
      </c>
      <c r="D3288">
        <v>48980</v>
      </c>
      <c r="E3288">
        <v>1763280</v>
      </c>
      <c r="F3288">
        <f t="shared" si="325"/>
        <v>36</v>
      </c>
      <c r="G3288">
        <f t="shared" si="327"/>
        <v>1632.96</v>
      </c>
      <c r="H3288">
        <v>7423.2255555555548</v>
      </c>
      <c r="I3288" t="s">
        <v>40</v>
      </c>
      <c r="J3288">
        <f t="shared" si="328"/>
        <v>13.200600269508758</v>
      </c>
      <c r="K3288">
        <v>8552.64</v>
      </c>
    </row>
    <row r="3289" spans="1:11" x14ac:dyDescent="0.35">
      <c r="A3289" s="1">
        <v>44896</v>
      </c>
      <c r="B3289" t="s">
        <v>14</v>
      </c>
      <c r="C3289" t="s">
        <v>38</v>
      </c>
      <c r="D3289">
        <v>62927.883619333385</v>
      </c>
      <c r="E3289">
        <v>1354361.0918005863</v>
      </c>
      <c r="F3289">
        <f>E3289/D3289</f>
        <v>21.522431931660972</v>
      </c>
      <c r="G3289">
        <f t="shared" si="327"/>
        <v>976.25751242014167</v>
      </c>
      <c r="H3289">
        <v>4759.375</v>
      </c>
      <c r="I3289" t="s">
        <v>40</v>
      </c>
      <c r="J3289">
        <f t="shared" si="328"/>
        <v>8.4635185119322838</v>
      </c>
      <c r="K3289">
        <v>8552.64</v>
      </c>
    </row>
    <row r="3290" spans="1:11" x14ac:dyDescent="0.35">
      <c r="A3290" s="1">
        <v>44562</v>
      </c>
      <c r="B3290" t="s">
        <v>15</v>
      </c>
      <c r="C3290" t="s">
        <v>38</v>
      </c>
      <c r="D3290">
        <v>446878</v>
      </c>
      <c r="E3290">
        <v>2046007.2</v>
      </c>
      <c r="F3290">
        <f t="shared" ref="F3290:F3301" si="329">E3290/D3290</f>
        <v>4.5784469139228152</v>
      </c>
      <c r="G3290">
        <f t="shared" si="327"/>
        <v>207.67835201553891</v>
      </c>
      <c r="H3290">
        <v>240.02083333333334</v>
      </c>
      <c r="I3290" t="s">
        <v>58</v>
      </c>
      <c r="J3290">
        <f>H3290/27.21</f>
        <v>8.8210523092000486</v>
      </c>
      <c r="K3290">
        <f>19216.9+28179.25</f>
        <v>47396.15</v>
      </c>
    </row>
    <row r="3291" spans="1:11" x14ac:dyDescent="0.35">
      <c r="A3291" s="1">
        <v>44593</v>
      </c>
      <c r="B3291" t="s">
        <v>15</v>
      </c>
      <c r="C3291" t="s">
        <v>38</v>
      </c>
      <c r="D3291">
        <v>498678</v>
      </c>
      <c r="E3291">
        <v>2251292.4</v>
      </c>
      <c r="F3291">
        <f t="shared" si="329"/>
        <v>4.5145211940370338</v>
      </c>
      <c r="G3291">
        <f t="shared" si="327"/>
        <v>204.77868136151986</v>
      </c>
      <c r="H3291">
        <v>220.15234375</v>
      </c>
      <c r="I3291" t="s">
        <v>58</v>
      </c>
      <c r="J3291">
        <f t="shared" ref="J3291:J3301" si="330">H3291/27.21</f>
        <v>8.0908615858140394</v>
      </c>
      <c r="K3291">
        <f t="shared" ref="K3291:K3301" si="331">19216.9+28179.25</f>
        <v>47396.15</v>
      </c>
    </row>
    <row r="3292" spans="1:11" x14ac:dyDescent="0.35">
      <c r="A3292" s="1">
        <v>44621</v>
      </c>
      <c r="B3292" t="s">
        <v>15</v>
      </c>
      <c r="C3292" t="s">
        <v>38</v>
      </c>
      <c r="D3292">
        <v>484254</v>
      </c>
      <c r="E3292">
        <v>2252813.4</v>
      </c>
      <c r="F3292">
        <f t="shared" si="329"/>
        <v>4.6521317325205365</v>
      </c>
      <c r="G3292">
        <f t="shared" si="327"/>
        <v>211.02069538713152</v>
      </c>
      <c r="H3292">
        <v>236.56588541666665</v>
      </c>
      <c r="I3292" t="s">
        <v>58</v>
      </c>
      <c r="J3292">
        <f t="shared" si="330"/>
        <v>8.6940788466250147</v>
      </c>
      <c r="K3292">
        <f t="shared" si="331"/>
        <v>47396.15</v>
      </c>
    </row>
    <row r="3293" spans="1:11" x14ac:dyDescent="0.35">
      <c r="A3293" s="1">
        <v>44652</v>
      </c>
      <c r="B3293" t="s">
        <v>15</v>
      </c>
      <c r="C3293" t="s">
        <v>38</v>
      </c>
      <c r="D3293">
        <v>495452</v>
      </c>
      <c r="E3293">
        <v>2511593.4</v>
      </c>
      <c r="F3293">
        <f t="shared" si="329"/>
        <v>5.0692971266641367</v>
      </c>
      <c r="G3293">
        <f t="shared" si="327"/>
        <v>229.94331766548524</v>
      </c>
      <c r="H3293">
        <v>230.4296875</v>
      </c>
      <c r="I3293" t="s">
        <v>58</v>
      </c>
      <c r="J3293">
        <f t="shared" si="330"/>
        <v>8.4685662440279312</v>
      </c>
      <c r="K3293">
        <f t="shared" si="331"/>
        <v>47396.15</v>
      </c>
    </row>
    <row r="3294" spans="1:11" x14ac:dyDescent="0.35">
      <c r="A3294" s="1">
        <v>44682</v>
      </c>
      <c r="B3294" t="s">
        <v>15</v>
      </c>
      <c r="C3294" t="s">
        <v>38</v>
      </c>
      <c r="D3294">
        <v>531245</v>
      </c>
      <c r="E3294">
        <v>2071855.4999999995</v>
      </c>
      <c r="F3294">
        <f t="shared" si="329"/>
        <v>3.899999999999999</v>
      </c>
      <c r="G3294">
        <f t="shared" si="327"/>
        <v>176.90399999999994</v>
      </c>
      <c r="H3294">
        <v>234.19791666666666</v>
      </c>
      <c r="I3294" t="s">
        <v>58</v>
      </c>
      <c r="J3294">
        <f t="shared" si="330"/>
        <v>8.6070531667279173</v>
      </c>
      <c r="K3294">
        <f t="shared" si="331"/>
        <v>47396.15</v>
      </c>
    </row>
    <row r="3295" spans="1:11" x14ac:dyDescent="0.35">
      <c r="A3295" s="1">
        <v>44713</v>
      </c>
      <c r="B3295" t="s">
        <v>15</v>
      </c>
      <c r="C3295" t="s">
        <v>38</v>
      </c>
      <c r="D3295">
        <v>512463.57500312413</v>
      </c>
      <c r="E3295">
        <v>2456627.0478360602</v>
      </c>
      <c r="F3295">
        <f t="shared" si="329"/>
        <v>4.793759337570644</v>
      </c>
      <c r="G3295">
        <f t="shared" si="327"/>
        <v>217.44492355220441</v>
      </c>
      <c r="H3295">
        <v>242.99479166666666</v>
      </c>
      <c r="I3295" t="s">
        <v>58</v>
      </c>
      <c r="J3295">
        <f t="shared" si="330"/>
        <v>8.9303488300869773</v>
      </c>
      <c r="K3295">
        <f t="shared" si="331"/>
        <v>47396.15</v>
      </c>
    </row>
    <row r="3296" spans="1:11" x14ac:dyDescent="0.35">
      <c r="A3296" s="1">
        <v>44743</v>
      </c>
      <c r="B3296" t="s">
        <v>15</v>
      </c>
      <c r="C3296" t="s">
        <v>38</v>
      </c>
      <c r="D3296">
        <v>599764</v>
      </c>
      <c r="E3296">
        <v>3598584</v>
      </c>
      <c r="F3296">
        <f t="shared" si="329"/>
        <v>6</v>
      </c>
      <c r="G3296">
        <f t="shared" si="327"/>
        <v>272.15999999999997</v>
      </c>
      <c r="H3296">
        <v>211.10416666666666</v>
      </c>
      <c r="I3296" t="s">
        <v>58</v>
      </c>
      <c r="J3296">
        <f t="shared" si="330"/>
        <v>7.758330270733798</v>
      </c>
      <c r="K3296">
        <f t="shared" si="331"/>
        <v>47396.15</v>
      </c>
    </row>
    <row r="3297" spans="1:11" x14ac:dyDescent="0.35">
      <c r="A3297" s="1">
        <v>44774</v>
      </c>
      <c r="B3297" t="s">
        <v>15</v>
      </c>
      <c r="C3297" t="s">
        <v>38</v>
      </c>
      <c r="D3297">
        <v>600501</v>
      </c>
      <c r="E3297">
        <v>3603486</v>
      </c>
      <c r="F3297">
        <f t="shared" si="329"/>
        <v>6.0007993325573148</v>
      </c>
      <c r="G3297">
        <f t="shared" si="327"/>
        <v>272.19625772479981</v>
      </c>
      <c r="H3297">
        <v>235.58398333333332</v>
      </c>
      <c r="I3297" t="s">
        <v>58</v>
      </c>
      <c r="J3297">
        <f t="shared" si="330"/>
        <v>8.6579927722650982</v>
      </c>
      <c r="K3297">
        <f t="shared" si="331"/>
        <v>47396.15</v>
      </c>
    </row>
    <row r="3298" spans="1:11" x14ac:dyDescent="0.35">
      <c r="A3298" s="1">
        <v>44805</v>
      </c>
      <c r="B3298" t="s">
        <v>15</v>
      </c>
      <c r="C3298" t="s">
        <v>38</v>
      </c>
      <c r="D3298">
        <v>536697</v>
      </c>
      <c r="E3298">
        <v>2898163.8</v>
      </c>
      <c r="F3298">
        <f t="shared" si="329"/>
        <v>5.3999999999999995</v>
      </c>
      <c r="G3298">
        <f t="shared" si="327"/>
        <v>244.94399999999996</v>
      </c>
      <c r="H3298">
        <v>243.76453125</v>
      </c>
      <c r="I3298" t="s">
        <v>58</v>
      </c>
      <c r="J3298">
        <f t="shared" si="330"/>
        <v>8.9586376791620719</v>
      </c>
      <c r="K3298">
        <f t="shared" si="331"/>
        <v>47396.15</v>
      </c>
    </row>
    <row r="3299" spans="1:11" x14ac:dyDescent="0.35">
      <c r="A3299" s="1">
        <v>44835</v>
      </c>
      <c r="B3299" t="s">
        <v>15</v>
      </c>
      <c r="C3299" t="s">
        <v>38</v>
      </c>
      <c r="D3299">
        <v>361168</v>
      </c>
      <c r="E3299">
        <v>2383708.7999999998</v>
      </c>
      <c r="F3299">
        <f t="shared" si="329"/>
        <v>6.6</v>
      </c>
      <c r="G3299">
        <f t="shared" si="327"/>
        <v>299.37599999999998</v>
      </c>
      <c r="H3299">
        <v>246.94687499999998</v>
      </c>
      <c r="I3299" t="s">
        <v>58</v>
      </c>
      <c r="J3299">
        <f t="shared" si="330"/>
        <v>9.0755926130099223</v>
      </c>
      <c r="K3299">
        <f t="shared" si="331"/>
        <v>47396.15</v>
      </c>
    </row>
    <row r="3300" spans="1:11" x14ac:dyDescent="0.35">
      <c r="A3300" s="1">
        <v>44866</v>
      </c>
      <c r="B3300" t="s">
        <v>15</v>
      </c>
      <c r="C3300" t="s">
        <v>38</v>
      </c>
      <c r="D3300">
        <v>523319</v>
      </c>
      <c r="E3300">
        <v>2166540.66</v>
      </c>
      <c r="F3300">
        <f t="shared" si="329"/>
        <v>4.1400000000000006</v>
      </c>
      <c r="G3300">
        <f t="shared" si="327"/>
        <v>187.79040000000003</v>
      </c>
      <c r="H3300">
        <v>269.1583333333333</v>
      </c>
      <c r="I3300" t="s">
        <v>58</v>
      </c>
      <c r="J3300">
        <f t="shared" si="330"/>
        <v>9.8918902364326833</v>
      </c>
      <c r="K3300">
        <f t="shared" si="331"/>
        <v>47396.15</v>
      </c>
    </row>
    <row r="3301" spans="1:11" x14ac:dyDescent="0.35">
      <c r="A3301" s="1">
        <v>44896</v>
      </c>
      <c r="B3301" t="s">
        <v>15</v>
      </c>
      <c r="C3301" t="s">
        <v>38</v>
      </c>
      <c r="D3301">
        <v>473184.4</v>
      </c>
      <c r="E3301">
        <v>2567333.8370760055</v>
      </c>
      <c r="F3301">
        <f>E3301/D3301</f>
        <v>5.4256518961233828</v>
      </c>
      <c r="G3301">
        <f t="shared" si="327"/>
        <v>246.10757000815664</v>
      </c>
      <c r="H3301">
        <v>286.88229166666667</v>
      </c>
      <c r="I3301" t="s">
        <v>58</v>
      </c>
      <c r="J3301">
        <f t="shared" si="330"/>
        <v>10.543266874923434</v>
      </c>
      <c r="K3301">
        <f t="shared" si="331"/>
        <v>47396.15</v>
      </c>
    </row>
    <row r="3302" spans="1:11" x14ac:dyDescent="0.35">
      <c r="A3302" s="1">
        <v>44562</v>
      </c>
      <c r="B3302" t="s">
        <v>18</v>
      </c>
      <c r="C3302" t="s">
        <v>38</v>
      </c>
      <c r="D3302">
        <v>752142</v>
      </c>
      <c r="E3302">
        <v>1397169</v>
      </c>
      <c r="F3302">
        <f t="shared" ref="F3302:F3313" si="332">E3302/D3302</f>
        <v>1.8575867322925723</v>
      </c>
      <c r="G3302">
        <f t="shared" si="327"/>
        <v>84.260134176791084</v>
      </c>
      <c r="H3302">
        <v>7275.1953124999991</v>
      </c>
      <c r="I3302" t="s">
        <v>56</v>
      </c>
      <c r="J3302">
        <f>(H3302/1000)/0.40815</f>
        <v>17.824807821879208</v>
      </c>
      <c r="K3302">
        <f>12239.16+13669.17</f>
        <v>25908.33</v>
      </c>
    </row>
    <row r="3303" spans="1:11" x14ac:dyDescent="0.35">
      <c r="A3303" s="1">
        <v>44593</v>
      </c>
      <c r="B3303" t="s">
        <v>18</v>
      </c>
      <c r="C3303" t="s">
        <v>38</v>
      </c>
      <c r="D3303">
        <v>795332</v>
      </c>
      <c r="E3303">
        <v>1484982</v>
      </c>
      <c r="F3303">
        <f t="shared" si="332"/>
        <v>1.8671221577907089</v>
      </c>
      <c r="G3303">
        <f t="shared" si="327"/>
        <v>84.69266107738656</v>
      </c>
      <c r="H3303">
        <v>7859.1510416666661</v>
      </c>
      <c r="I3303" t="s">
        <v>56</v>
      </c>
      <c r="J3303">
        <f t="shared" ref="J3303:J3313" si="333">(H3303/1000)/0.40815</f>
        <v>19.255545857323696</v>
      </c>
      <c r="K3303">
        <f t="shared" ref="K3303:K3313" si="334">12239.16+13669.17</f>
        <v>25908.33</v>
      </c>
    </row>
    <row r="3304" spans="1:11" x14ac:dyDescent="0.35">
      <c r="A3304" s="1">
        <v>44621</v>
      </c>
      <c r="B3304" t="s">
        <v>18</v>
      </c>
      <c r="C3304" t="s">
        <v>38</v>
      </c>
      <c r="D3304">
        <v>764899</v>
      </c>
      <c r="E3304">
        <v>1784286</v>
      </c>
      <c r="F3304">
        <f t="shared" si="332"/>
        <v>2.3327079784389833</v>
      </c>
      <c r="G3304">
        <f t="shared" si="327"/>
        <v>105.81163390199228</v>
      </c>
      <c r="H3304">
        <v>8149.3979166666668</v>
      </c>
      <c r="I3304" t="s">
        <v>56</v>
      </c>
      <c r="J3304">
        <f t="shared" si="333"/>
        <v>19.966673812732246</v>
      </c>
      <c r="K3304">
        <f t="shared" si="334"/>
        <v>25908.33</v>
      </c>
    </row>
    <row r="3305" spans="1:11" x14ac:dyDescent="0.35">
      <c r="A3305" s="1">
        <v>44652</v>
      </c>
      <c r="B3305" t="s">
        <v>18</v>
      </c>
      <c r="C3305" t="s">
        <v>38</v>
      </c>
      <c r="D3305">
        <v>809521</v>
      </c>
      <c r="E3305">
        <v>3368286</v>
      </c>
      <c r="F3305">
        <f t="shared" si="332"/>
        <v>4.1608383229094734</v>
      </c>
      <c r="G3305">
        <f t="shared" si="327"/>
        <v>188.73562632717372</v>
      </c>
      <c r="H3305">
        <v>8098.901041666667</v>
      </c>
      <c r="I3305" t="s">
        <v>56</v>
      </c>
      <c r="J3305">
        <f t="shared" si="333"/>
        <v>19.842952448037892</v>
      </c>
      <c r="K3305">
        <f t="shared" si="334"/>
        <v>25908.33</v>
      </c>
    </row>
    <row r="3306" spans="1:11" x14ac:dyDescent="0.35">
      <c r="A3306" s="1">
        <v>44682</v>
      </c>
      <c r="B3306" t="s">
        <v>18</v>
      </c>
      <c r="C3306" t="s">
        <v>38</v>
      </c>
      <c r="D3306">
        <v>866784</v>
      </c>
      <c r="E3306">
        <v>1343515.1999999997</v>
      </c>
      <c r="F3306">
        <f t="shared" si="332"/>
        <v>1.5499999999999996</v>
      </c>
      <c r="G3306">
        <f t="shared" si="327"/>
        <v>70.307999999999979</v>
      </c>
      <c r="H3306">
        <v>8357.625</v>
      </c>
      <c r="I3306" t="s">
        <v>56</v>
      </c>
      <c r="J3306">
        <f t="shared" si="333"/>
        <v>20.476846747519296</v>
      </c>
      <c r="K3306">
        <f t="shared" si="334"/>
        <v>25908.33</v>
      </c>
    </row>
    <row r="3307" spans="1:11" x14ac:dyDescent="0.35">
      <c r="A3307" s="1">
        <v>44713</v>
      </c>
      <c r="B3307" t="s">
        <v>18</v>
      </c>
      <c r="C3307" t="s">
        <v>38</v>
      </c>
      <c r="D3307">
        <v>803065.16666666663</v>
      </c>
      <c r="E3307">
        <v>1630122.6600000001</v>
      </c>
      <c r="F3307">
        <f t="shared" si="332"/>
        <v>2.0298759399143824</v>
      </c>
      <c r="G3307">
        <f t="shared" si="327"/>
        <v>92.075172634516392</v>
      </c>
      <c r="H3307">
        <v>9009.7562500000004</v>
      </c>
      <c r="I3307" t="s">
        <v>56</v>
      </c>
      <c r="J3307">
        <f t="shared" si="333"/>
        <v>22.074620237657726</v>
      </c>
      <c r="K3307">
        <f t="shared" si="334"/>
        <v>25908.33</v>
      </c>
    </row>
    <row r="3308" spans="1:11" x14ac:dyDescent="0.35">
      <c r="A3308" s="1">
        <v>44743</v>
      </c>
      <c r="B3308" t="s">
        <v>18</v>
      </c>
      <c r="C3308" t="s">
        <v>38</v>
      </c>
      <c r="D3308">
        <v>1170098</v>
      </c>
      <c r="E3308">
        <v>3369882.2399999998</v>
      </c>
      <c r="F3308">
        <f t="shared" si="332"/>
        <v>2.88</v>
      </c>
      <c r="G3308">
        <f t="shared" si="327"/>
        <v>130.63679999999999</v>
      </c>
      <c r="H3308">
        <v>9284.3697916666679</v>
      </c>
      <c r="I3308" t="s">
        <v>56</v>
      </c>
      <c r="J3308">
        <f t="shared" si="333"/>
        <v>22.747445281554988</v>
      </c>
      <c r="K3308">
        <f t="shared" si="334"/>
        <v>25908.33</v>
      </c>
    </row>
    <row r="3309" spans="1:11" x14ac:dyDescent="0.35">
      <c r="A3309" s="1">
        <v>44774</v>
      </c>
      <c r="B3309" t="s">
        <v>18</v>
      </c>
      <c r="C3309" t="s">
        <v>38</v>
      </c>
      <c r="D3309">
        <v>1172098</v>
      </c>
      <c r="E3309">
        <v>3481131.06</v>
      </c>
      <c r="F3309">
        <f t="shared" si="332"/>
        <v>2.97</v>
      </c>
      <c r="G3309">
        <f t="shared" si="327"/>
        <v>134.7192</v>
      </c>
      <c r="H3309">
        <v>9744.9583333333321</v>
      </c>
      <c r="I3309" t="s">
        <v>56</v>
      </c>
      <c r="J3309">
        <f t="shared" si="333"/>
        <v>23.8759238841929</v>
      </c>
      <c r="K3309">
        <f t="shared" si="334"/>
        <v>25908.33</v>
      </c>
    </row>
    <row r="3310" spans="1:11" x14ac:dyDescent="0.35">
      <c r="A3310" s="1">
        <v>44805</v>
      </c>
      <c r="B3310" t="s">
        <v>18</v>
      </c>
      <c r="C3310" t="s">
        <v>38</v>
      </c>
      <c r="D3310">
        <v>1150301</v>
      </c>
      <c r="E3310">
        <v>2795231.43</v>
      </c>
      <c r="F3310">
        <f t="shared" si="332"/>
        <v>2.4300000000000002</v>
      </c>
      <c r="G3310">
        <f t="shared" si="327"/>
        <v>110.2248</v>
      </c>
      <c r="H3310">
        <v>9812.5259114583332</v>
      </c>
      <c r="I3310" t="s">
        <v>56</v>
      </c>
      <c r="J3310">
        <f t="shared" si="333"/>
        <v>24.04146983084242</v>
      </c>
      <c r="K3310">
        <f t="shared" si="334"/>
        <v>25908.33</v>
      </c>
    </row>
    <row r="3311" spans="1:11" x14ac:dyDescent="0.35">
      <c r="A3311" s="1">
        <v>44835</v>
      </c>
      <c r="B3311" t="s">
        <v>18</v>
      </c>
      <c r="C3311" t="s">
        <v>38</v>
      </c>
      <c r="D3311">
        <v>585459</v>
      </c>
      <c r="E3311">
        <v>1844195.8499999999</v>
      </c>
      <c r="F3311">
        <f t="shared" si="332"/>
        <v>3.15</v>
      </c>
      <c r="G3311">
        <f t="shared" si="327"/>
        <v>142.88399999999999</v>
      </c>
      <c r="H3311">
        <v>10066.7109375</v>
      </c>
      <c r="I3311" t="s">
        <v>56</v>
      </c>
      <c r="J3311">
        <f t="shared" si="333"/>
        <v>24.664243384785003</v>
      </c>
      <c r="K3311">
        <f t="shared" si="334"/>
        <v>25908.33</v>
      </c>
    </row>
    <row r="3312" spans="1:11" x14ac:dyDescent="0.35">
      <c r="A3312" s="1">
        <v>44866</v>
      </c>
      <c r="B3312" t="s">
        <v>18</v>
      </c>
      <c r="C3312" t="s">
        <v>38</v>
      </c>
      <c r="D3312">
        <v>788161</v>
      </c>
      <c r="E3312">
        <v>1276820.8199999998</v>
      </c>
      <c r="F3312">
        <f t="shared" si="332"/>
        <v>1.6199999999999999</v>
      </c>
      <c r="G3312">
        <f t="shared" si="327"/>
        <v>73.483199999999997</v>
      </c>
      <c r="H3312">
        <v>11698.295833333334</v>
      </c>
      <c r="I3312" t="s">
        <v>56</v>
      </c>
      <c r="J3312">
        <f t="shared" si="333"/>
        <v>28.661756298746376</v>
      </c>
      <c r="K3312">
        <f t="shared" si="334"/>
        <v>25908.33</v>
      </c>
    </row>
    <row r="3313" spans="1:11" x14ac:dyDescent="0.35">
      <c r="A3313" s="1">
        <v>44896</v>
      </c>
      <c r="B3313" t="s">
        <v>18</v>
      </c>
      <c r="C3313" t="s">
        <v>38</v>
      </c>
      <c r="D3313">
        <v>702426.59999999986</v>
      </c>
      <c r="E3313">
        <v>1606671</v>
      </c>
      <c r="F3313">
        <f t="shared" si="332"/>
        <v>2.2873151443866169</v>
      </c>
      <c r="G3313">
        <f t="shared" si="327"/>
        <v>103.75261494937693</v>
      </c>
      <c r="H3313">
        <v>13019.921874999998</v>
      </c>
      <c r="I3313" t="s">
        <v>56</v>
      </c>
      <c r="J3313">
        <f t="shared" si="333"/>
        <v>31.899845338723502</v>
      </c>
      <c r="K3313">
        <f t="shared" si="334"/>
        <v>25908.33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421F-1258-4BAF-BB37-F924F0F54D5B}">
  <dimension ref="A1:D45"/>
  <sheetViews>
    <sheetView topLeftCell="A8" zoomScale="46" workbookViewId="0">
      <selection activeCell="C22" sqref="C22"/>
    </sheetView>
  </sheetViews>
  <sheetFormatPr baseColWidth="10" defaultRowHeight="14.5" x14ac:dyDescent="0.35"/>
  <cols>
    <col min="1" max="1" width="43.1796875" bestFit="1" customWidth="1"/>
    <col min="2" max="2" width="11.1796875" bestFit="1" customWidth="1"/>
    <col min="3" max="3" width="20.81640625" bestFit="1" customWidth="1"/>
  </cols>
  <sheetData>
    <row r="1" spans="1:4" x14ac:dyDescent="0.35">
      <c r="A1" t="s">
        <v>16</v>
      </c>
      <c r="B1" t="s">
        <v>17</v>
      </c>
    </row>
    <row r="2" spans="1:4" x14ac:dyDescent="0.35">
      <c r="A2" t="s">
        <v>19</v>
      </c>
      <c r="B2" t="s">
        <v>20</v>
      </c>
    </row>
    <row r="5" spans="1:4" x14ac:dyDescent="0.35">
      <c r="A5" t="s">
        <v>21</v>
      </c>
    </row>
    <row r="6" spans="1:4" x14ac:dyDescent="0.35">
      <c r="A6" t="s">
        <v>15</v>
      </c>
    </row>
    <row r="7" spans="1:4" x14ac:dyDescent="0.35">
      <c r="A7" t="s">
        <v>18</v>
      </c>
    </row>
    <row r="13" spans="1:4" x14ac:dyDescent="0.35">
      <c r="A13" t="s">
        <v>23</v>
      </c>
      <c r="B13">
        <v>0.9</v>
      </c>
    </row>
    <row r="14" spans="1:4" x14ac:dyDescent="0.35">
      <c r="A14" t="s">
        <v>24</v>
      </c>
      <c r="B14">
        <v>0.5</v>
      </c>
    </row>
    <row r="15" spans="1:4" x14ac:dyDescent="0.35">
      <c r="A15" t="s">
        <v>25</v>
      </c>
      <c r="B15">
        <f>B13*B20</f>
        <v>0.40815000000000001</v>
      </c>
      <c r="D15">
        <f>B15*1000</f>
        <v>408.15000000000003</v>
      </c>
    </row>
    <row r="17" spans="1:4" x14ac:dyDescent="0.35">
      <c r="A17" t="s">
        <v>26</v>
      </c>
      <c r="B17">
        <f>B14*B20</f>
        <v>0.22675000000000001</v>
      </c>
    </row>
    <row r="18" spans="1:4" x14ac:dyDescent="0.35">
      <c r="A18" t="s">
        <v>29</v>
      </c>
      <c r="B18">
        <v>40</v>
      </c>
      <c r="C18" t="s">
        <v>28</v>
      </c>
      <c r="D18" t="s">
        <v>30</v>
      </c>
    </row>
    <row r="20" spans="1:4" x14ac:dyDescent="0.35">
      <c r="A20" t="s">
        <v>27</v>
      </c>
      <c r="B20">
        <v>0.45350000000000001</v>
      </c>
      <c r="C20" t="s">
        <v>28</v>
      </c>
    </row>
    <row r="21" spans="1:4" x14ac:dyDescent="0.35">
      <c r="B21">
        <v>45.36</v>
      </c>
    </row>
    <row r="23" spans="1:4" x14ac:dyDescent="0.35">
      <c r="A23" t="s">
        <v>31</v>
      </c>
      <c r="B23">
        <v>60</v>
      </c>
    </row>
    <row r="24" spans="1:4" x14ac:dyDescent="0.35">
      <c r="A24" t="s">
        <v>32</v>
      </c>
      <c r="B24">
        <f>B23*B20</f>
        <v>27.21</v>
      </c>
    </row>
    <row r="27" spans="1:4" x14ac:dyDescent="0.35">
      <c r="A27" t="s">
        <v>33</v>
      </c>
      <c r="B27">
        <v>1.24</v>
      </c>
    </row>
    <row r="28" spans="1:4" x14ac:dyDescent="0.35">
      <c r="A28" t="s">
        <v>34</v>
      </c>
      <c r="B28">
        <f>B27*B20</f>
        <v>0.56234000000000006</v>
      </c>
      <c r="D28">
        <f>1000*B28</f>
        <v>562.34</v>
      </c>
    </row>
    <row r="33" spans="1:4" x14ac:dyDescent="0.35">
      <c r="A33" t="s">
        <v>35</v>
      </c>
    </row>
    <row r="34" spans="1:4" x14ac:dyDescent="0.35">
      <c r="A34" t="s">
        <v>36</v>
      </c>
      <c r="B34" t="s">
        <v>37</v>
      </c>
      <c r="C34" t="s">
        <v>44</v>
      </c>
    </row>
    <row r="35" spans="1:4" x14ac:dyDescent="0.35">
      <c r="A35" t="s">
        <v>5</v>
      </c>
      <c r="B35" t="s">
        <v>38</v>
      </c>
      <c r="C35" t="s">
        <v>45</v>
      </c>
    </row>
    <row r="36" spans="1:4" x14ac:dyDescent="0.35">
      <c r="A36" t="s">
        <v>7</v>
      </c>
      <c r="B36" t="s">
        <v>38</v>
      </c>
      <c r="C36" t="s">
        <v>46</v>
      </c>
    </row>
    <row r="37" spans="1:4" x14ac:dyDescent="0.35">
      <c r="A37" t="s">
        <v>8</v>
      </c>
      <c r="B37" t="s">
        <v>38</v>
      </c>
      <c r="C37" t="s">
        <v>47</v>
      </c>
    </row>
    <row r="38" spans="1:4" x14ac:dyDescent="0.35">
      <c r="A38" t="s">
        <v>39</v>
      </c>
      <c r="B38" t="s">
        <v>38</v>
      </c>
      <c r="C38" t="s">
        <v>48</v>
      </c>
    </row>
    <row r="39" spans="1:4" x14ac:dyDescent="0.35">
      <c r="A39" t="s">
        <v>10</v>
      </c>
      <c r="B39" t="s">
        <v>38</v>
      </c>
      <c r="C39" t="s">
        <v>49</v>
      </c>
    </row>
    <row r="40" spans="1:4" x14ac:dyDescent="0.35">
      <c r="A40" t="s">
        <v>11</v>
      </c>
      <c r="B40" t="s">
        <v>38</v>
      </c>
      <c r="C40" t="s">
        <v>50</v>
      </c>
      <c r="D40" t="s">
        <v>43</v>
      </c>
    </row>
    <row r="41" spans="1:4" x14ac:dyDescent="0.35">
      <c r="A41" t="s">
        <v>12</v>
      </c>
      <c r="B41" t="s">
        <v>38</v>
      </c>
      <c r="C41" t="s">
        <v>51</v>
      </c>
    </row>
    <row r="42" spans="1:4" x14ac:dyDescent="0.35">
      <c r="A42" t="s">
        <v>13</v>
      </c>
      <c r="B42" t="s">
        <v>38</v>
      </c>
      <c r="C42" t="s">
        <v>52</v>
      </c>
    </row>
    <row r="43" spans="1:4" x14ac:dyDescent="0.35">
      <c r="A43" t="s">
        <v>14</v>
      </c>
      <c r="B43" t="s">
        <v>40</v>
      </c>
      <c r="C43" t="s">
        <v>53</v>
      </c>
    </row>
    <row r="44" spans="1:4" x14ac:dyDescent="0.35">
      <c r="A44" t="s">
        <v>15</v>
      </c>
      <c r="B44" t="s">
        <v>41</v>
      </c>
      <c r="C44" t="s">
        <v>54</v>
      </c>
    </row>
    <row r="45" spans="1:4" x14ac:dyDescent="0.35">
      <c r="A45" t="s">
        <v>18</v>
      </c>
      <c r="B45" t="s">
        <v>40</v>
      </c>
      <c r="C45" t="s">
        <v>55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CBD4-7667-4D45-A65A-F0645408C08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[Est - ECO] Lagrange Pena, Elvis Miguel</dc:creator>
  <cp:lastModifiedBy>[Est - ECO] Lagrange Pena, Elvis Miguel</cp:lastModifiedBy>
  <dcterms:created xsi:type="dcterms:W3CDTF">2024-12-15T15:18:36Z</dcterms:created>
  <dcterms:modified xsi:type="dcterms:W3CDTF">2024-12-24T01:10:45Z</dcterms:modified>
</cp:coreProperties>
</file>